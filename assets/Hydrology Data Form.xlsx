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GIS\Reya\SWCD Tools\assets\"/>
    </mc:Choice>
  </mc:AlternateContent>
  <xr:revisionPtr revIDLastSave="0" documentId="13_ncr:1_{DA585561-D0B7-4645-A0E8-4A6E2BDB0ACD}" xr6:coauthVersionLast="47" xr6:coauthVersionMax="47" xr10:uidLastSave="{00000000-0000-0000-0000-000000000000}"/>
  <bookViews>
    <workbookView xWindow="-120" yWindow="-120" windowWidth="29040" windowHeight="15840" xr2:uid="{78E9B60F-FF42-41B1-9657-5220695CD867}"/>
  </bookViews>
  <sheets>
    <sheet name="Calculations" sheetId="1" r:id="rId1"/>
    <sheet name="Data" sheetId="2" r:id="rId2"/>
  </sheets>
  <definedNames>
    <definedName name="_xlnm.Print_Area" localSheetId="0">Calculations!$F$3:$J$33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G3" i="2"/>
  <c r="F1" i="2"/>
  <c r="F12" i="2" a="1"/>
  <c r="F12" i="2" s="1"/>
  <c r="F3" i="2" a="1"/>
  <c r="F3" i="2" s="1"/>
  <c r="G5" i="1"/>
  <c r="G10" i="1" s="1"/>
  <c r="G9" i="1" s="1"/>
  <c r="G8" i="1" s="1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H13" i="1"/>
  <c r="H48" i="2" l="1"/>
  <c r="H56" i="2"/>
  <c r="H40" i="2"/>
  <c r="H39" i="2"/>
  <c r="H55" i="2"/>
  <c r="H47" i="2"/>
  <c r="H58" i="2"/>
  <c r="H54" i="2"/>
  <c r="H46" i="2"/>
  <c r="H38" i="2"/>
  <c r="H53" i="2"/>
  <c r="H45" i="2"/>
  <c r="H37" i="2"/>
  <c r="H52" i="2"/>
  <c r="H44" i="2"/>
  <c r="H36" i="2"/>
  <c r="H35" i="2"/>
  <c r="H50" i="2"/>
  <c r="H42" i="2"/>
  <c r="H57" i="2"/>
  <c r="H49" i="2"/>
  <c r="H41" i="2"/>
  <c r="H51" i="2"/>
  <c r="H43" i="2"/>
  <c r="H3" i="2"/>
  <c r="G6" i="2"/>
  <c r="H6" i="2" s="1"/>
  <c r="G8" i="2"/>
  <c r="H8" i="2" s="1"/>
  <c r="G7" i="2"/>
  <c r="H7" i="2" s="1"/>
  <c r="G5" i="2"/>
  <c r="H5" i="2" s="1"/>
  <c r="G9" i="2"/>
  <c r="H9" i="2" s="1"/>
  <c r="G4" i="2"/>
  <c r="H4" i="2" s="1"/>
  <c r="H12" i="2"/>
  <c r="G34" i="2"/>
  <c r="H34" i="2" s="1"/>
  <c r="G20" i="2"/>
  <c r="H20" i="2" s="1"/>
  <c r="G28" i="2"/>
  <c r="H28" i="2" s="1"/>
  <c r="G13" i="2"/>
  <c r="H13" i="2" s="1"/>
  <c r="G21" i="2"/>
  <c r="H21" i="2" s="1"/>
  <c r="G29" i="2"/>
  <c r="H29" i="2" s="1"/>
  <c r="G14" i="2"/>
  <c r="H14" i="2" s="1"/>
  <c r="G22" i="2"/>
  <c r="H22" i="2" s="1"/>
  <c r="G27" i="2"/>
  <c r="H27" i="2" s="1"/>
  <c r="G30" i="2"/>
  <c r="H30" i="2" s="1"/>
  <c r="G19" i="2"/>
  <c r="H19" i="2" s="1"/>
  <c r="G15" i="2"/>
  <c r="H15" i="2" s="1"/>
  <c r="G23" i="2"/>
  <c r="H23" i="2" s="1"/>
  <c r="G31" i="2"/>
  <c r="H31" i="2" s="1"/>
  <c r="G18" i="2"/>
  <c r="H18" i="2" s="1"/>
  <c r="G26" i="2"/>
  <c r="H26" i="2" s="1"/>
  <c r="G16" i="2"/>
  <c r="H16" i="2" s="1"/>
  <c r="G24" i="2"/>
  <c r="H24" i="2" s="1"/>
  <c r="G32" i="2"/>
  <c r="H32" i="2" s="1"/>
  <c r="G17" i="2"/>
  <c r="H17" i="2" s="1"/>
  <c r="G25" i="2"/>
  <c r="H25" i="2" s="1"/>
  <c r="G33" i="2"/>
  <c r="H33" i="2" s="1"/>
  <c r="H14" i="1"/>
  <c r="H15" i="1"/>
  <c r="H16" i="1"/>
  <c r="H17" i="1"/>
  <c r="H1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<sst xmlns="http://schemas.openxmlformats.org/spreadsheetml/2006/main" count="27" uniqueCount="25">
  <si>
    <t>Area</t>
  </si>
  <si>
    <t>RCN</t>
  </si>
  <si>
    <t>acres</t>
  </si>
  <si>
    <t>Watershed Length</t>
  </si>
  <si>
    <t>Watershed Slope</t>
  </si>
  <si>
    <t>ft</t>
  </si>
  <si>
    <t>%</t>
  </si>
  <si>
    <t>hours</t>
  </si>
  <si>
    <t>EFH-2</t>
  </si>
  <si>
    <t>Year</t>
  </si>
  <si>
    <t>Peak Flow (cfs)</t>
  </si>
  <si>
    <t>Title</t>
  </si>
  <si>
    <t>Lag Time</t>
  </si>
  <si>
    <t>in</t>
  </si>
  <si>
    <t>S - max retention</t>
  </si>
  <si>
    <t>* Calculated from Lag Method</t>
  </si>
  <si>
    <t>Tc*</t>
  </si>
  <si>
    <t>Adjusted Peak Flow (cfs)</t>
  </si>
  <si>
    <t>Time</t>
  </si>
  <si>
    <t>Date</t>
  </si>
  <si>
    <t>Sub-Title</t>
  </si>
  <si>
    <t>total divisions</t>
  </si>
  <si>
    <t>Acres</t>
  </si>
  <si>
    <t>Land Use</t>
  </si>
  <si>
    <t>HSG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</si>
</sst>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Fixedsys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1" xfId="0" applyBorder="1"/>
    <xf numFmtId="1" fontId="0" fillId="0" borderId="0" xfId="0" applyNumberFormat="1"/>
    <xf numFmtId="0" fontId="5" fillId="0" borderId="0" xfId="0" applyFont="1"/>
    <xf numFmtId="2" fontId="5" fillId="0" borderId="0" xfId="0" applyNumberFormat="1" applyFont="1"/>
    <xf numFmtId="0" fontId="0" fillId="0" borderId="0" xfId="0" applyAlignment="1">
      <alignment horizontal="center"/>
    </xf>
    <xf numFmtId="9" fontId="0" fillId="0" borderId="0" xfId="1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0" fillId="2" borderId="2" xfId="0" applyFill="1" applyBorder="1"/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89FE-E6A1-4CC9-BE0E-F7557A87387B}">
  <sheetPr>
    <pageSetUpPr fitToPage="1"/>
  </sheetPr>
  <dimension ref="A1:I23"/>
  <sheetViews>
    <sheetView showZeros="0" tabSelected="1" workbookViewId="0">
      <selection activeCell="H28" sqref="H28"/>
    </sheetView>
  </sheetViews>
  <sheetFormatPr defaultRowHeight="15" x14ac:dyDescent="0.25"/>
  <cols>
    <col min="1" max="1" width="15.5703125" customWidth="1"/>
    <col min="2" max="2" width="9" bestFit="1" customWidth="1"/>
    <col min="3" max="4" width="8.42578125" customWidth="1"/>
    <col min="6" max="6" width="16.7109375" bestFit="1" customWidth="1"/>
    <col min="7" max="7" width="14.42578125" customWidth="1"/>
    <col min="8" max="8" width="16.28515625" customWidth="1"/>
    <col min="10" max="10" width="11.5703125" customWidth="1"/>
  </cols>
  <sheetData>
    <row r="1" spans="1:9" ht="18.75" x14ac:dyDescent="0.3">
      <c r="E1" s="13" t="s">
        <v>11</v>
      </c>
      <c r="F1" s="13"/>
      <c r="G1" s="13"/>
      <c r="H1" s="13"/>
      <c r="I1" s="13"/>
    </row>
    <row r="2" spans="1:9" s="4" customFormat="1" x14ac:dyDescent="0.25">
      <c r="C2"/>
      <c r="F2" s="4" t="s">
        <v>19</v>
      </c>
      <c r="G2" s="4" t="s">
        <v>18</v>
      </c>
      <c r="H2" s="4" t="s">
        <v>20</v>
      </c>
    </row>
    <row r="3" spans="1:9" s="11" customFormat="1" x14ac:dyDescent="0.25">
      <c r="A3" s="10"/>
      <c r="B3" s="10"/>
      <c r="C3" s="12"/>
      <c r="F3" s="14" t="s">
        <v>8</v>
      </c>
      <c r="G3" s="14"/>
      <c r="H3" s="14"/>
    </row>
    <row r="4" spans="1:9" x14ac:dyDescent="0.25">
      <c r="F4" t="s">
        <v>0</v>
      </c>
      <c r="H4" t="s">
        <v>2</v>
      </c>
    </row>
    <row r="5" spans="1:9" x14ac:dyDescent="0.25">
      <c r="F5" t="s">
        <v>1</v>
      </c>
      <c r="G5" s="5" t="str">
        <f>IFERROR(SUMPRODUCT(_xlfn.DROP(Data!C:C,1),_xlfn.DROP(Data!D:D,1))/SUM(_xlfn.DROP(Data!D:D,1)),"")</f>
        <v/>
      </c>
    </row>
    <row r="6" spans="1:9" x14ac:dyDescent="0.25">
      <c r="F6" t="s">
        <v>3</v>
      </c>
      <c r="H6" t="s">
        <v>5</v>
      </c>
    </row>
    <row r="7" spans="1:9" x14ac:dyDescent="0.25">
      <c r="F7" t="s">
        <v>4</v>
      </c>
      <c r="H7" t="s">
        <v>6</v>
      </c>
    </row>
    <row r="8" spans="1:9" x14ac:dyDescent="0.25">
      <c r="F8" t="s">
        <v>16</v>
      </c>
      <c r="G8" s="2" t="str">
        <f>IFERROR(G9/0.6,"")</f>
        <v/>
      </c>
      <c r="H8" t="s">
        <v>7</v>
      </c>
      <c r="I8" s="3" t="s">
        <v>15</v>
      </c>
    </row>
    <row r="9" spans="1:9" x14ac:dyDescent="0.25">
      <c r="F9" s="6" t="s">
        <v>12</v>
      </c>
      <c r="G9" s="7" t="str">
        <f>IFERROR(((G6^0.8)*(G10+1)^(0.7))/(1900*(G7^0.5)),"")</f>
        <v/>
      </c>
      <c r="H9" s="6" t="s">
        <v>7</v>
      </c>
    </row>
    <row r="10" spans="1:9" x14ac:dyDescent="0.25">
      <c r="F10" s="6" t="s">
        <v>14</v>
      </c>
      <c r="G10" s="7" t="str">
        <f>IFERROR((1000/G5)-10,"")</f>
        <v/>
      </c>
      <c r="H10" s="6" t="s">
        <v>13</v>
      </c>
    </row>
    <row r="12" spans="1:9" x14ac:dyDescent="0.25">
      <c r="F12" t="s">
        <v>9</v>
      </c>
      <c r="G12" t="s">
        <v>10</v>
      </c>
      <c r="H12" t="s">
        <v>17</v>
      </c>
    </row>
    <row r="13" spans="1:9" x14ac:dyDescent="0.25">
      <c r="F13">
        <v>2</v>
      </c>
      <c r="G13" s="5"/>
      <c r="H13" s="5">
        <f>G13*1.2</f>
        <v>0</v>
      </c>
    </row>
    <row r="14" spans="1:9" x14ac:dyDescent="0.25">
      <c r="F14">
        <v>5</v>
      </c>
      <c r="G14" s="5"/>
      <c r="H14" s="5">
        <f t="shared" ref="H14:H18" si="0">G14*1.2</f>
        <v>0</v>
      </c>
    </row>
    <row r="15" spans="1:9" x14ac:dyDescent="0.25">
      <c r="F15">
        <v>10</v>
      </c>
      <c r="G15" s="5"/>
      <c r="H15" s="5">
        <f t="shared" si="0"/>
        <v>0</v>
      </c>
    </row>
    <row r="16" spans="1:9" x14ac:dyDescent="0.25">
      <c r="F16">
        <v>25</v>
      </c>
      <c r="G16" s="5"/>
      <c r="H16" s="5">
        <f t="shared" si="0"/>
        <v>0</v>
      </c>
    </row>
    <row r="17" spans="6:8" x14ac:dyDescent="0.25">
      <c r="F17">
        <v>50</v>
      </c>
      <c r="G17" s="5"/>
      <c r="H17" s="5">
        <f t="shared" si="0"/>
        <v>0</v>
      </c>
    </row>
    <row r="18" spans="6:8" x14ac:dyDescent="0.25">
      <c r="F18">
        <v>100</v>
      </c>
      <c r="G18" s="5"/>
      <c r="H18" s="5">
        <f t="shared" si="0"/>
        <v>0</v>
      </c>
    </row>
    <row r="19" spans="6:8" x14ac:dyDescent="0.25">
      <c r="F19" s="1"/>
    </row>
    <row r="20" spans="6:8" x14ac:dyDescent="0.25">
      <c r="F20" s="1"/>
    </row>
    <row r="21" spans="6:8" x14ac:dyDescent="0.25">
      <c r="F21" s="1"/>
    </row>
    <row r="22" spans="6:8" x14ac:dyDescent="0.25">
      <c r="F22" s="1"/>
    </row>
    <row r="23" spans="6:8" x14ac:dyDescent="0.25">
      <c r="F23" s="1"/>
    </row>
  </sheetData>
  <mergeCells count="2">
    <mergeCell ref="E1:I1"/>
    <mergeCell ref="F3:H3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0E66-79CC-4722-AD2E-9ACE4966D3D9}">
  <dimension ref="A1:H58"/>
  <sheetViews>
    <sheetView showZeros="0" workbookViewId="0">
      <selection activeCell="A18" sqref="A18"/>
    </sheetView>
  </sheetViews>
  <sheetFormatPr defaultRowHeight="15" x14ac:dyDescent="0.25"/>
  <cols>
    <col min="1" max="1" width="32.85546875" bestFit="1" customWidth="1"/>
    <col min="2" max="2" width="18.85546875" customWidth="1"/>
    <col min="3" max="3" width="21.7109375" customWidth="1"/>
    <col min="4" max="4" width="14.140625" customWidth="1"/>
    <col min="6" max="6" width="32.85546875" bestFit="1" customWidth="1"/>
    <col min="7" max="7" width="14.7109375" customWidth="1"/>
  </cols>
  <sheetData>
    <row r="1" spans="1:8" x14ac:dyDescent="0.25">
      <c r="A1" t="s">
        <v>23</v>
      </c>
      <c r="B1" t="s">
        <v>24</v>
      </c>
      <c r="C1" t="s">
        <v>1</v>
      </c>
      <c r="D1" t="s">
        <v>22</v>
      </c>
      <c r="F1" s="8">
        <f>COUNTA(_xlfn.DROP(A:A,1))</f>
        <v>0</v>
      </c>
      <c r="G1" s="8" t="s">
        <v>21</v>
      </c>
    </row>
    <row r="3" spans="1:8" x14ac:dyDescent="0.25">
      <c r="F3" t="str" cm="1">
        <f t="array" ref="F3">IFERROR(_xlfn._xlws.SORT(_xlfn.UNIQUE(_xlfn._xlws.FILTER(_xlfn.DROP(B:B,1),_xlfn.DROP(B:B,1)&lt;&gt;""))),"")</f>
        <v/>
      </c>
      <c r="G3" t="str">
        <f>IF(F3&lt;&gt;"",COUNTIF(B:B,F3),"")</f>
        <v/>
      </c>
      <c r="H3" s="9" t="str">
        <f>IFERROR(G3/$F$1,"")</f>
        <v/>
      </c>
    </row>
    <row r="4" spans="1:8" x14ac:dyDescent="0.25">
      <c r="G4">
        <f t="shared" ref="G4:G9" si="0">COUNTIF(B:B,F4)</f>
        <v>0</v>
      </c>
      <c r="H4" s="9" t="str">
        <f t="shared" ref="H4:H9" si="1">IFERROR(G4/$F$1,"")</f>
        <v/>
      </c>
    </row>
    <row r="5" spans="1:8" x14ac:dyDescent="0.25">
      <c r="G5">
        <f t="shared" si="0"/>
        <v>0</v>
      </c>
      <c r="H5" s="9" t="str">
        <f t="shared" si="1"/>
        <v/>
      </c>
    </row>
    <row r="6" spans="1:8" x14ac:dyDescent="0.25">
      <c r="G6">
        <f t="shared" si="0"/>
        <v>0</v>
      </c>
      <c r="H6" s="9" t="str">
        <f t="shared" si="1"/>
        <v/>
      </c>
    </row>
    <row r="7" spans="1:8" x14ac:dyDescent="0.25">
      <c r="G7">
        <f t="shared" si="0"/>
        <v>0</v>
      </c>
      <c r="H7" s="9" t="str">
        <f t="shared" si="1"/>
        <v/>
      </c>
    </row>
    <row r="8" spans="1:8" x14ac:dyDescent="0.25">
      <c r="G8">
        <f t="shared" si="0"/>
        <v>0</v>
      </c>
      <c r="H8" s="9" t="str">
        <f t="shared" si="1"/>
        <v/>
      </c>
    </row>
    <row r="9" spans="1:8" x14ac:dyDescent="0.25">
      <c r="G9">
        <f t="shared" si="0"/>
        <v>0</v>
      </c>
      <c r="H9" s="9" t="str">
        <f t="shared" si="1"/>
        <v/>
      </c>
    </row>
    <row r="12" spans="1:8" x14ac:dyDescent="0.25">
      <c r="F12" t="str" cm="1">
        <f t="array" ref="F12">IFERROR(_xlfn._xlws.SORT(_xlfn.UNIQUE(_xlfn._xlws.FILTER(_xlfn.DROP(A:A,1), _xlfn.DROP(A:A,1)&lt;&gt;""))),"")</f>
        <v/>
      </c>
      <c r="G12" t="str">
        <f>IF(F12&lt;&gt;"",COUNTIF(A:A,F12),"")</f>
        <v/>
      </c>
      <c r="H12" s="9" t="str">
        <f>IFERROR(G12/$F$1,"")</f>
        <v/>
      </c>
    </row>
    <row r="13" spans="1:8" x14ac:dyDescent="0.25">
      <c r="G13">
        <f t="shared" ref="G13:G58" si="2">COUNTIF(A:A,F13)</f>
        <v>0</v>
      </c>
      <c r="H13" s="9" t="str">
        <f t="shared" ref="H13:H58" si="3">IFERROR(G13/$F$1,"")</f>
        <v/>
      </c>
    </row>
    <row r="14" spans="1:8" x14ac:dyDescent="0.25">
      <c r="G14">
        <f t="shared" si="2"/>
        <v>0</v>
      </c>
      <c r="H14" s="9" t="str">
        <f t="shared" si="3"/>
        <v/>
      </c>
    </row>
    <row r="15" spans="1:8" x14ac:dyDescent="0.25">
      <c r="G15">
        <f t="shared" si="2"/>
        <v>0</v>
      </c>
      <c r="H15" s="9" t="str">
        <f t="shared" si="3"/>
        <v/>
      </c>
    </row>
    <row r="16" spans="1:8" x14ac:dyDescent="0.25">
      <c r="G16">
        <f t="shared" si="2"/>
        <v>0</v>
      </c>
      <c r="H16" s="9" t="str">
        <f t="shared" si="3"/>
        <v/>
      </c>
    </row>
    <row r="17" spans="7:8" x14ac:dyDescent="0.25">
      <c r="G17">
        <f t="shared" si="2"/>
        <v>0</v>
      </c>
      <c r="H17" s="9" t="str">
        <f t="shared" si="3"/>
        <v/>
      </c>
    </row>
    <row r="18" spans="7:8" x14ac:dyDescent="0.25">
      <c r="G18">
        <f t="shared" si="2"/>
        <v>0</v>
      </c>
      <c r="H18" s="9" t="str">
        <f t="shared" si="3"/>
        <v/>
      </c>
    </row>
    <row r="19" spans="7:8" x14ac:dyDescent="0.25">
      <c r="G19">
        <f t="shared" si="2"/>
        <v>0</v>
      </c>
      <c r="H19" s="9" t="str">
        <f t="shared" si="3"/>
        <v/>
      </c>
    </row>
    <row r="20" spans="7:8" x14ac:dyDescent="0.25">
      <c r="G20">
        <f t="shared" si="2"/>
        <v>0</v>
      </c>
      <c r="H20" s="9" t="str">
        <f t="shared" si="3"/>
        <v/>
      </c>
    </row>
    <row r="21" spans="7:8" x14ac:dyDescent="0.25">
      <c r="G21">
        <f t="shared" si="2"/>
        <v>0</v>
      </c>
      <c r="H21" s="9" t="str">
        <f t="shared" si="3"/>
        <v/>
      </c>
    </row>
    <row r="22" spans="7:8" x14ac:dyDescent="0.25">
      <c r="G22">
        <f t="shared" si="2"/>
        <v>0</v>
      </c>
      <c r="H22" s="9" t="str">
        <f t="shared" si="3"/>
        <v/>
      </c>
    </row>
    <row r="23" spans="7:8" x14ac:dyDescent="0.25">
      <c r="G23">
        <f t="shared" si="2"/>
        <v>0</v>
      </c>
      <c r="H23" s="9" t="str">
        <f t="shared" si="3"/>
        <v/>
      </c>
    </row>
    <row r="24" spans="7:8" x14ac:dyDescent="0.25">
      <c r="G24">
        <f t="shared" si="2"/>
        <v>0</v>
      </c>
      <c r="H24" s="9" t="str">
        <f t="shared" si="3"/>
        <v/>
      </c>
    </row>
    <row r="25" spans="7:8" x14ac:dyDescent="0.25">
      <c r="G25">
        <f t="shared" si="2"/>
        <v>0</v>
      </c>
      <c r="H25" s="9" t="str">
        <f t="shared" si="3"/>
        <v/>
      </c>
    </row>
    <row r="26" spans="7:8" x14ac:dyDescent="0.25">
      <c r="G26">
        <f t="shared" si="2"/>
        <v>0</v>
      </c>
      <c r="H26" s="9" t="str">
        <f t="shared" si="3"/>
        <v/>
      </c>
    </row>
    <row r="27" spans="7:8" x14ac:dyDescent="0.25">
      <c r="G27">
        <f t="shared" si="2"/>
        <v>0</v>
      </c>
      <c r="H27" s="9" t="str">
        <f t="shared" si="3"/>
        <v/>
      </c>
    </row>
    <row r="28" spans="7:8" x14ac:dyDescent="0.25">
      <c r="G28">
        <f t="shared" si="2"/>
        <v>0</v>
      </c>
      <c r="H28" s="9" t="str">
        <f t="shared" si="3"/>
        <v/>
      </c>
    </row>
    <row r="29" spans="7:8" x14ac:dyDescent="0.25">
      <c r="G29">
        <f t="shared" si="2"/>
        <v>0</v>
      </c>
      <c r="H29" s="9" t="str">
        <f t="shared" si="3"/>
        <v/>
      </c>
    </row>
    <row r="30" spans="7:8" x14ac:dyDescent="0.25">
      <c r="G30">
        <f t="shared" si="2"/>
        <v>0</v>
      </c>
      <c r="H30" s="9" t="str">
        <f t="shared" si="3"/>
        <v/>
      </c>
    </row>
    <row r="31" spans="7:8" x14ac:dyDescent="0.25">
      <c r="G31">
        <f t="shared" si="2"/>
        <v>0</v>
      </c>
      <c r="H31" s="9" t="str">
        <f t="shared" si="3"/>
        <v/>
      </c>
    </row>
    <row r="32" spans="7:8" x14ac:dyDescent="0.25">
      <c r="G32">
        <f t="shared" si="2"/>
        <v>0</v>
      </c>
      <c r="H32" s="9" t="str">
        <f t="shared" si="3"/>
        <v/>
      </c>
    </row>
    <row r="33" spans="7:8" x14ac:dyDescent="0.25">
      <c r="G33">
        <f t="shared" si="2"/>
        <v>0</v>
      </c>
      <c r="H33" s="9" t="str">
        <f t="shared" si="3"/>
        <v/>
      </c>
    </row>
    <row r="34" spans="7:8" x14ac:dyDescent="0.25">
      <c r="G34">
        <f t="shared" si="2"/>
        <v>0</v>
      </c>
      <c r="H34" s="9" t="str">
        <f t="shared" si="3"/>
        <v/>
      </c>
    </row>
    <row r="35" spans="7:8" x14ac:dyDescent="0.25">
      <c r="G35">
        <f t="shared" si="2"/>
        <v>0</v>
      </c>
      <c r="H35" s="9" t="str">
        <f t="shared" si="3"/>
        <v/>
      </c>
    </row>
    <row r="36" spans="7:8" x14ac:dyDescent="0.25">
      <c r="G36">
        <f t="shared" si="2"/>
        <v>0</v>
      </c>
      <c r="H36" s="9" t="str">
        <f t="shared" si="3"/>
        <v/>
      </c>
    </row>
    <row r="37" spans="7:8" x14ac:dyDescent="0.25">
      <c r="G37">
        <f t="shared" si="2"/>
        <v>0</v>
      </c>
      <c r="H37" s="9" t="str">
        <f t="shared" si="3"/>
        <v/>
      </c>
    </row>
    <row r="38" spans="7:8" x14ac:dyDescent="0.25">
      <c r="G38">
        <f t="shared" si="2"/>
        <v>0</v>
      </c>
      <c r="H38" s="9" t="str">
        <f t="shared" si="3"/>
        <v/>
      </c>
    </row>
    <row r="39" spans="7:8" x14ac:dyDescent="0.25">
      <c r="G39">
        <f t="shared" si="2"/>
        <v>0</v>
      </c>
      <c r="H39" s="9" t="str">
        <f t="shared" si="3"/>
        <v/>
      </c>
    </row>
    <row r="40" spans="7:8" x14ac:dyDescent="0.25">
      <c r="G40">
        <f t="shared" si="2"/>
        <v>0</v>
      </c>
      <c r="H40" s="9" t="str">
        <f t="shared" si="3"/>
        <v/>
      </c>
    </row>
    <row r="41" spans="7:8" x14ac:dyDescent="0.25">
      <c r="G41">
        <f t="shared" si="2"/>
        <v>0</v>
      </c>
      <c r="H41" s="9" t="str">
        <f t="shared" si="3"/>
        <v/>
      </c>
    </row>
    <row r="42" spans="7:8" x14ac:dyDescent="0.25">
      <c r="G42">
        <f t="shared" si="2"/>
        <v>0</v>
      </c>
      <c r="H42" s="9" t="str">
        <f t="shared" si="3"/>
        <v/>
      </c>
    </row>
    <row r="43" spans="7:8" x14ac:dyDescent="0.25">
      <c r="G43">
        <f t="shared" si="2"/>
        <v>0</v>
      </c>
      <c r="H43" s="9" t="str">
        <f t="shared" si="3"/>
        <v/>
      </c>
    </row>
    <row r="44" spans="7:8" x14ac:dyDescent="0.25">
      <c r="G44">
        <f t="shared" si="2"/>
        <v>0</v>
      </c>
      <c r="H44" s="9" t="str">
        <f t="shared" si="3"/>
        <v/>
      </c>
    </row>
    <row r="45" spans="7:8" x14ac:dyDescent="0.25">
      <c r="G45">
        <f t="shared" si="2"/>
        <v>0</v>
      </c>
      <c r="H45" s="9" t="str">
        <f t="shared" si="3"/>
        <v/>
      </c>
    </row>
    <row r="46" spans="7:8" x14ac:dyDescent="0.25">
      <c r="G46">
        <f t="shared" si="2"/>
        <v>0</v>
      </c>
      <c r="H46" s="9" t="str">
        <f t="shared" si="3"/>
        <v/>
      </c>
    </row>
    <row r="47" spans="7:8" x14ac:dyDescent="0.25">
      <c r="G47">
        <f t="shared" si="2"/>
        <v>0</v>
      </c>
      <c r="H47" s="9" t="str">
        <f t="shared" si="3"/>
        <v/>
      </c>
    </row>
    <row r="48" spans="7:8" x14ac:dyDescent="0.25">
      <c r="G48">
        <f t="shared" si="2"/>
        <v>0</v>
      </c>
      <c r="H48" s="9" t="str">
        <f t="shared" si="3"/>
        <v/>
      </c>
    </row>
    <row r="49" spans="7:8" x14ac:dyDescent="0.25">
      <c r="G49">
        <f t="shared" si="2"/>
        <v>0</v>
      </c>
      <c r="H49" s="9" t="str">
        <f t="shared" si="3"/>
        <v/>
      </c>
    </row>
    <row r="50" spans="7:8" x14ac:dyDescent="0.25">
      <c r="G50">
        <f t="shared" si="2"/>
        <v>0</v>
      </c>
      <c r="H50" s="9" t="str">
        <f t="shared" si="3"/>
        <v/>
      </c>
    </row>
    <row r="51" spans="7:8" x14ac:dyDescent="0.25">
      <c r="G51">
        <f t="shared" si="2"/>
        <v>0</v>
      </c>
      <c r="H51" s="9" t="str">
        <f t="shared" si="3"/>
        <v/>
      </c>
    </row>
    <row r="52" spans="7:8" x14ac:dyDescent="0.25">
      <c r="G52">
        <f t="shared" si="2"/>
        <v>0</v>
      </c>
      <c r="H52" s="9" t="str">
        <f t="shared" si="3"/>
        <v/>
      </c>
    </row>
    <row r="53" spans="7:8" x14ac:dyDescent="0.25">
      <c r="G53">
        <f t="shared" si="2"/>
        <v>0</v>
      </c>
      <c r="H53" s="9" t="str">
        <f t="shared" si="3"/>
        <v/>
      </c>
    </row>
    <row r="54" spans="7:8" x14ac:dyDescent="0.25">
      <c r="G54">
        <f t="shared" si="2"/>
        <v>0</v>
      </c>
      <c r="H54" s="9" t="str">
        <f t="shared" si="3"/>
        <v/>
      </c>
    </row>
    <row r="55" spans="7:8" x14ac:dyDescent="0.25">
      <c r="G55">
        <f t="shared" si="2"/>
        <v>0</v>
      </c>
      <c r="H55" s="9" t="str">
        <f t="shared" si="3"/>
        <v/>
      </c>
    </row>
    <row r="56" spans="7:8" x14ac:dyDescent="0.25">
      <c r="G56">
        <f t="shared" si="2"/>
        <v>0</v>
      </c>
      <c r="H56" s="9" t="str">
        <f t="shared" si="3"/>
        <v/>
      </c>
    </row>
    <row r="57" spans="7:8" x14ac:dyDescent="0.25">
      <c r="G57">
        <f t="shared" si="2"/>
        <v>0</v>
      </c>
      <c r="H57" s="9" t="str">
        <f t="shared" si="3"/>
        <v/>
      </c>
    </row>
    <row r="58" spans="7:8" x14ac:dyDescent="0.25">
      <c r="G58">
        <f t="shared" si="2"/>
        <v>0</v>
      </c>
      <c r="H58" s="9" t="str">
        <f t="shared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Calculations</vt:lpstr>
      <vt:lpstr>Data</vt:lpstr>
      <vt:lpstr>Calculations!Print_Area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Reya Mertz</dc:creator>
  <cp:lastModifiedBy>Reya Mertz</cp:lastModifiedBy>
  <cp:lastPrinted>2024-07-16T14:57:45Z</cp:lastPrinted>
  <dcterms:created xsi:type="dcterms:W3CDTF">2024-07-09T16:55:29Z</dcterms:created>
  <dcterms:modified xsi:type="dcterms:W3CDTF">2025-12-05T15:40:20Z</dcterms:modified>
</cp:coreProperties>
</file>