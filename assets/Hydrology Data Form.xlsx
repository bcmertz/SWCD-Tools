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O:\Stream and Culvert Projects\"/>
    </mc:Choice>
  </mc:AlternateContent>
  <xr:revisionPtr revIDLastSave="0" documentId="13_ncr:1_{D2FA264D-FE0D-424D-937E-65AE960959C0}" xr6:coauthVersionLast="47" xr6:coauthVersionMax="47" xr10:uidLastSave="{00000000-0000-0000-0000-000000000000}"/>
  <bookViews>
    <workbookView xWindow="28680" yWindow="-120" windowWidth="29040" windowHeight="15840" xr2:uid="{78E9B60F-FF42-41B1-9657-5220695CD867}"/>
  </bookViews>
  <sheets>
    <sheet name="Calculations" sheetId="1" r:id="rId1"/>
    <sheet name="Data" sheetId="2" r:id="rId2"/>
    <sheet name="Sheet1" sheetId="3" r:id="rId3"/>
  </sheets>
  <definedNames>
    <definedName name="_xlnm.Print_Area" localSheetId="0">Calculations!$F$3:$O$33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K4" i="3"/>
  <c r="K2" i="3"/>
  <c r="F12" i="2" a="1"/>
  <c r="F12" i="2" s="1"/>
  <c r="F3" i="2" a="1"/>
  <c r="F3" i="2" s="1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4" i="2"/>
  <c r="H5" i="2"/>
  <c r="H6" i="2"/>
  <c r="H7" i="2"/>
  <c r="H8" i="2"/>
  <c r="H9" i="2"/>
  <c r="G10" i="1"/>
  <c r="G9" i="1" s="1"/>
  <c r="G8" i="1" s="1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F1" i="2"/>
  <c r="H13" i="1"/>
  <c r="O18" i="1"/>
  <c r="O17" i="1"/>
  <c r="O16" i="1"/>
  <c r="O15" i="1"/>
  <c r="O14" i="1"/>
  <c r="O13" i="1"/>
  <c r="G3" i="2" l="1"/>
  <c r="H3" i="2" s="1"/>
  <c r="G6" i="2"/>
  <c r="G8" i="2"/>
  <c r="G7" i="2"/>
  <c r="G5" i="2"/>
  <c r="G9" i="2"/>
  <c r="G4" i="2"/>
  <c r="G12" i="2"/>
  <c r="H12" i="2" s="1"/>
  <c r="G34" i="2"/>
  <c r="G20" i="2"/>
  <c r="G28" i="2"/>
  <c r="G13" i="2"/>
  <c r="G21" i="2"/>
  <c r="G29" i="2"/>
  <c r="G14" i="2"/>
  <c r="G22" i="2"/>
  <c r="G27" i="2"/>
  <c r="G30" i="2"/>
  <c r="G19" i="2"/>
  <c r="G15" i="2"/>
  <c r="G23" i="2"/>
  <c r="G31" i="2"/>
  <c r="G18" i="2"/>
  <c r="G26" i="2"/>
  <c r="G16" i="2"/>
  <c r="G24" i="2"/>
  <c r="G32" i="2"/>
  <c r="G17" i="2"/>
  <c r="G25" i="2"/>
  <c r="G33" i="2"/>
  <c r="H14" i="1"/>
  <c r="H15" i="1"/>
  <c r="H16" i="1"/>
  <c r="H17" i="1"/>
  <c r="H1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<sst xmlns="http://schemas.openxmlformats.org/spreadsheetml/2006/main" count="1196" uniqueCount="55">
  <si>
    <t>Area</t>
  </si>
  <si>
    <t>RCN</t>
  </si>
  <si>
    <t>acres</t>
  </si>
  <si>
    <t>Watershed Length</t>
  </si>
  <si>
    <t>Watershed Slope</t>
  </si>
  <si>
    <t>ft</t>
  </si>
  <si>
    <t>%</t>
  </si>
  <si>
    <t>hours</t>
  </si>
  <si>
    <t>EFH-2</t>
  </si>
  <si>
    <t>StreamStats</t>
  </si>
  <si>
    <t>Year</t>
  </si>
  <si>
    <t>Peak Flow (cfs)</t>
  </si>
  <si>
    <t>Title</t>
  </si>
  <si>
    <t>Lag Time</t>
  </si>
  <si>
    <t>in</t>
  </si>
  <si>
    <t>S - max retention</t>
  </si>
  <si>
    <t>* Calculated from Lag Method</t>
  </si>
  <si>
    <t>Tc*</t>
  </si>
  <si>
    <t>Adjusted Peak Flow (cfs)</t>
  </si>
  <si>
    <t>Time</t>
  </si>
  <si>
    <t>Date</t>
  </si>
  <si>
    <t>Sub-Title</t>
  </si>
  <si>
    <t>total divisions</t>
  </si>
  <si>
    <t>OBJECTID *</t>
  </si>
  <si>
    <t>Shape *</t>
  </si>
  <si>
    <t>LandUse</t>
  </si>
  <si>
    <t>MUSYM</t>
  </si>
  <si>
    <t>Hydrologic Group - Dominant Conditions</t>
  </si>
  <si>
    <t>Shape_Length</t>
  </si>
  <si>
    <t>Shape_Area</t>
  </si>
  <si>
    <t>Runoff Curve Number</t>
  </si>
  <si>
    <t>Acres</t>
  </si>
  <si>
    <t>Polygon</t>
  </si>
  <si>
    <t>Pasture/Hay Herbaceous</t>
  </si>
  <si>
    <t>OgB</t>
  </si>
  <si>
    <t>C</t>
  </si>
  <si>
    <t>Other Tree Canopy</t>
  </si>
  <si>
    <t>Tree Canopy Over Turf Grass</t>
  </si>
  <si>
    <t>Other Impervious</t>
  </si>
  <si>
    <t>Turf Grass</t>
  </si>
  <si>
    <t>Roads</t>
  </si>
  <si>
    <t>Tree Canopy Over Roads</t>
  </si>
  <si>
    <t>Structures</t>
  </si>
  <si>
    <t>Suspended Succession Herbaceous</t>
  </si>
  <si>
    <t>Forest</t>
  </si>
  <si>
    <t>Tree Canopy Over Structures</t>
  </si>
  <si>
    <t>OpC</t>
  </si>
  <si>
    <t>OgE</t>
  </si>
  <si>
    <t>OgC</t>
  </si>
  <si>
    <t>Natural Succession Herbaceous</t>
  </si>
  <si>
    <t>MoC</t>
  </si>
  <si>
    <t>D</t>
  </si>
  <si>
    <t>MpC</t>
  </si>
  <si>
    <t>LaD</t>
  </si>
  <si>
    <t>WlC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</si>
</sst>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Fixedsys"/>
    </font>
    <font>
      <sz val="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BE2D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0" fontId="0" fillId="0" borderId="1" xfId="0" applyBorder="1"/>
    <xf numFmtId="0" fontId="0" fillId="2" borderId="2" xfId="0" applyFill="1" applyBorder="1"/>
    <xf numFmtId="1" fontId="0" fillId="0" borderId="0" xfId="0" applyNumberFormat="1"/>
    <xf numFmtId="0" fontId="5" fillId="0" borderId="0" xfId="0" applyFont="1"/>
    <xf numFmtId="2" fontId="5" fillId="0" borderId="0" xfId="0" applyNumberFormat="1" applyFont="1"/>
    <xf numFmtId="0" fontId="0" fillId="0" borderId="0" xfId="0" applyAlignment="1">
      <alignment horizontal="center"/>
    </xf>
    <xf numFmtId="9" fontId="0" fillId="0" borderId="0" xfId="1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3" fillId="3" borderId="2" xfId="0" applyFont="1" applyFill="1" applyBorder="1"/>
    <xf numFmtId="0" fontId="0" fillId="3" borderId="3" xfId="0" applyFill="1" applyBorder="1"/>
    <xf numFmtId="0" fontId="4" fillId="0" borderId="0" xfId="0" applyFont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E89FE-E6A1-4CC9-BE0E-F7557A87387B}">
  <sheetPr>
    <pageSetUpPr fitToPage="1"/>
  </sheetPr>
  <dimension ref="A1:O23"/>
  <sheetViews>
    <sheetView showZeros="0" tabSelected="1" workbookViewId="0">
      <selection activeCell="O21" sqref="O21"/>
    </sheetView>
  </sheetViews>
  <sheetFormatPr defaultRowHeight="15" x14ac:dyDescent="0.25"/>
  <cols>
    <col min="1" max="1" width="15.5703125" customWidth="1"/>
    <col min="2" max="2" width="9" bestFit="1" customWidth="1"/>
    <col min="3" max="4" width="8.42578125" customWidth="1"/>
    <col min="6" max="6" width="16.7109375" bestFit="1" customWidth="1"/>
    <col min="7" max="7" width="14.42578125" customWidth="1"/>
    <col min="8" max="8" width="16.28515625" customWidth="1"/>
    <col min="10" max="10" width="11.5703125" customWidth="1"/>
    <col min="11" max="11" width="2" style="5" customWidth="1"/>
    <col min="12" max="12" width="6.28515625" customWidth="1"/>
    <col min="13" max="13" width="16.7109375" bestFit="1" customWidth="1"/>
    <col min="14" max="14" width="14.42578125" bestFit="1" customWidth="1"/>
    <col min="15" max="15" width="22.42578125" bestFit="1" customWidth="1"/>
  </cols>
  <sheetData>
    <row r="1" spans="1:15" ht="18.75" x14ac:dyDescent="0.3">
      <c r="E1" s="15" t="s">
        <v>12</v>
      </c>
      <c r="F1" s="15"/>
      <c r="G1" s="15"/>
      <c r="H1" s="15"/>
      <c r="I1" s="15"/>
      <c r="K1"/>
    </row>
    <row r="2" spans="1:15" s="4" customFormat="1" x14ac:dyDescent="0.25">
      <c r="C2"/>
      <c r="F2" s="4" t="s">
        <v>20</v>
      </c>
      <c r="G2" s="4" t="s">
        <v>19</v>
      </c>
      <c r="H2" s="4" t="s">
        <v>21</v>
      </c>
    </row>
    <row r="3" spans="1:15" s="12" customFormat="1" ht="15.75" x14ac:dyDescent="0.25">
      <c r="A3" s="11"/>
      <c r="B3" s="11"/>
      <c r="C3" s="14"/>
      <c r="F3" s="16" t="s">
        <v>8</v>
      </c>
      <c r="G3" s="16"/>
      <c r="H3" s="16"/>
      <c r="K3" s="13"/>
      <c r="M3" s="17" t="s">
        <v>9</v>
      </c>
      <c r="N3" s="17"/>
      <c r="O3" s="17"/>
    </row>
    <row r="4" spans="1:15" x14ac:dyDescent="0.25">
      <c r="F4" t="s">
        <v>0</v>
      </c>
      <c r="G4">
        <v>37.711469000000044</v>
      </c>
      <c r="H4" t="s">
        <v>2</v>
      </c>
    </row>
    <row r="5" spans="1:15" x14ac:dyDescent="0.25">
      <c r="F5" t="s">
        <v>1</v>
      </c>
      <c r="G5" s="6">
        <v>75.400000000000006</v>
      </c>
    </row>
    <row r="6" spans="1:15" x14ac:dyDescent="0.25">
      <c r="F6" t="s">
        <v>3</v>
      </c>
      <c r="G6">
        <f>1418*3.2808</f>
        <v>4652.1743999999999</v>
      </c>
      <c r="H6" t="s">
        <v>5</v>
      </c>
    </row>
    <row r="7" spans="1:15" x14ac:dyDescent="0.25">
      <c r="F7" t="s">
        <v>4</v>
      </c>
      <c r="G7">
        <v>12.9345</v>
      </c>
      <c r="H7" t="s">
        <v>6</v>
      </c>
    </row>
    <row r="8" spans="1:15" x14ac:dyDescent="0.25">
      <c r="F8" t="s">
        <v>17</v>
      </c>
      <c r="G8" s="2">
        <f>IFERROR(G9/0.6,"")</f>
        <v>0.57825218752143037</v>
      </c>
      <c r="H8" t="s">
        <v>7</v>
      </c>
      <c r="I8" s="3" t="s">
        <v>16</v>
      </c>
    </row>
    <row r="9" spans="1:15" x14ac:dyDescent="0.25">
      <c r="F9" s="7" t="s">
        <v>13</v>
      </c>
      <c r="G9" s="8">
        <f>IFERROR(((G6^0.8)*(G10+1)^(0.7))/(1900*(G7^0.5)),"")</f>
        <v>0.34695131251285821</v>
      </c>
      <c r="H9" s="7" t="s">
        <v>7</v>
      </c>
    </row>
    <row r="10" spans="1:15" x14ac:dyDescent="0.25">
      <c r="F10" s="7" t="s">
        <v>15</v>
      </c>
      <c r="G10" s="8">
        <f>IFERROR((1000/G5)-10,"")</f>
        <v>3.2625994694960205</v>
      </c>
      <c r="H10" s="7" t="s">
        <v>14</v>
      </c>
    </row>
    <row r="12" spans="1:15" x14ac:dyDescent="0.25">
      <c r="F12" t="s">
        <v>10</v>
      </c>
      <c r="G12" t="s">
        <v>11</v>
      </c>
      <c r="H12" t="s">
        <v>18</v>
      </c>
      <c r="M12" t="s">
        <v>10</v>
      </c>
      <c r="N12" t="s">
        <v>11</v>
      </c>
      <c r="O12" t="s">
        <v>18</v>
      </c>
    </row>
    <row r="13" spans="1:15" x14ac:dyDescent="0.25">
      <c r="F13">
        <v>2</v>
      </c>
      <c r="G13" s="6">
        <v>15.8</v>
      </c>
      <c r="H13" s="6">
        <f>G13*1.2</f>
        <v>18.96</v>
      </c>
      <c r="M13">
        <v>2</v>
      </c>
      <c r="N13" s="6">
        <v>4.74</v>
      </c>
      <c r="O13" s="6">
        <f>N13*1.2</f>
        <v>5.6879999999999997</v>
      </c>
    </row>
    <row r="14" spans="1:15" x14ac:dyDescent="0.25">
      <c r="F14">
        <v>5</v>
      </c>
      <c r="G14" s="6">
        <v>28</v>
      </c>
      <c r="H14" s="6">
        <f t="shared" ref="H14:H18" si="0">G14*1.2</f>
        <v>33.6</v>
      </c>
      <c r="M14">
        <v>5</v>
      </c>
      <c r="N14" s="6">
        <v>8.41</v>
      </c>
      <c r="O14" s="6">
        <f t="shared" ref="O14:O18" si="1">N14*1.2</f>
        <v>10.092000000000001</v>
      </c>
    </row>
    <row r="15" spans="1:15" x14ac:dyDescent="0.25">
      <c r="F15">
        <v>10</v>
      </c>
      <c r="G15" s="6">
        <v>39</v>
      </c>
      <c r="H15" s="6">
        <f t="shared" si="0"/>
        <v>46.8</v>
      </c>
      <c r="M15">
        <v>10</v>
      </c>
      <c r="N15" s="6">
        <v>1.4</v>
      </c>
      <c r="O15" s="6">
        <f t="shared" si="1"/>
        <v>1.68</v>
      </c>
    </row>
    <row r="16" spans="1:15" x14ac:dyDescent="0.25">
      <c r="F16">
        <v>25</v>
      </c>
      <c r="G16" s="6">
        <v>55.6</v>
      </c>
      <c r="H16" s="6">
        <f t="shared" si="0"/>
        <v>66.72</v>
      </c>
      <c r="M16">
        <v>25</v>
      </c>
      <c r="N16" s="6">
        <v>15.6</v>
      </c>
      <c r="O16" s="6">
        <f t="shared" si="1"/>
        <v>18.72</v>
      </c>
    </row>
    <row r="17" spans="6:15" x14ac:dyDescent="0.25">
      <c r="F17">
        <v>50</v>
      </c>
      <c r="G17" s="6">
        <v>68.900000000000006</v>
      </c>
      <c r="H17" s="6">
        <f t="shared" si="0"/>
        <v>82.68</v>
      </c>
      <c r="M17">
        <v>50</v>
      </c>
      <c r="N17" s="6">
        <v>19.2</v>
      </c>
      <c r="O17" s="6">
        <f t="shared" si="1"/>
        <v>23.04</v>
      </c>
    </row>
    <row r="18" spans="6:15" x14ac:dyDescent="0.25">
      <c r="F18">
        <v>100</v>
      </c>
      <c r="G18" s="6">
        <v>82.5</v>
      </c>
      <c r="H18" s="6">
        <f t="shared" si="0"/>
        <v>99</v>
      </c>
      <c r="M18">
        <v>100</v>
      </c>
      <c r="N18" s="6">
        <v>23</v>
      </c>
      <c r="O18" s="6">
        <f t="shared" si="1"/>
        <v>27.599999999999998</v>
      </c>
    </row>
    <row r="19" spans="6:15" x14ac:dyDescent="0.25">
      <c r="F19" s="1"/>
    </row>
    <row r="20" spans="6:15" x14ac:dyDescent="0.25">
      <c r="F20" s="1"/>
    </row>
    <row r="21" spans="6:15" x14ac:dyDescent="0.25">
      <c r="F21" s="1"/>
    </row>
    <row r="22" spans="6:15" x14ac:dyDescent="0.25">
      <c r="F22" s="1"/>
    </row>
    <row r="23" spans="6:15" x14ac:dyDescent="0.25">
      <c r="F23" s="1"/>
    </row>
  </sheetData>
  <mergeCells count="3">
    <mergeCell ref="E1:I1"/>
    <mergeCell ref="F3:H3"/>
    <mergeCell ref="M3:O3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A0E66-79CC-4722-AD2E-9ACE4966D3D9}">
  <dimension ref="F1:H58"/>
  <sheetViews>
    <sheetView showZeros="0" workbookViewId="0">
      <selection activeCell="F13" sqref="F13"/>
    </sheetView>
  </sheetViews>
  <sheetFormatPr defaultRowHeight="15" x14ac:dyDescent="0.25"/>
  <cols>
    <col min="1" max="1" width="32.85546875" bestFit="1" customWidth="1"/>
    <col min="2" max="2" width="37.42578125" bestFit="1" customWidth="1"/>
    <col min="3" max="3" width="19.85546875" bestFit="1" customWidth="1"/>
    <col min="6" max="6" width="32.85546875" bestFit="1" customWidth="1"/>
    <col min="7" max="7" width="14.7109375" customWidth="1"/>
  </cols>
  <sheetData>
    <row r="1" spans="6:8" x14ac:dyDescent="0.25">
      <c r="F1" s="9">
        <f>COUNTA(A:A)</f>
        <v>0</v>
      </c>
      <c r="G1" s="9" t="s">
        <v>22</v>
      </c>
    </row>
    <row r="3" spans="6:8" x14ac:dyDescent="0.25">
      <c r="F3" t="e" cm="1" vm="1">
        <f t="array" ref="F3">_xlfn._xlws.SORT(_xlfn.UNIQUE(_xlfn._xlws.FILTER(B:B, B:B&lt;&gt;"")))</f>
        <v>#VALUE!</v>
      </c>
      <c r="G3">
        <f>COUNTIF(B:B,F3)</f>
        <v>0</v>
      </c>
      <c r="H3" s="10" t="str">
        <f>IFERROR(G3/$F$1,"")</f>
        <v/>
      </c>
    </row>
    <row r="4" spans="6:8" x14ac:dyDescent="0.25">
      <c r="G4">
        <f t="shared" ref="G4:G9" si="0">COUNTIF(B:B,F4)</f>
        <v>0</v>
      </c>
      <c r="H4" s="10" t="str">
        <f t="shared" ref="H4:H9" si="1">IFERROR(G4/$F$1,"")</f>
        <v/>
      </c>
    </row>
    <row r="5" spans="6:8" x14ac:dyDescent="0.25">
      <c r="G5">
        <f t="shared" si="0"/>
        <v>0</v>
      </c>
      <c r="H5" s="10" t="str">
        <f t="shared" si="1"/>
        <v/>
      </c>
    </row>
    <row r="6" spans="6:8" x14ac:dyDescent="0.25">
      <c r="G6">
        <f t="shared" si="0"/>
        <v>0</v>
      </c>
      <c r="H6" s="10" t="str">
        <f t="shared" si="1"/>
        <v/>
      </c>
    </row>
    <row r="7" spans="6:8" x14ac:dyDescent="0.25">
      <c r="G7">
        <f t="shared" si="0"/>
        <v>0</v>
      </c>
      <c r="H7" s="10" t="str">
        <f t="shared" si="1"/>
        <v/>
      </c>
    </row>
    <row r="8" spans="6:8" x14ac:dyDescent="0.25">
      <c r="G8">
        <f t="shared" si="0"/>
        <v>0</v>
      </c>
      <c r="H8" s="10" t="str">
        <f t="shared" si="1"/>
        <v/>
      </c>
    </row>
    <row r="9" spans="6:8" x14ac:dyDescent="0.25">
      <c r="G9">
        <f t="shared" si="0"/>
        <v>0</v>
      </c>
      <c r="H9" s="10" t="str">
        <f t="shared" si="1"/>
        <v/>
      </c>
    </row>
    <row r="12" spans="6:8" x14ac:dyDescent="0.25">
      <c r="F12" t="e" cm="1" vm="1">
        <f t="array" ref="F12">_xlfn._xlws.SORT(_xlfn.UNIQUE(_xlfn._xlws.FILTER(A:A, A:A&lt;&gt;"")))</f>
        <v>#VALUE!</v>
      </c>
      <c r="G12">
        <f>COUNTIF(A:A,F12)</f>
        <v>0</v>
      </c>
      <c r="H12" s="10" t="str">
        <f>IFERROR(G12/$F$1,"")</f>
        <v/>
      </c>
    </row>
    <row r="13" spans="6:8" x14ac:dyDescent="0.25">
      <c r="G13">
        <f t="shared" ref="G13:G58" si="2">COUNTIF(A:A,F13)</f>
        <v>0</v>
      </c>
      <c r="H13" s="10" t="str">
        <f t="shared" ref="H13:H58" si="3">IFERROR(G13/$F$1,"")</f>
        <v/>
      </c>
    </row>
    <row r="14" spans="6:8" x14ac:dyDescent="0.25">
      <c r="G14">
        <f t="shared" si="2"/>
        <v>0</v>
      </c>
      <c r="H14" s="10" t="str">
        <f t="shared" si="3"/>
        <v/>
      </c>
    </row>
    <row r="15" spans="6:8" x14ac:dyDescent="0.25">
      <c r="G15">
        <f t="shared" si="2"/>
        <v>0</v>
      </c>
      <c r="H15" s="10" t="str">
        <f t="shared" si="3"/>
        <v/>
      </c>
    </row>
    <row r="16" spans="6:8" x14ac:dyDescent="0.25">
      <c r="G16">
        <f t="shared" si="2"/>
        <v>0</v>
      </c>
      <c r="H16" s="10" t="str">
        <f t="shared" si="3"/>
        <v/>
      </c>
    </row>
    <row r="17" spans="7:8" x14ac:dyDescent="0.25">
      <c r="G17">
        <f t="shared" si="2"/>
        <v>0</v>
      </c>
      <c r="H17" s="10" t="str">
        <f t="shared" si="3"/>
        <v/>
      </c>
    </row>
    <row r="18" spans="7:8" x14ac:dyDescent="0.25">
      <c r="G18">
        <f t="shared" si="2"/>
        <v>0</v>
      </c>
      <c r="H18" s="10" t="str">
        <f t="shared" si="3"/>
        <v/>
      </c>
    </row>
    <row r="19" spans="7:8" x14ac:dyDescent="0.25">
      <c r="G19">
        <f t="shared" si="2"/>
        <v>0</v>
      </c>
      <c r="H19" s="10" t="str">
        <f t="shared" si="3"/>
        <v/>
      </c>
    </row>
    <row r="20" spans="7:8" x14ac:dyDescent="0.25">
      <c r="G20">
        <f t="shared" si="2"/>
        <v>0</v>
      </c>
      <c r="H20" s="10" t="str">
        <f t="shared" si="3"/>
        <v/>
      </c>
    </row>
    <row r="21" spans="7:8" x14ac:dyDescent="0.25">
      <c r="G21">
        <f t="shared" si="2"/>
        <v>0</v>
      </c>
      <c r="H21" s="10" t="str">
        <f t="shared" si="3"/>
        <v/>
      </c>
    </row>
    <row r="22" spans="7:8" x14ac:dyDescent="0.25">
      <c r="G22">
        <f t="shared" si="2"/>
        <v>0</v>
      </c>
      <c r="H22" s="10" t="str">
        <f t="shared" si="3"/>
        <v/>
      </c>
    </row>
    <row r="23" spans="7:8" x14ac:dyDescent="0.25">
      <c r="G23">
        <f t="shared" si="2"/>
        <v>0</v>
      </c>
      <c r="H23" s="10" t="str">
        <f t="shared" si="3"/>
        <v/>
      </c>
    </row>
    <row r="24" spans="7:8" x14ac:dyDescent="0.25">
      <c r="G24">
        <f t="shared" si="2"/>
        <v>0</v>
      </c>
      <c r="H24" s="10" t="str">
        <f t="shared" si="3"/>
        <v/>
      </c>
    </row>
    <row r="25" spans="7:8" x14ac:dyDescent="0.25">
      <c r="G25">
        <f t="shared" si="2"/>
        <v>0</v>
      </c>
      <c r="H25" s="10" t="str">
        <f t="shared" si="3"/>
        <v/>
      </c>
    </row>
    <row r="26" spans="7:8" x14ac:dyDescent="0.25">
      <c r="G26">
        <f t="shared" si="2"/>
        <v>0</v>
      </c>
      <c r="H26" s="10" t="str">
        <f t="shared" si="3"/>
        <v/>
      </c>
    </row>
    <row r="27" spans="7:8" x14ac:dyDescent="0.25">
      <c r="G27">
        <f t="shared" si="2"/>
        <v>0</v>
      </c>
      <c r="H27" s="10" t="str">
        <f t="shared" si="3"/>
        <v/>
      </c>
    </row>
    <row r="28" spans="7:8" x14ac:dyDescent="0.25">
      <c r="G28">
        <f t="shared" si="2"/>
        <v>0</v>
      </c>
      <c r="H28" s="10" t="str">
        <f t="shared" si="3"/>
        <v/>
      </c>
    </row>
    <row r="29" spans="7:8" x14ac:dyDescent="0.25">
      <c r="G29">
        <f t="shared" si="2"/>
        <v>0</v>
      </c>
      <c r="H29" s="10" t="str">
        <f t="shared" si="3"/>
        <v/>
      </c>
    </row>
    <row r="30" spans="7:8" x14ac:dyDescent="0.25">
      <c r="G30">
        <f t="shared" si="2"/>
        <v>0</v>
      </c>
      <c r="H30" s="10" t="str">
        <f t="shared" si="3"/>
        <v/>
      </c>
    </row>
    <row r="31" spans="7:8" x14ac:dyDescent="0.25">
      <c r="G31">
        <f t="shared" si="2"/>
        <v>0</v>
      </c>
      <c r="H31" s="10" t="str">
        <f t="shared" si="3"/>
        <v/>
      </c>
    </row>
    <row r="32" spans="7:8" x14ac:dyDescent="0.25">
      <c r="G32">
        <f t="shared" si="2"/>
        <v>0</v>
      </c>
      <c r="H32" s="10" t="str">
        <f t="shared" si="3"/>
        <v/>
      </c>
    </row>
    <row r="33" spans="7:8" x14ac:dyDescent="0.25">
      <c r="G33">
        <f t="shared" si="2"/>
        <v>0</v>
      </c>
      <c r="H33" s="10" t="str">
        <f t="shared" si="3"/>
        <v/>
      </c>
    </row>
    <row r="34" spans="7:8" x14ac:dyDescent="0.25">
      <c r="G34">
        <f t="shared" si="2"/>
        <v>0</v>
      </c>
      <c r="H34" s="10" t="str">
        <f t="shared" si="3"/>
        <v/>
      </c>
    </row>
    <row r="35" spans="7:8" x14ac:dyDescent="0.25">
      <c r="G35">
        <f t="shared" si="2"/>
        <v>0</v>
      </c>
      <c r="H35" s="10" t="str">
        <f t="shared" si="3"/>
        <v/>
      </c>
    </row>
    <row r="36" spans="7:8" x14ac:dyDescent="0.25">
      <c r="G36">
        <f t="shared" si="2"/>
        <v>0</v>
      </c>
      <c r="H36" s="10" t="str">
        <f t="shared" si="3"/>
        <v/>
      </c>
    </row>
    <row r="37" spans="7:8" x14ac:dyDescent="0.25">
      <c r="G37">
        <f t="shared" si="2"/>
        <v>0</v>
      </c>
      <c r="H37" s="10" t="str">
        <f t="shared" si="3"/>
        <v/>
      </c>
    </row>
    <row r="38" spans="7:8" x14ac:dyDescent="0.25">
      <c r="G38">
        <f t="shared" si="2"/>
        <v>0</v>
      </c>
      <c r="H38" s="10" t="str">
        <f t="shared" si="3"/>
        <v/>
      </c>
    </row>
    <row r="39" spans="7:8" x14ac:dyDescent="0.25">
      <c r="G39">
        <f t="shared" si="2"/>
        <v>0</v>
      </c>
      <c r="H39" s="10" t="str">
        <f t="shared" si="3"/>
        <v/>
      </c>
    </row>
    <row r="40" spans="7:8" x14ac:dyDescent="0.25">
      <c r="G40">
        <f t="shared" si="2"/>
        <v>0</v>
      </c>
      <c r="H40" s="10" t="str">
        <f t="shared" si="3"/>
        <v/>
      </c>
    </row>
    <row r="41" spans="7:8" x14ac:dyDescent="0.25">
      <c r="G41">
        <f t="shared" si="2"/>
        <v>0</v>
      </c>
      <c r="H41" s="10" t="str">
        <f t="shared" si="3"/>
        <v/>
      </c>
    </row>
    <row r="42" spans="7:8" x14ac:dyDescent="0.25">
      <c r="G42">
        <f t="shared" si="2"/>
        <v>0</v>
      </c>
      <c r="H42" s="10" t="str">
        <f t="shared" si="3"/>
        <v/>
      </c>
    </row>
    <row r="43" spans="7:8" x14ac:dyDescent="0.25">
      <c r="G43">
        <f t="shared" si="2"/>
        <v>0</v>
      </c>
      <c r="H43" s="10" t="str">
        <f t="shared" si="3"/>
        <v/>
      </c>
    </row>
    <row r="44" spans="7:8" x14ac:dyDescent="0.25">
      <c r="G44">
        <f t="shared" si="2"/>
        <v>0</v>
      </c>
      <c r="H44" s="10" t="str">
        <f t="shared" si="3"/>
        <v/>
      </c>
    </row>
    <row r="45" spans="7:8" x14ac:dyDescent="0.25">
      <c r="G45">
        <f t="shared" si="2"/>
        <v>0</v>
      </c>
      <c r="H45" s="10" t="str">
        <f t="shared" si="3"/>
        <v/>
      </c>
    </row>
    <row r="46" spans="7:8" x14ac:dyDescent="0.25">
      <c r="G46">
        <f t="shared" si="2"/>
        <v>0</v>
      </c>
      <c r="H46" s="10" t="str">
        <f t="shared" si="3"/>
        <v/>
      </c>
    </row>
    <row r="47" spans="7:8" x14ac:dyDescent="0.25">
      <c r="G47">
        <f t="shared" si="2"/>
        <v>0</v>
      </c>
      <c r="H47" s="10" t="str">
        <f t="shared" si="3"/>
        <v/>
      </c>
    </row>
    <row r="48" spans="7:8" x14ac:dyDescent="0.25">
      <c r="G48">
        <f t="shared" si="2"/>
        <v>0</v>
      </c>
      <c r="H48" s="10" t="str">
        <f t="shared" si="3"/>
        <v/>
      </c>
    </row>
    <row r="49" spans="7:8" x14ac:dyDescent="0.25">
      <c r="G49">
        <f t="shared" si="2"/>
        <v>0</v>
      </c>
      <c r="H49" s="10" t="str">
        <f t="shared" si="3"/>
        <v/>
      </c>
    </row>
    <row r="50" spans="7:8" x14ac:dyDescent="0.25">
      <c r="G50">
        <f t="shared" si="2"/>
        <v>0</v>
      </c>
      <c r="H50" s="10" t="str">
        <f t="shared" si="3"/>
        <v/>
      </c>
    </row>
    <row r="51" spans="7:8" x14ac:dyDescent="0.25">
      <c r="G51">
        <f t="shared" si="2"/>
        <v>0</v>
      </c>
      <c r="H51" s="10" t="str">
        <f t="shared" si="3"/>
        <v/>
      </c>
    </row>
    <row r="52" spans="7:8" x14ac:dyDescent="0.25">
      <c r="G52">
        <f t="shared" si="2"/>
        <v>0</v>
      </c>
      <c r="H52" s="10" t="str">
        <f t="shared" si="3"/>
        <v/>
      </c>
    </row>
    <row r="53" spans="7:8" x14ac:dyDescent="0.25">
      <c r="G53">
        <f t="shared" si="2"/>
        <v>0</v>
      </c>
      <c r="H53" s="10" t="str">
        <f t="shared" si="3"/>
        <v/>
      </c>
    </row>
    <row r="54" spans="7:8" x14ac:dyDescent="0.25">
      <c r="G54">
        <f t="shared" si="2"/>
        <v>0</v>
      </c>
      <c r="H54" s="10" t="str">
        <f t="shared" si="3"/>
        <v/>
      </c>
    </row>
    <row r="55" spans="7:8" x14ac:dyDescent="0.25">
      <c r="G55">
        <f t="shared" si="2"/>
        <v>0</v>
      </c>
      <c r="H55" s="10" t="str">
        <f t="shared" si="3"/>
        <v/>
      </c>
    </row>
    <row r="56" spans="7:8" x14ac:dyDescent="0.25">
      <c r="G56">
        <f t="shared" si="2"/>
        <v>0</v>
      </c>
      <c r="H56" s="10" t="str">
        <f t="shared" si="3"/>
        <v/>
      </c>
    </row>
    <row r="57" spans="7:8" x14ac:dyDescent="0.25">
      <c r="G57">
        <f t="shared" si="2"/>
        <v>0</v>
      </c>
      <c r="H57" s="10" t="str">
        <f t="shared" si="3"/>
        <v/>
      </c>
    </row>
    <row r="58" spans="7:8" x14ac:dyDescent="0.25">
      <c r="G58">
        <f t="shared" si="2"/>
        <v>0</v>
      </c>
      <c r="H58" s="10" t="str">
        <f t="shared" si="3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6A4AB-811E-4DDB-8169-5224BF38558D}">
  <dimension ref="A1:K291"/>
  <sheetViews>
    <sheetView workbookViewId="0">
      <selection activeCell="K5" sqref="K5"/>
    </sheetView>
  </sheetViews>
  <sheetFormatPr defaultRowHeight="15" x14ac:dyDescent="0.25"/>
  <cols>
    <col min="1" max="1" width="10.7109375" bestFit="1" customWidth="1"/>
    <col min="2" max="2" width="8" bestFit="1" customWidth="1"/>
    <col min="3" max="3" width="32.85546875" bestFit="1" customWidth="1"/>
    <col min="4" max="4" width="7.42578125" bestFit="1" customWidth="1"/>
    <col min="5" max="5" width="37.42578125" bestFit="1" customWidth="1"/>
    <col min="6" max="6" width="13.140625" bestFit="1" customWidth="1"/>
    <col min="7" max="7" width="12" bestFit="1" customWidth="1"/>
    <col min="8" max="8" width="19.85546875" bestFit="1" customWidth="1"/>
    <col min="9" max="9" width="9" bestFit="1" customWidth="1"/>
  </cols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</row>
    <row r="2" spans="1:11" x14ac:dyDescent="0.25">
      <c r="A2">
        <v>1</v>
      </c>
      <c r="B2" t="s">
        <v>32</v>
      </c>
      <c r="C2" t="s">
        <v>33</v>
      </c>
      <c r="D2" t="s">
        <v>34</v>
      </c>
      <c r="E2" t="s">
        <v>35</v>
      </c>
      <c r="F2">
        <v>1504.056832</v>
      </c>
      <c r="G2">
        <v>18181.421785999999</v>
      </c>
      <c r="H2">
        <v>74</v>
      </c>
      <c r="I2">
        <v>4.4927089999999996</v>
      </c>
      <c r="K2">
        <f>SUM(I2:I291)</f>
        <v>37.711469000000044</v>
      </c>
    </row>
    <row r="3" spans="1:11" x14ac:dyDescent="0.25">
      <c r="A3">
        <v>2</v>
      </c>
      <c r="B3" t="s">
        <v>32</v>
      </c>
      <c r="C3" t="s">
        <v>36</v>
      </c>
      <c r="D3" t="s">
        <v>34</v>
      </c>
      <c r="E3" t="s">
        <v>35</v>
      </c>
      <c r="F3">
        <v>8.4382479999999997</v>
      </c>
      <c r="G3">
        <v>4.1193989999999996</v>
      </c>
      <c r="H3">
        <v>72</v>
      </c>
      <c r="I3">
        <v>1.018E-3</v>
      </c>
    </row>
    <row r="4" spans="1:11" x14ac:dyDescent="0.25">
      <c r="A4">
        <v>3</v>
      </c>
      <c r="B4" t="s">
        <v>32</v>
      </c>
      <c r="C4" t="s">
        <v>37</v>
      </c>
      <c r="D4" t="s">
        <v>34</v>
      </c>
      <c r="E4" t="s">
        <v>35</v>
      </c>
      <c r="F4">
        <v>36.756706999999999</v>
      </c>
      <c r="G4">
        <v>44.837017000000003</v>
      </c>
      <c r="H4">
        <v>72</v>
      </c>
      <c r="I4">
        <v>1.1079E-2</v>
      </c>
      <c r="K4">
        <f>SUMPRODUCT(H2:H291,I2:I291)/K2</f>
        <v>75.408521688720086</v>
      </c>
    </row>
    <row r="5" spans="1:11" x14ac:dyDescent="0.25">
      <c r="A5">
        <v>4</v>
      </c>
      <c r="B5" t="s">
        <v>32</v>
      </c>
      <c r="C5" t="s">
        <v>38</v>
      </c>
      <c r="D5" t="s">
        <v>34</v>
      </c>
      <c r="E5" t="s">
        <v>35</v>
      </c>
      <c r="F5">
        <v>25.570917999999999</v>
      </c>
      <c r="G5">
        <v>20.277027</v>
      </c>
      <c r="H5">
        <v>98</v>
      </c>
      <c r="I5">
        <v>5.0109999999999998E-3</v>
      </c>
    </row>
    <row r="6" spans="1:11" x14ac:dyDescent="0.25">
      <c r="A6">
        <v>5</v>
      </c>
      <c r="B6" t="s">
        <v>32</v>
      </c>
      <c r="C6" t="s">
        <v>37</v>
      </c>
      <c r="D6" t="s">
        <v>34</v>
      </c>
      <c r="E6" t="s">
        <v>35</v>
      </c>
      <c r="F6">
        <v>14.191736000000001</v>
      </c>
      <c r="G6">
        <v>10.298498</v>
      </c>
      <c r="H6">
        <v>72</v>
      </c>
      <c r="I6">
        <v>2.545E-3</v>
      </c>
    </row>
    <row r="7" spans="1:11" x14ac:dyDescent="0.25">
      <c r="A7">
        <v>6</v>
      </c>
      <c r="B7" t="s">
        <v>32</v>
      </c>
      <c r="C7" t="s">
        <v>39</v>
      </c>
      <c r="D7" t="s">
        <v>34</v>
      </c>
      <c r="E7" t="s">
        <v>35</v>
      </c>
      <c r="F7">
        <v>79.585573999999994</v>
      </c>
      <c r="G7">
        <v>221.10978299999999</v>
      </c>
      <c r="H7">
        <v>74</v>
      </c>
      <c r="I7">
        <v>5.4636999999999998E-2</v>
      </c>
    </row>
    <row r="8" spans="1:11" x14ac:dyDescent="0.25">
      <c r="A8">
        <v>7</v>
      </c>
      <c r="B8" t="s">
        <v>32</v>
      </c>
      <c r="C8" t="s">
        <v>40</v>
      </c>
      <c r="D8" t="s">
        <v>34</v>
      </c>
      <c r="E8" t="s">
        <v>35</v>
      </c>
      <c r="F8">
        <v>113.393698</v>
      </c>
      <c r="G8">
        <v>140.03327200000001</v>
      </c>
      <c r="H8">
        <v>92</v>
      </c>
      <c r="I8">
        <v>3.4603000000000002E-2</v>
      </c>
    </row>
    <row r="9" spans="1:11" x14ac:dyDescent="0.25">
      <c r="A9">
        <v>8</v>
      </c>
      <c r="B9" t="s">
        <v>32</v>
      </c>
      <c r="C9" t="s">
        <v>40</v>
      </c>
      <c r="D9" t="s">
        <v>34</v>
      </c>
      <c r="E9" t="s">
        <v>35</v>
      </c>
      <c r="F9">
        <v>22.246016000000001</v>
      </c>
      <c r="G9">
        <v>14.417897</v>
      </c>
      <c r="H9">
        <v>92</v>
      </c>
      <c r="I9">
        <v>3.5630000000000002E-3</v>
      </c>
    </row>
    <row r="10" spans="1:11" x14ac:dyDescent="0.25">
      <c r="A10">
        <v>9</v>
      </c>
      <c r="B10" t="s">
        <v>32</v>
      </c>
      <c r="C10" t="s">
        <v>41</v>
      </c>
      <c r="D10" t="s">
        <v>34</v>
      </c>
      <c r="E10" t="s">
        <v>35</v>
      </c>
      <c r="F10">
        <v>141.53037900000001</v>
      </c>
      <c r="G10">
        <v>228.62665000000001</v>
      </c>
      <c r="H10">
        <v>92</v>
      </c>
      <c r="I10">
        <v>5.6494999999999997E-2</v>
      </c>
    </row>
    <row r="11" spans="1:11" x14ac:dyDescent="0.25">
      <c r="A11">
        <v>10</v>
      </c>
      <c r="B11" t="s">
        <v>32</v>
      </c>
      <c r="C11" t="s">
        <v>36</v>
      </c>
      <c r="D11" t="s">
        <v>34</v>
      </c>
      <c r="E11" t="s">
        <v>35</v>
      </c>
      <c r="F11">
        <v>122.737058</v>
      </c>
      <c r="G11">
        <v>280.11913900000002</v>
      </c>
      <c r="H11">
        <v>72</v>
      </c>
      <c r="I11">
        <v>6.9219000000000003E-2</v>
      </c>
    </row>
    <row r="12" spans="1:11" x14ac:dyDescent="0.25">
      <c r="A12">
        <v>11</v>
      </c>
      <c r="B12" t="s">
        <v>32</v>
      </c>
      <c r="C12" t="s">
        <v>40</v>
      </c>
      <c r="D12" t="s">
        <v>34</v>
      </c>
      <c r="E12" t="s">
        <v>35</v>
      </c>
      <c r="F12">
        <v>33.752991999999999</v>
      </c>
      <c r="G12">
        <v>32.955193000000001</v>
      </c>
      <c r="H12">
        <v>92</v>
      </c>
      <c r="I12">
        <v>8.1429999999999992E-3</v>
      </c>
    </row>
    <row r="13" spans="1:11" x14ac:dyDescent="0.25">
      <c r="A13">
        <v>12</v>
      </c>
      <c r="B13" t="s">
        <v>32</v>
      </c>
      <c r="C13" t="s">
        <v>41</v>
      </c>
      <c r="D13" t="s">
        <v>34</v>
      </c>
      <c r="E13" t="s">
        <v>35</v>
      </c>
      <c r="F13">
        <v>28.383472000000001</v>
      </c>
      <c r="G13">
        <v>32.955193000000001</v>
      </c>
      <c r="H13">
        <v>92</v>
      </c>
      <c r="I13">
        <v>8.1429999999999992E-3</v>
      </c>
    </row>
    <row r="14" spans="1:11" x14ac:dyDescent="0.25">
      <c r="A14">
        <v>13</v>
      </c>
      <c r="B14" t="s">
        <v>32</v>
      </c>
      <c r="C14" t="s">
        <v>41</v>
      </c>
      <c r="D14" t="s">
        <v>34</v>
      </c>
      <c r="E14" t="s">
        <v>35</v>
      </c>
      <c r="F14">
        <v>5.7534879999999999</v>
      </c>
      <c r="G14">
        <v>2.0596999999999999</v>
      </c>
      <c r="H14">
        <v>92</v>
      </c>
      <c r="I14">
        <v>5.0900000000000001E-4</v>
      </c>
    </row>
    <row r="15" spans="1:11" x14ac:dyDescent="0.25">
      <c r="A15">
        <v>14</v>
      </c>
      <c r="B15" t="s">
        <v>32</v>
      </c>
      <c r="C15" t="s">
        <v>36</v>
      </c>
      <c r="D15" t="s">
        <v>34</v>
      </c>
      <c r="E15" t="s">
        <v>35</v>
      </c>
      <c r="F15">
        <v>33.752991999999999</v>
      </c>
      <c r="G15">
        <v>55.611888</v>
      </c>
      <c r="H15">
        <v>72</v>
      </c>
      <c r="I15">
        <v>1.3742000000000001E-2</v>
      </c>
    </row>
    <row r="16" spans="1:11" x14ac:dyDescent="0.25">
      <c r="A16">
        <v>15</v>
      </c>
      <c r="B16" t="s">
        <v>32</v>
      </c>
      <c r="C16" t="s">
        <v>36</v>
      </c>
      <c r="D16" t="s">
        <v>34</v>
      </c>
      <c r="E16" t="s">
        <v>35</v>
      </c>
      <c r="F16">
        <v>8.4382479999999997</v>
      </c>
      <c r="G16">
        <v>4.1193989999999996</v>
      </c>
      <c r="H16">
        <v>72</v>
      </c>
      <c r="I16">
        <v>1.018E-3</v>
      </c>
    </row>
    <row r="17" spans="1:9" x14ac:dyDescent="0.25">
      <c r="A17">
        <v>16</v>
      </c>
      <c r="B17" t="s">
        <v>32</v>
      </c>
      <c r="C17" t="s">
        <v>36</v>
      </c>
      <c r="D17" t="s">
        <v>34</v>
      </c>
      <c r="E17" t="s">
        <v>35</v>
      </c>
      <c r="F17">
        <v>77.864071999999993</v>
      </c>
      <c r="G17">
        <v>243.04454699999999</v>
      </c>
      <c r="H17">
        <v>72</v>
      </c>
      <c r="I17">
        <v>6.0056999999999999E-2</v>
      </c>
    </row>
    <row r="18" spans="1:9" x14ac:dyDescent="0.25">
      <c r="A18">
        <v>17</v>
      </c>
      <c r="B18" t="s">
        <v>32</v>
      </c>
      <c r="C18" t="s">
        <v>40</v>
      </c>
      <c r="D18" t="s">
        <v>34</v>
      </c>
      <c r="E18" t="s">
        <v>35</v>
      </c>
      <c r="F18">
        <v>5.7534879999999999</v>
      </c>
      <c r="G18">
        <v>2.0596999999999999</v>
      </c>
      <c r="H18">
        <v>92</v>
      </c>
      <c r="I18">
        <v>5.0900000000000001E-4</v>
      </c>
    </row>
    <row r="19" spans="1:9" x14ac:dyDescent="0.25">
      <c r="A19">
        <v>18</v>
      </c>
      <c r="B19" t="s">
        <v>32</v>
      </c>
      <c r="C19" t="s">
        <v>40</v>
      </c>
      <c r="D19" t="s">
        <v>34</v>
      </c>
      <c r="E19" t="s">
        <v>35</v>
      </c>
      <c r="F19">
        <v>88.600098000000003</v>
      </c>
      <c r="G19">
        <v>107.104377</v>
      </c>
      <c r="H19">
        <v>92</v>
      </c>
      <c r="I19">
        <v>2.6466E-2</v>
      </c>
    </row>
    <row r="20" spans="1:9" x14ac:dyDescent="0.25">
      <c r="A20">
        <v>19</v>
      </c>
      <c r="B20" t="s">
        <v>32</v>
      </c>
      <c r="C20" t="s">
        <v>40</v>
      </c>
      <c r="D20" t="s">
        <v>34</v>
      </c>
      <c r="E20" t="s">
        <v>35</v>
      </c>
      <c r="F20">
        <v>58.299801000000002</v>
      </c>
      <c r="G20">
        <v>65.910386000000003</v>
      </c>
      <c r="H20">
        <v>92</v>
      </c>
      <c r="I20">
        <v>1.6286999999999999E-2</v>
      </c>
    </row>
    <row r="21" spans="1:9" x14ac:dyDescent="0.25">
      <c r="A21">
        <v>20</v>
      </c>
      <c r="B21" t="s">
        <v>32</v>
      </c>
      <c r="C21" t="s">
        <v>36</v>
      </c>
      <c r="D21" t="s">
        <v>34</v>
      </c>
      <c r="E21" t="s">
        <v>35</v>
      </c>
      <c r="F21">
        <v>106.631512</v>
      </c>
      <c r="G21">
        <v>337.790727</v>
      </c>
      <c r="H21">
        <v>72</v>
      </c>
      <c r="I21">
        <v>8.3470000000000003E-2</v>
      </c>
    </row>
    <row r="22" spans="1:9" x14ac:dyDescent="0.25">
      <c r="A22">
        <v>21</v>
      </c>
      <c r="B22" t="s">
        <v>32</v>
      </c>
      <c r="C22" t="s">
        <v>41</v>
      </c>
      <c r="D22" t="s">
        <v>34</v>
      </c>
      <c r="E22" t="s">
        <v>35</v>
      </c>
      <c r="F22">
        <v>130.023403</v>
      </c>
      <c r="G22">
        <v>177.13416100000001</v>
      </c>
      <c r="H22">
        <v>92</v>
      </c>
      <c r="I22">
        <v>4.3770999999999997E-2</v>
      </c>
    </row>
    <row r="23" spans="1:9" x14ac:dyDescent="0.25">
      <c r="A23">
        <v>22</v>
      </c>
      <c r="B23" t="s">
        <v>32</v>
      </c>
      <c r="C23" t="s">
        <v>41</v>
      </c>
      <c r="D23" t="s">
        <v>34</v>
      </c>
      <c r="E23" t="s">
        <v>35</v>
      </c>
      <c r="F23">
        <v>5.7534879999999999</v>
      </c>
      <c r="G23">
        <v>2.0596999999999999</v>
      </c>
      <c r="H23">
        <v>92</v>
      </c>
      <c r="I23">
        <v>5.0900000000000001E-4</v>
      </c>
    </row>
    <row r="24" spans="1:9" x14ac:dyDescent="0.25">
      <c r="A24">
        <v>23</v>
      </c>
      <c r="B24" t="s">
        <v>32</v>
      </c>
      <c r="C24" t="s">
        <v>38</v>
      </c>
      <c r="D24" t="s">
        <v>34</v>
      </c>
      <c r="E24" t="s">
        <v>35</v>
      </c>
      <c r="F24">
        <v>8.8222159999999992</v>
      </c>
      <c r="G24">
        <v>4.1193989999999996</v>
      </c>
      <c r="H24">
        <v>98</v>
      </c>
      <c r="I24">
        <v>1.018E-3</v>
      </c>
    </row>
    <row r="25" spans="1:9" x14ac:dyDescent="0.25">
      <c r="A25">
        <v>24</v>
      </c>
      <c r="B25" t="s">
        <v>32</v>
      </c>
      <c r="C25" t="s">
        <v>38</v>
      </c>
      <c r="D25" t="s">
        <v>34</v>
      </c>
      <c r="E25" t="s">
        <v>35</v>
      </c>
      <c r="F25">
        <v>8.8222159999999992</v>
      </c>
      <c r="G25">
        <v>4.1193989999999996</v>
      </c>
      <c r="H25">
        <v>98</v>
      </c>
      <c r="I25">
        <v>1.018E-3</v>
      </c>
    </row>
    <row r="26" spans="1:9" x14ac:dyDescent="0.25">
      <c r="A26">
        <v>25</v>
      </c>
      <c r="B26" t="s">
        <v>32</v>
      </c>
      <c r="C26" t="s">
        <v>41</v>
      </c>
      <c r="D26" t="s">
        <v>34</v>
      </c>
      <c r="E26" t="s">
        <v>35</v>
      </c>
      <c r="F26">
        <v>14.191736000000001</v>
      </c>
      <c r="G26">
        <v>10.298498</v>
      </c>
      <c r="H26">
        <v>92</v>
      </c>
      <c r="I26">
        <v>2.545E-3</v>
      </c>
    </row>
    <row r="27" spans="1:9" x14ac:dyDescent="0.25">
      <c r="A27">
        <v>26</v>
      </c>
      <c r="B27" t="s">
        <v>32</v>
      </c>
      <c r="C27" t="s">
        <v>38</v>
      </c>
      <c r="D27" t="s">
        <v>34</v>
      </c>
      <c r="E27" t="s">
        <v>35</v>
      </c>
      <c r="F27">
        <v>8.8222159999999992</v>
      </c>
      <c r="G27">
        <v>4.1193989999999996</v>
      </c>
      <c r="H27">
        <v>98</v>
      </c>
      <c r="I27">
        <v>1.018E-3</v>
      </c>
    </row>
    <row r="28" spans="1:9" x14ac:dyDescent="0.25">
      <c r="A28">
        <v>27</v>
      </c>
      <c r="B28" t="s">
        <v>32</v>
      </c>
      <c r="C28" t="s">
        <v>33</v>
      </c>
      <c r="D28" t="s">
        <v>34</v>
      </c>
      <c r="E28" t="s">
        <v>35</v>
      </c>
      <c r="F28">
        <v>5.7534879999999999</v>
      </c>
      <c r="G28">
        <v>2.0596999999999999</v>
      </c>
      <c r="H28">
        <v>74</v>
      </c>
      <c r="I28">
        <v>5.0900000000000001E-4</v>
      </c>
    </row>
    <row r="29" spans="1:9" x14ac:dyDescent="0.25">
      <c r="A29">
        <v>28</v>
      </c>
      <c r="B29" t="s">
        <v>32</v>
      </c>
      <c r="C29" t="s">
        <v>38</v>
      </c>
      <c r="D29" t="s">
        <v>34</v>
      </c>
      <c r="E29" t="s">
        <v>35</v>
      </c>
      <c r="F29">
        <v>5.7534879999999999</v>
      </c>
      <c r="G29">
        <v>2.0596999999999999</v>
      </c>
      <c r="H29">
        <v>98</v>
      </c>
      <c r="I29">
        <v>5.0900000000000001E-4</v>
      </c>
    </row>
    <row r="30" spans="1:9" x14ac:dyDescent="0.25">
      <c r="A30">
        <v>29</v>
      </c>
      <c r="B30" t="s">
        <v>32</v>
      </c>
      <c r="C30" t="s">
        <v>41</v>
      </c>
      <c r="D30" t="s">
        <v>34</v>
      </c>
      <c r="E30" t="s">
        <v>35</v>
      </c>
      <c r="F30">
        <v>11.123008</v>
      </c>
      <c r="G30">
        <v>6.1790989999999999</v>
      </c>
      <c r="H30">
        <v>92</v>
      </c>
      <c r="I30">
        <v>1.5269999999999999E-3</v>
      </c>
    </row>
    <row r="31" spans="1:9" x14ac:dyDescent="0.25">
      <c r="A31">
        <v>30</v>
      </c>
      <c r="B31" t="s">
        <v>32</v>
      </c>
      <c r="C31" t="s">
        <v>42</v>
      </c>
      <c r="D31" t="s">
        <v>34</v>
      </c>
      <c r="E31" t="s">
        <v>35</v>
      </c>
      <c r="F31">
        <v>63.672336000000001</v>
      </c>
      <c r="G31">
        <v>140.05957000000001</v>
      </c>
      <c r="H31">
        <v>98</v>
      </c>
      <c r="I31">
        <v>3.4609000000000001E-2</v>
      </c>
    </row>
    <row r="32" spans="1:9" x14ac:dyDescent="0.25">
      <c r="A32">
        <v>31</v>
      </c>
      <c r="B32" t="s">
        <v>32</v>
      </c>
      <c r="C32" t="s">
        <v>41</v>
      </c>
      <c r="D32" t="s">
        <v>34</v>
      </c>
      <c r="E32" t="s">
        <v>35</v>
      </c>
      <c r="F32">
        <v>25.314744000000001</v>
      </c>
      <c r="G32">
        <v>22.656694999999999</v>
      </c>
      <c r="H32">
        <v>92</v>
      </c>
      <c r="I32">
        <v>5.5989999999999998E-3</v>
      </c>
    </row>
    <row r="33" spans="1:9" x14ac:dyDescent="0.25">
      <c r="A33">
        <v>32</v>
      </c>
      <c r="B33" t="s">
        <v>32</v>
      </c>
      <c r="C33" t="s">
        <v>40</v>
      </c>
      <c r="D33" t="s">
        <v>34</v>
      </c>
      <c r="E33" t="s">
        <v>35</v>
      </c>
      <c r="F33">
        <v>109.697225</v>
      </c>
      <c r="G33">
        <v>121.522274</v>
      </c>
      <c r="H33">
        <v>92</v>
      </c>
      <c r="I33">
        <v>3.0029E-2</v>
      </c>
    </row>
    <row r="34" spans="1:9" x14ac:dyDescent="0.25">
      <c r="A34">
        <v>33</v>
      </c>
      <c r="B34" t="s">
        <v>32</v>
      </c>
      <c r="C34" t="s">
        <v>39</v>
      </c>
      <c r="D34" t="s">
        <v>34</v>
      </c>
      <c r="E34" t="s">
        <v>35</v>
      </c>
      <c r="F34">
        <v>286.90947799999998</v>
      </c>
      <c r="G34">
        <v>570.53677600000003</v>
      </c>
      <c r="H34">
        <v>74</v>
      </c>
      <c r="I34">
        <v>0.140982</v>
      </c>
    </row>
    <row r="35" spans="1:9" x14ac:dyDescent="0.25">
      <c r="A35">
        <v>34</v>
      </c>
      <c r="B35" t="s">
        <v>32</v>
      </c>
      <c r="C35" t="s">
        <v>37</v>
      </c>
      <c r="D35" t="s">
        <v>34</v>
      </c>
      <c r="E35" t="s">
        <v>35</v>
      </c>
      <c r="F35">
        <v>65.589160000000007</v>
      </c>
      <c r="G35">
        <v>129.76107200000001</v>
      </c>
      <c r="H35">
        <v>72</v>
      </c>
      <c r="I35">
        <v>3.2065000000000003E-2</v>
      </c>
    </row>
    <row r="36" spans="1:9" x14ac:dyDescent="0.25">
      <c r="A36">
        <v>35</v>
      </c>
      <c r="B36" t="s">
        <v>32</v>
      </c>
      <c r="C36" t="s">
        <v>37</v>
      </c>
      <c r="D36" t="s">
        <v>34</v>
      </c>
      <c r="E36" t="s">
        <v>35</v>
      </c>
      <c r="F36">
        <v>154.57925399999999</v>
      </c>
      <c r="G36">
        <v>436.65630499999997</v>
      </c>
      <c r="H36">
        <v>72</v>
      </c>
      <c r="I36">
        <v>0.1079</v>
      </c>
    </row>
    <row r="37" spans="1:9" x14ac:dyDescent="0.25">
      <c r="A37">
        <v>36</v>
      </c>
      <c r="B37" t="s">
        <v>32</v>
      </c>
      <c r="C37" t="s">
        <v>36</v>
      </c>
      <c r="D37" t="s">
        <v>34</v>
      </c>
      <c r="E37" t="s">
        <v>35</v>
      </c>
      <c r="F37">
        <v>5.7534879999999999</v>
      </c>
      <c r="G37">
        <v>2.0596999999999999</v>
      </c>
      <c r="H37">
        <v>72</v>
      </c>
      <c r="I37">
        <v>5.0900000000000001E-4</v>
      </c>
    </row>
    <row r="38" spans="1:9" x14ac:dyDescent="0.25">
      <c r="A38">
        <v>37</v>
      </c>
      <c r="B38" t="s">
        <v>32</v>
      </c>
      <c r="C38" t="s">
        <v>40</v>
      </c>
      <c r="D38" t="s">
        <v>34</v>
      </c>
      <c r="E38" t="s">
        <v>35</v>
      </c>
      <c r="F38">
        <v>5.7534879999999999</v>
      </c>
      <c r="G38">
        <v>2.0596999999999999</v>
      </c>
      <c r="H38">
        <v>92</v>
      </c>
      <c r="I38">
        <v>5.0900000000000001E-4</v>
      </c>
    </row>
    <row r="39" spans="1:9" x14ac:dyDescent="0.25">
      <c r="A39">
        <v>38</v>
      </c>
      <c r="B39" t="s">
        <v>32</v>
      </c>
      <c r="C39" t="s">
        <v>36</v>
      </c>
      <c r="D39" t="s">
        <v>34</v>
      </c>
      <c r="E39" t="s">
        <v>35</v>
      </c>
      <c r="F39">
        <v>20.329191999999999</v>
      </c>
      <c r="G39">
        <v>14.417897</v>
      </c>
      <c r="H39">
        <v>72</v>
      </c>
      <c r="I39">
        <v>3.5630000000000002E-3</v>
      </c>
    </row>
    <row r="40" spans="1:9" x14ac:dyDescent="0.25">
      <c r="A40">
        <v>39</v>
      </c>
      <c r="B40" t="s">
        <v>32</v>
      </c>
      <c r="C40" t="s">
        <v>40</v>
      </c>
      <c r="D40" t="s">
        <v>34</v>
      </c>
      <c r="E40" t="s">
        <v>35</v>
      </c>
      <c r="F40">
        <v>14.191736000000001</v>
      </c>
      <c r="G40">
        <v>8.2387979999999992</v>
      </c>
      <c r="H40">
        <v>92</v>
      </c>
      <c r="I40">
        <v>2.036E-3</v>
      </c>
    </row>
    <row r="41" spans="1:9" x14ac:dyDescent="0.25">
      <c r="A41">
        <v>40</v>
      </c>
      <c r="B41" t="s">
        <v>32</v>
      </c>
      <c r="C41" t="s">
        <v>36</v>
      </c>
      <c r="D41" t="s">
        <v>34</v>
      </c>
      <c r="E41" t="s">
        <v>35</v>
      </c>
      <c r="F41">
        <v>313.74803700000001</v>
      </c>
      <c r="G41">
        <v>1246.1182289999999</v>
      </c>
      <c r="H41">
        <v>72</v>
      </c>
      <c r="I41">
        <v>0.307921</v>
      </c>
    </row>
    <row r="42" spans="1:9" x14ac:dyDescent="0.25">
      <c r="A42">
        <v>41</v>
      </c>
      <c r="B42" t="s">
        <v>32</v>
      </c>
      <c r="C42" t="s">
        <v>41</v>
      </c>
      <c r="D42" t="s">
        <v>34</v>
      </c>
      <c r="E42" t="s">
        <v>35</v>
      </c>
      <c r="F42">
        <v>92.052794000000006</v>
      </c>
      <c r="G42">
        <v>119.462574</v>
      </c>
      <c r="H42">
        <v>92</v>
      </c>
      <c r="I42">
        <v>2.9520000000000001E-2</v>
      </c>
    </row>
    <row r="43" spans="1:9" x14ac:dyDescent="0.25">
      <c r="A43">
        <v>42</v>
      </c>
      <c r="B43" t="s">
        <v>32</v>
      </c>
      <c r="C43" t="s">
        <v>43</v>
      </c>
      <c r="D43" t="s">
        <v>34</v>
      </c>
      <c r="E43" t="s">
        <v>35</v>
      </c>
      <c r="F43">
        <v>5.7534879999999999</v>
      </c>
      <c r="G43">
        <v>2.0596999999999999</v>
      </c>
      <c r="H43">
        <v>79</v>
      </c>
      <c r="I43">
        <v>5.0900000000000001E-4</v>
      </c>
    </row>
    <row r="44" spans="1:9" x14ac:dyDescent="0.25">
      <c r="A44">
        <v>43</v>
      </c>
      <c r="B44" t="s">
        <v>32</v>
      </c>
      <c r="C44" t="s">
        <v>43</v>
      </c>
      <c r="D44" t="s">
        <v>34</v>
      </c>
      <c r="E44" t="s">
        <v>35</v>
      </c>
      <c r="F44">
        <v>8.4382479999999997</v>
      </c>
      <c r="G44">
        <v>4.1193989999999996</v>
      </c>
      <c r="H44">
        <v>79</v>
      </c>
      <c r="I44">
        <v>1.018E-3</v>
      </c>
    </row>
    <row r="45" spans="1:9" x14ac:dyDescent="0.25">
      <c r="A45">
        <v>44</v>
      </c>
      <c r="B45" t="s">
        <v>32</v>
      </c>
      <c r="C45" t="s">
        <v>43</v>
      </c>
      <c r="D45" t="s">
        <v>34</v>
      </c>
      <c r="E45" t="s">
        <v>35</v>
      </c>
      <c r="F45">
        <v>8.4382479999999997</v>
      </c>
      <c r="G45">
        <v>4.1193989999999996</v>
      </c>
      <c r="H45">
        <v>79</v>
      </c>
      <c r="I45">
        <v>1.018E-3</v>
      </c>
    </row>
    <row r="46" spans="1:9" x14ac:dyDescent="0.25">
      <c r="A46">
        <v>45</v>
      </c>
      <c r="B46" t="s">
        <v>32</v>
      </c>
      <c r="C46" t="s">
        <v>44</v>
      </c>
      <c r="D46" t="s">
        <v>34</v>
      </c>
      <c r="E46" t="s">
        <v>35</v>
      </c>
      <c r="F46">
        <v>480.34198199999997</v>
      </c>
      <c r="G46">
        <v>3193.064519</v>
      </c>
      <c r="H46">
        <v>70</v>
      </c>
      <c r="I46">
        <v>0.78902000000000005</v>
      </c>
    </row>
    <row r="47" spans="1:9" x14ac:dyDescent="0.25">
      <c r="A47">
        <v>46</v>
      </c>
      <c r="B47" t="s">
        <v>32</v>
      </c>
      <c r="C47" t="s">
        <v>36</v>
      </c>
      <c r="D47" t="s">
        <v>34</v>
      </c>
      <c r="E47" t="s">
        <v>35</v>
      </c>
      <c r="F47">
        <v>5.7534879999999999</v>
      </c>
      <c r="G47">
        <v>2.0596999999999999</v>
      </c>
      <c r="H47">
        <v>72</v>
      </c>
      <c r="I47">
        <v>5.0900000000000001E-4</v>
      </c>
    </row>
    <row r="48" spans="1:9" x14ac:dyDescent="0.25">
      <c r="A48">
        <v>47</v>
      </c>
      <c r="B48" t="s">
        <v>32</v>
      </c>
      <c r="C48" t="s">
        <v>43</v>
      </c>
      <c r="D48" t="s">
        <v>34</v>
      </c>
      <c r="E48" t="s">
        <v>35</v>
      </c>
      <c r="F48">
        <v>11.123008</v>
      </c>
      <c r="G48">
        <v>6.1790989999999999</v>
      </c>
      <c r="H48">
        <v>79</v>
      </c>
      <c r="I48">
        <v>1.5269999999999999E-3</v>
      </c>
    </row>
    <row r="49" spans="1:9" x14ac:dyDescent="0.25">
      <c r="A49">
        <v>48</v>
      </c>
      <c r="B49" t="s">
        <v>32</v>
      </c>
      <c r="C49" t="s">
        <v>43</v>
      </c>
      <c r="D49" t="s">
        <v>34</v>
      </c>
      <c r="E49" t="s">
        <v>35</v>
      </c>
      <c r="F49">
        <v>11.123008</v>
      </c>
      <c r="G49">
        <v>6.1790989999999999</v>
      </c>
      <c r="H49">
        <v>79</v>
      </c>
      <c r="I49">
        <v>1.5269999999999999E-3</v>
      </c>
    </row>
    <row r="50" spans="1:9" x14ac:dyDescent="0.25">
      <c r="A50">
        <v>49</v>
      </c>
      <c r="B50" t="s">
        <v>32</v>
      </c>
      <c r="C50" t="s">
        <v>37</v>
      </c>
      <c r="D50" t="s">
        <v>34</v>
      </c>
      <c r="E50" t="s">
        <v>35</v>
      </c>
      <c r="F50">
        <v>100.49706999999999</v>
      </c>
      <c r="G50">
        <v>304.835534</v>
      </c>
      <c r="H50">
        <v>72</v>
      </c>
      <c r="I50">
        <v>7.5326000000000004E-2</v>
      </c>
    </row>
    <row r="51" spans="1:9" x14ac:dyDescent="0.25">
      <c r="A51">
        <v>50</v>
      </c>
      <c r="B51" t="s">
        <v>32</v>
      </c>
      <c r="C51" t="s">
        <v>43</v>
      </c>
      <c r="D51" t="s">
        <v>34</v>
      </c>
      <c r="E51" t="s">
        <v>35</v>
      </c>
      <c r="F51">
        <v>11.506976</v>
      </c>
      <c r="G51">
        <v>8.2387979999999992</v>
      </c>
      <c r="H51">
        <v>79</v>
      </c>
      <c r="I51">
        <v>2.036E-3</v>
      </c>
    </row>
    <row r="52" spans="1:9" x14ac:dyDescent="0.25">
      <c r="A52">
        <v>51</v>
      </c>
      <c r="B52" t="s">
        <v>32</v>
      </c>
      <c r="C52" t="s">
        <v>36</v>
      </c>
      <c r="D52" t="s">
        <v>34</v>
      </c>
      <c r="E52" t="s">
        <v>35</v>
      </c>
      <c r="F52">
        <v>68.273920000000004</v>
      </c>
      <c r="G52">
        <v>181.25356099999999</v>
      </c>
      <c r="H52">
        <v>72</v>
      </c>
      <c r="I52">
        <v>4.4789000000000002E-2</v>
      </c>
    </row>
    <row r="53" spans="1:9" x14ac:dyDescent="0.25">
      <c r="A53">
        <v>52</v>
      </c>
      <c r="B53" t="s">
        <v>32</v>
      </c>
      <c r="C53" t="s">
        <v>37</v>
      </c>
      <c r="D53" t="s">
        <v>34</v>
      </c>
      <c r="E53" t="s">
        <v>35</v>
      </c>
      <c r="F53">
        <v>5.7534879999999999</v>
      </c>
      <c r="G53">
        <v>2.0596999999999999</v>
      </c>
      <c r="H53">
        <v>72</v>
      </c>
      <c r="I53">
        <v>5.0900000000000001E-4</v>
      </c>
    </row>
    <row r="54" spans="1:9" x14ac:dyDescent="0.25">
      <c r="A54">
        <v>53</v>
      </c>
      <c r="B54" t="s">
        <v>32</v>
      </c>
      <c r="C54" t="s">
        <v>36</v>
      </c>
      <c r="D54" t="s">
        <v>34</v>
      </c>
      <c r="E54" t="s">
        <v>35</v>
      </c>
      <c r="F54">
        <v>37.973624000000001</v>
      </c>
      <c r="G54">
        <v>51.492488999999999</v>
      </c>
      <c r="H54">
        <v>72</v>
      </c>
      <c r="I54">
        <v>1.2723999999999999E-2</v>
      </c>
    </row>
    <row r="55" spans="1:9" x14ac:dyDescent="0.25">
      <c r="A55">
        <v>54</v>
      </c>
      <c r="B55" t="s">
        <v>32</v>
      </c>
      <c r="C55" t="s">
        <v>37</v>
      </c>
      <c r="D55" t="s">
        <v>34</v>
      </c>
      <c r="E55" t="s">
        <v>35</v>
      </c>
      <c r="F55">
        <v>63.672336000000001</v>
      </c>
      <c r="G55">
        <v>121.522274</v>
      </c>
      <c r="H55">
        <v>72</v>
      </c>
      <c r="I55">
        <v>3.0029E-2</v>
      </c>
    </row>
    <row r="56" spans="1:9" x14ac:dyDescent="0.25">
      <c r="A56">
        <v>55</v>
      </c>
      <c r="B56" t="s">
        <v>32</v>
      </c>
      <c r="C56" t="s">
        <v>43</v>
      </c>
      <c r="D56" t="s">
        <v>34</v>
      </c>
      <c r="E56" t="s">
        <v>35</v>
      </c>
      <c r="F56">
        <v>39.122512999999998</v>
      </c>
      <c r="G56">
        <v>39.134290999999997</v>
      </c>
      <c r="H56">
        <v>79</v>
      </c>
      <c r="I56">
        <v>9.6699999999999998E-3</v>
      </c>
    </row>
    <row r="57" spans="1:9" x14ac:dyDescent="0.25">
      <c r="A57">
        <v>56</v>
      </c>
      <c r="B57" t="s">
        <v>32</v>
      </c>
      <c r="C57" t="s">
        <v>36</v>
      </c>
      <c r="D57" t="s">
        <v>34</v>
      </c>
      <c r="E57" t="s">
        <v>35</v>
      </c>
      <c r="F57">
        <v>5.7534879999999999</v>
      </c>
      <c r="G57">
        <v>2.0596999999999999</v>
      </c>
      <c r="H57">
        <v>72</v>
      </c>
      <c r="I57">
        <v>5.0900000000000001E-4</v>
      </c>
    </row>
    <row r="58" spans="1:9" x14ac:dyDescent="0.25">
      <c r="A58">
        <v>57</v>
      </c>
      <c r="B58" t="s">
        <v>32</v>
      </c>
      <c r="C58" t="s">
        <v>36</v>
      </c>
      <c r="D58" t="s">
        <v>34</v>
      </c>
      <c r="E58" t="s">
        <v>35</v>
      </c>
      <c r="F58">
        <v>5.7534879999999999</v>
      </c>
      <c r="G58">
        <v>2.0596999999999999</v>
      </c>
      <c r="H58">
        <v>72</v>
      </c>
      <c r="I58">
        <v>5.0900000000000001E-4</v>
      </c>
    </row>
    <row r="59" spans="1:9" x14ac:dyDescent="0.25">
      <c r="A59">
        <v>58</v>
      </c>
      <c r="B59" t="s">
        <v>32</v>
      </c>
      <c r="C59" t="s">
        <v>44</v>
      </c>
      <c r="D59" t="s">
        <v>34</v>
      </c>
      <c r="E59" t="s">
        <v>35</v>
      </c>
      <c r="F59">
        <v>14.191736000000001</v>
      </c>
      <c r="G59">
        <v>8.2387979999999992</v>
      </c>
      <c r="H59">
        <v>70</v>
      </c>
      <c r="I59">
        <v>2.036E-3</v>
      </c>
    </row>
    <row r="60" spans="1:9" x14ac:dyDescent="0.25">
      <c r="A60">
        <v>59</v>
      </c>
      <c r="B60" t="s">
        <v>32</v>
      </c>
      <c r="C60" t="s">
        <v>33</v>
      </c>
      <c r="D60" t="s">
        <v>34</v>
      </c>
      <c r="E60" t="s">
        <v>35</v>
      </c>
      <c r="F60">
        <v>17.260463999999999</v>
      </c>
      <c r="G60">
        <v>12.358197000000001</v>
      </c>
      <c r="H60">
        <v>74</v>
      </c>
      <c r="I60">
        <v>3.0539999999999999E-3</v>
      </c>
    </row>
    <row r="61" spans="1:9" x14ac:dyDescent="0.25">
      <c r="A61">
        <v>60</v>
      </c>
      <c r="B61" t="s">
        <v>32</v>
      </c>
      <c r="C61" t="s">
        <v>33</v>
      </c>
      <c r="D61" t="s">
        <v>34</v>
      </c>
      <c r="E61" t="s">
        <v>35</v>
      </c>
      <c r="F61">
        <v>137.315776</v>
      </c>
      <c r="G61">
        <v>413.99961000000002</v>
      </c>
      <c r="H61">
        <v>74</v>
      </c>
      <c r="I61">
        <v>0.102301</v>
      </c>
    </row>
    <row r="62" spans="1:9" x14ac:dyDescent="0.25">
      <c r="A62">
        <v>61</v>
      </c>
      <c r="B62" t="s">
        <v>32</v>
      </c>
      <c r="C62" t="s">
        <v>41</v>
      </c>
      <c r="D62" t="s">
        <v>34</v>
      </c>
      <c r="E62" t="s">
        <v>35</v>
      </c>
      <c r="F62">
        <v>36.437753000000001</v>
      </c>
      <c r="G62">
        <v>24.716394999999999</v>
      </c>
      <c r="H62">
        <v>92</v>
      </c>
      <c r="I62">
        <v>6.1079999999999997E-3</v>
      </c>
    </row>
    <row r="63" spans="1:9" x14ac:dyDescent="0.25">
      <c r="A63">
        <v>62</v>
      </c>
      <c r="B63" t="s">
        <v>32</v>
      </c>
      <c r="C63" t="s">
        <v>33</v>
      </c>
      <c r="D63" t="s">
        <v>34</v>
      </c>
      <c r="E63" t="s">
        <v>35</v>
      </c>
      <c r="F63">
        <v>5.7534879999999999</v>
      </c>
      <c r="G63">
        <v>2.0596999999999999</v>
      </c>
      <c r="H63">
        <v>74</v>
      </c>
      <c r="I63">
        <v>5.0900000000000001E-4</v>
      </c>
    </row>
    <row r="64" spans="1:9" x14ac:dyDescent="0.25">
      <c r="A64">
        <v>63</v>
      </c>
      <c r="B64" t="s">
        <v>32</v>
      </c>
      <c r="C64" t="s">
        <v>45</v>
      </c>
      <c r="D64" t="s">
        <v>34</v>
      </c>
      <c r="E64" t="s">
        <v>35</v>
      </c>
      <c r="F64">
        <v>11.506976</v>
      </c>
      <c r="G64">
        <v>6.1790989999999999</v>
      </c>
      <c r="H64">
        <v>98</v>
      </c>
      <c r="I64">
        <v>1.5269999999999999E-3</v>
      </c>
    </row>
    <row r="65" spans="1:9" x14ac:dyDescent="0.25">
      <c r="A65">
        <v>64</v>
      </c>
      <c r="B65" t="s">
        <v>32</v>
      </c>
      <c r="C65" t="s">
        <v>33</v>
      </c>
      <c r="D65" t="s">
        <v>34</v>
      </c>
      <c r="E65" t="s">
        <v>35</v>
      </c>
      <c r="F65">
        <v>20.329191999999999</v>
      </c>
      <c r="G65">
        <v>18.537296000000001</v>
      </c>
      <c r="H65">
        <v>74</v>
      </c>
      <c r="I65">
        <v>4.581E-3</v>
      </c>
    </row>
    <row r="66" spans="1:9" x14ac:dyDescent="0.25">
      <c r="A66">
        <v>65</v>
      </c>
      <c r="B66" t="s">
        <v>32</v>
      </c>
      <c r="C66" t="s">
        <v>33</v>
      </c>
      <c r="D66" t="s">
        <v>34</v>
      </c>
      <c r="E66" t="s">
        <v>35</v>
      </c>
      <c r="F66">
        <v>5.7534879999999999</v>
      </c>
      <c r="G66">
        <v>2.0596999999999999</v>
      </c>
      <c r="H66">
        <v>74</v>
      </c>
      <c r="I66">
        <v>5.0900000000000001E-4</v>
      </c>
    </row>
    <row r="67" spans="1:9" x14ac:dyDescent="0.25">
      <c r="A67">
        <v>66</v>
      </c>
      <c r="B67" t="s">
        <v>32</v>
      </c>
      <c r="C67" t="s">
        <v>37</v>
      </c>
      <c r="D67" t="s">
        <v>34</v>
      </c>
      <c r="E67" t="s">
        <v>35</v>
      </c>
      <c r="F67">
        <v>47.944729000000002</v>
      </c>
      <c r="G67">
        <v>65.910386000000003</v>
      </c>
      <c r="H67">
        <v>72</v>
      </c>
      <c r="I67">
        <v>1.6286999999999999E-2</v>
      </c>
    </row>
    <row r="68" spans="1:9" x14ac:dyDescent="0.25">
      <c r="A68">
        <v>67</v>
      </c>
      <c r="B68" t="s">
        <v>32</v>
      </c>
      <c r="C68" t="s">
        <v>45</v>
      </c>
      <c r="D68" t="s">
        <v>34</v>
      </c>
      <c r="E68" t="s">
        <v>35</v>
      </c>
      <c r="F68">
        <v>8.4382479999999997</v>
      </c>
      <c r="G68">
        <v>4.1193989999999996</v>
      </c>
      <c r="H68">
        <v>98</v>
      </c>
      <c r="I68">
        <v>1.018E-3</v>
      </c>
    </row>
    <row r="69" spans="1:9" x14ac:dyDescent="0.25">
      <c r="A69">
        <v>68</v>
      </c>
      <c r="B69" t="s">
        <v>32</v>
      </c>
      <c r="C69" t="s">
        <v>33</v>
      </c>
      <c r="D69" t="s">
        <v>34</v>
      </c>
      <c r="E69" t="s">
        <v>35</v>
      </c>
      <c r="F69">
        <v>22.629984</v>
      </c>
      <c r="G69">
        <v>20.596995</v>
      </c>
      <c r="H69">
        <v>74</v>
      </c>
      <c r="I69">
        <v>5.0899999999999999E-3</v>
      </c>
    </row>
    <row r="70" spans="1:9" x14ac:dyDescent="0.25">
      <c r="A70">
        <v>69</v>
      </c>
      <c r="B70" t="s">
        <v>32</v>
      </c>
      <c r="C70" t="s">
        <v>42</v>
      </c>
      <c r="D70" t="s">
        <v>34</v>
      </c>
      <c r="E70" t="s">
        <v>35</v>
      </c>
      <c r="F70">
        <v>74.795344</v>
      </c>
      <c r="G70">
        <v>181.25356099999999</v>
      </c>
      <c r="H70">
        <v>98</v>
      </c>
      <c r="I70">
        <v>4.4789000000000002E-2</v>
      </c>
    </row>
    <row r="71" spans="1:9" x14ac:dyDescent="0.25">
      <c r="A71">
        <v>70</v>
      </c>
      <c r="B71" t="s">
        <v>32</v>
      </c>
      <c r="C71" t="s">
        <v>33</v>
      </c>
      <c r="D71" t="s">
        <v>34</v>
      </c>
      <c r="E71" t="s">
        <v>35</v>
      </c>
      <c r="F71">
        <v>5.7534879999999999</v>
      </c>
      <c r="G71">
        <v>2.0596999999999999</v>
      </c>
      <c r="H71">
        <v>74</v>
      </c>
      <c r="I71">
        <v>5.0900000000000001E-4</v>
      </c>
    </row>
    <row r="72" spans="1:9" x14ac:dyDescent="0.25">
      <c r="A72">
        <v>71</v>
      </c>
      <c r="B72" t="s">
        <v>32</v>
      </c>
      <c r="C72" t="s">
        <v>33</v>
      </c>
      <c r="D72" t="s">
        <v>34</v>
      </c>
      <c r="E72" t="s">
        <v>35</v>
      </c>
      <c r="F72">
        <v>710.750765</v>
      </c>
      <c r="G72">
        <v>5470.5620099999996</v>
      </c>
      <c r="H72">
        <v>74</v>
      </c>
      <c r="I72">
        <v>1.3517999999999999</v>
      </c>
    </row>
    <row r="73" spans="1:9" x14ac:dyDescent="0.25">
      <c r="A73">
        <v>72</v>
      </c>
      <c r="B73" t="s">
        <v>32</v>
      </c>
      <c r="C73" t="s">
        <v>41</v>
      </c>
      <c r="D73" t="s">
        <v>34</v>
      </c>
      <c r="E73" t="s">
        <v>35</v>
      </c>
      <c r="F73">
        <v>45.259968000000001</v>
      </c>
      <c r="G73">
        <v>39.134290999999997</v>
      </c>
      <c r="H73">
        <v>92</v>
      </c>
      <c r="I73">
        <v>9.6699999999999998E-3</v>
      </c>
    </row>
    <row r="74" spans="1:9" x14ac:dyDescent="0.25">
      <c r="A74">
        <v>73</v>
      </c>
      <c r="B74" t="s">
        <v>32</v>
      </c>
      <c r="C74" t="s">
        <v>37</v>
      </c>
      <c r="D74" t="s">
        <v>34</v>
      </c>
      <c r="E74" t="s">
        <v>35</v>
      </c>
      <c r="F74">
        <v>177.590192</v>
      </c>
      <c r="G74">
        <v>605.55166799999995</v>
      </c>
      <c r="H74">
        <v>72</v>
      </c>
      <c r="I74">
        <v>0.14963499999999999</v>
      </c>
    </row>
    <row r="75" spans="1:9" x14ac:dyDescent="0.25">
      <c r="A75">
        <v>74</v>
      </c>
      <c r="B75" t="s">
        <v>32</v>
      </c>
      <c r="C75" t="s">
        <v>38</v>
      </c>
      <c r="D75" t="s">
        <v>34</v>
      </c>
      <c r="E75" t="s">
        <v>35</v>
      </c>
      <c r="F75">
        <v>26.08268</v>
      </c>
      <c r="G75">
        <v>28.835794</v>
      </c>
      <c r="H75">
        <v>98</v>
      </c>
      <c r="I75">
        <v>7.1250000000000003E-3</v>
      </c>
    </row>
    <row r="76" spans="1:9" x14ac:dyDescent="0.25">
      <c r="A76">
        <v>75</v>
      </c>
      <c r="B76" t="s">
        <v>32</v>
      </c>
      <c r="C76" t="s">
        <v>36</v>
      </c>
      <c r="D76" t="s">
        <v>34</v>
      </c>
      <c r="E76" t="s">
        <v>35</v>
      </c>
      <c r="F76">
        <v>112.765953</v>
      </c>
      <c r="G76">
        <v>308.95493299999998</v>
      </c>
      <c r="H76">
        <v>72</v>
      </c>
      <c r="I76">
        <v>7.6343999999999995E-2</v>
      </c>
    </row>
    <row r="77" spans="1:9" x14ac:dyDescent="0.25">
      <c r="A77">
        <v>76</v>
      </c>
      <c r="B77" t="s">
        <v>32</v>
      </c>
      <c r="C77" t="s">
        <v>38</v>
      </c>
      <c r="D77" t="s">
        <v>34</v>
      </c>
      <c r="E77" t="s">
        <v>35</v>
      </c>
      <c r="F77">
        <v>160.32972799999999</v>
      </c>
      <c r="G77">
        <v>273.94004000000001</v>
      </c>
      <c r="H77">
        <v>98</v>
      </c>
      <c r="I77">
        <v>6.7692000000000002E-2</v>
      </c>
    </row>
    <row r="78" spans="1:9" x14ac:dyDescent="0.25">
      <c r="A78">
        <v>77</v>
      </c>
      <c r="B78" t="s">
        <v>32</v>
      </c>
      <c r="C78" t="s">
        <v>43</v>
      </c>
      <c r="D78" t="s">
        <v>34</v>
      </c>
      <c r="E78" t="s">
        <v>35</v>
      </c>
      <c r="F78">
        <v>28.767440000000001</v>
      </c>
      <c r="G78">
        <v>28.835794</v>
      </c>
      <c r="H78">
        <v>79</v>
      </c>
      <c r="I78">
        <v>7.1250000000000003E-3</v>
      </c>
    </row>
    <row r="79" spans="1:9" x14ac:dyDescent="0.25">
      <c r="A79">
        <v>78</v>
      </c>
      <c r="B79" t="s">
        <v>32</v>
      </c>
      <c r="C79" t="s">
        <v>40</v>
      </c>
      <c r="D79" t="s">
        <v>34</v>
      </c>
      <c r="E79" t="s">
        <v>35</v>
      </c>
      <c r="F79">
        <v>344.04833400000001</v>
      </c>
      <c r="G79">
        <v>665.28295500000002</v>
      </c>
      <c r="H79">
        <v>92</v>
      </c>
      <c r="I79">
        <v>0.16439400000000001</v>
      </c>
    </row>
    <row r="80" spans="1:9" x14ac:dyDescent="0.25">
      <c r="A80">
        <v>79</v>
      </c>
      <c r="B80" t="s">
        <v>32</v>
      </c>
      <c r="C80" t="s">
        <v>42</v>
      </c>
      <c r="D80" t="s">
        <v>34</v>
      </c>
      <c r="E80" t="s">
        <v>35</v>
      </c>
      <c r="F80">
        <v>71.726616000000007</v>
      </c>
      <c r="G80">
        <v>218.32815299999999</v>
      </c>
      <c r="H80">
        <v>98</v>
      </c>
      <c r="I80">
        <v>5.3949999999999998E-2</v>
      </c>
    </row>
    <row r="81" spans="1:9" x14ac:dyDescent="0.25">
      <c r="A81">
        <v>80</v>
      </c>
      <c r="B81" t="s">
        <v>32</v>
      </c>
      <c r="C81" t="s">
        <v>39</v>
      </c>
      <c r="D81" t="s">
        <v>34</v>
      </c>
      <c r="E81" t="s">
        <v>35</v>
      </c>
      <c r="F81">
        <v>934.74981500000001</v>
      </c>
      <c r="G81">
        <v>4364.5033510000003</v>
      </c>
      <c r="H81">
        <v>74</v>
      </c>
      <c r="I81">
        <v>1.0784879999999999</v>
      </c>
    </row>
    <row r="82" spans="1:9" x14ac:dyDescent="0.25">
      <c r="A82">
        <v>81</v>
      </c>
      <c r="B82" t="s">
        <v>32</v>
      </c>
      <c r="C82" t="s">
        <v>36</v>
      </c>
      <c r="D82" t="s">
        <v>34</v>
      </c>
      <c r="E82" t="s">
        <v>35</v>
      </c>
      <c r="F82">
        <v>98.574217000000004</v>
      </c>
      <c r="G82">
        <v>224.507251</v>
      </c>
      <c r="H82">
        <v>72</v>
      </c>
      <c r="I82">
        <v>5.5476999999999999E-2</v>
      </c>
    </row>
    <row r="83" spans="1:9" x14ac:dyDescent="0.25">
      <c r="A83">
        <v>82</v>
      </c>
      <c r="B83" t="s">
        <v>32</v>
      </c>
      <c r="C83" t="s">
        <v>41</v>
      </c>
      <c r="D83" t="s">
        <v>34</v>
      </c>
      <c r="E83" t="s">
        <v>35</v>
      </c>
      <c r="F83">
        <v>93.588665000000006</v>
      </c>
      <c r="G83">
        <v>168.895363</v>
      </c>
      <c r="H83">
        <v>92</v>
      </c>
      <c r="I83">
        <v>4.1735000000000001E-2</v>
      </c>
    </row>
    <row r="84" spans="1:9" x14ac:dyDescent="0.25">
      <c r="A84">
        <v>83</v>
      </c>
      <c r="B84" t="s">
        <v>32</v>
      </c>
      <c r="C84" t="s">
        <v>37</v>
      </c>
      <c r="D84" t="s">
        <v>34</v>
      </c>
      <c r="E84" t="s">
        <v>35</v>
      </c>
      <c r="F84">
        <v>215.941755</v>
      </c>
      <c r="G84">
        <v>770.32763299999999</v>
      </c>
      <c r="H84">
        <v>72</v>
      </c>
      <c r="I84">
        <v>0.19035099999999999</v>
      </c>
    </row>
    <row r="85" spans="1:9" x14ac:dyDescent="0.25">
      <c r="A85">
        <v>84</v>
      </c>
      <c r="B85" t="s">
        <v>32</v>
      </c>
      <c r="C85" t="s">
        <v>43</v>
      </c>
      <c r="D85" t="s">
        <v>34</v>
      </c>
      <c r="E85" t="s">
        <v>35</v>
      </c>
      <c r="F85">
        <v>50.629489</v>
      </c>
      <c r="G85">
        <v>47.373089999999998</v>
      </c>
      <c r="H85">
        <v>79</v>
      </c>
      <c r="I85">
        <v>1.1705999999999999E-2</v>
      </c>
    </row>
    <row r="86" spans="1:9" x14ac:dyDescent="0.25">
      <c r="A86">
        <v>85</v>
      </c>
      <c r="B86" t="s">
        <v>32</v>
      </c>
      <c r="C86" t="s">
        <v>41</v>
      </c>
      <c r="D86" t="s">
        <v>34</v>
      </c>
      <c r="E86" t="s">
        <v>35</v>
      </c>
      <c r="F86">
        <v>14.191736000000001</v>
      </c>
      <c r="G86">
        <v>8.2387979999999992</v>
      </c>
      <c r="H86">
        <v>92</v>
      </c>
      <c r="I86">
        <v>2.036E-3</v>
      </c>
    </row>
    <row r="87" spans="1:9" x14ac:dyDescent="0.25">
      <c r="A87">
        <v>86</v>
      </c>
      <c r="B87" t="s">
        <v>32</v>
      </c>
      <c r="C87" t="s">
        <v>41</v>
      </c>
      <c r="D87" t="s">
        <v>34</v>
      </c>
      <c r="E87" t="s">
        <v>35</v>
      </c>
      <c r="F87">
        <v>5.7534879999999999</v>
      </c>
      <c r="G87">
        <v>2.0596999999999999</v>
      </c>
      <c r="H87">
        <v>92</v>
      </c>
      <c r="I87">
        <v>5.0900000000000001E-4</v>
      </c>
    </row>
    <row r="88" spans="1:9" x14ac:dyDescent="0.25">
      <c r="A88">
        <v>87</v>
      </c>
      <c r="B88" t="s">
        <v>32</v>
      </c>
      <c r="C88" t="s">
        <v>36</v>
      </c>
      <c r="D88" t="s">
        <v>34</v>
      </c>
      <c r="E88" t="s">
        <v>35</v>
      </c>
      <c r="F88">
        <v>81.316766999999999</v>
      </c>
      <c r="G88">
        <v>243.04454699999999</v>
      </c>
      <c r="H88">
        <v>72</v>
      </c>
      <c r="I88">
        <v>6.0056999999999999E-2</v>
      </c>
    </row>
    <row r="89" spans="1:9" x14ac:dyDescent="0.25">
      <c r="A89">
        <v>88</v>
      </c>
      <c r="B89" t="s">
        <v>32</v>
      </c>
      <c r="C89" t="s">
        <v>33</v>
      </c>
      <c r="D89" t="s">
        <v>34</v>
      </c>
      <c r="E89" t="s">
        <v>35</v>
      </c>
      <c r="F89">
        <v>40.658383999999998</v>
      </c>
      <c r="G89">
        <v>55.611888</v>
      </c>
      <c r="H89">
        <v>74</v>
      </c>
      <c r="I89">
        <v>1.3742000000000001E-2</v>
      </c>
    </row>
    <row r="90" spans="1:9" x14ac:dyDescent="0.25">
      <c r="A90">
        <v>89</v>
      </c>
      <c r="B90" t="s">
        <v>32</v>
      </c>
      <c r="C90" t="s">
        <v>39</v>
      </c>
      <c r="D90" t="s">
        <v>34</v>
      </c>
      <c r="E90" t="s">
        <v>35</v>
      </c>
      <c r="F90">
        <v>8.8222159999999992</v>
      </c>
      <c r="G90">
        <v>4.1193989999999996</v>
      </c>
      <c r="H90">
        <v>74</v>
      </c>
      <c r="I90">
        <v>1.018E-3</v>
      </c>
    </row>
    <row r="91" spans="1:9" x14ac:dyDescent="0.25">
      <c r="A91">
        <v>90</v>
      </c>
      <c r="B91" t="s">
        <v>32</v>
      </c>
      <c r="C91" t="s">
        <v>36</v>
      </c>
      <c r="D91" t="s">
        <v>34</v>
      </c>
      <c r="E91" t="s">
        <v>35</v>
      </c>
      <c r="F91">
        <v>40.274416000000002</v>
      </c>
      <c r="G91">
        <v>61.790987000000001</v>
      </c>
      <c r="H91">
        <v>72</v>
      </c>
      <c r="I91">
        <v>1.5269E-2</v>
      </c>
    </row>
    <row r="92" spans="1:9" x14ac:dyDescent="0.25">
      <c r="A92">
        <v>91</v>
      </c>
      <c r="B92" t="s">
        <v>32</v>
      </c>
      <c r="C92" t="s">
        <v>42</v>
      </c>
      <c r="D92" t="s">
        <v>34</v>
      </c>
      <c r="E92" t="s">
        <v>35</v>
      </c>
      <c r="F92">
        <v>22.629984</v>
      </c>
      <c r="G92">
        <v>22.656694999999999</v>
      </c>
      <c r="H92">
        <v>98</v>
      </c>
      <c r="I92">
        <v>5.5989999999999998E-3</v>
      </c>
    </row>
    <row r="93" spans="1:9" x14ac:dyDescent="0.25">
      <c r="A93">
        <v>92</v>
      </c>
      <c r="B93" t="s">
        <v>32</v>
      </c>
      <c r="C93" t="s">
        <v>37</v>
      </c>
      <c r="D93" t="s">
        <v>34</v>
      </c>
      <c r="E93" t="s">
        <v>35</v>
      </c>
      <c r="F93">
        <v>14.191736000000001</v>
      </c>
      <c r="G93">
        <v>8.2387979999999992</v>
      </c>
      <c r="H93">
        <v>72</v>
      </c>
      <c r="I93">
        <v>2.036E-3</v>
      </c>
    </row>
    <row r="94" spans="1:9" x14ac:dyDescent="0.25">
      <c r="A94">
        <v>93</v>
      </c>
      <c r="B94" t="s">
        <v>32</v>
      </c>
      <c r="C94" t="s">
        <v>43</v>
      </c>
      <c r="D94" t="s">
        <v>34</v>
      </c>
      <c r="E94" t="s">
        <v>35</v>
      </c>
      <c r="F94">
        <v>40.269165999999998</v>
      </c>
      <c r="G94">
        <v>38.636001</v>
      </c>
      <c r="H94">
        <v>79</v>
      </c>
      <c r="I94">
        <v>9.5469999999999999E-3</v>
      </c>
    </row>
    <row r="95" spans="1:9" x14ac:dyDescent="0.25">
      <c r="A95">
        <v>94</v>
      </c>
      <c r="B95" t="s">
        <v>32</v>
      </c>
      <c r="C95" t="s">
        <v>37</v>
      </c>
      <c r="D95" t="s">
        <v>34</v>
      </c>
      <c r="E95" t="s">
        <v>35</v>
      </c>
      <c r="F95">
        <v>5.7534879999999999</v>
      </c>
      <c r="G95">
        <v>2.0596999999999999</v>
      </c>
      <c r="H95">
        <v>72</v>
      </c>
      <c r="I95">
        <v>5.0900000000000001E-4</v>
      </c>
    </row>
    <row r="96" spans="1:9" x14ac:dyDescent="0.25">
      <c r="A96">
        <v>95</v>
      </c>
      <c r="B96" t="s">
        <v>32</v>
      </c>
      <c r="C96" t="s">
        <v>45</v>
      </c>
      <c r="D96" t="s">
        <v>34</v>
      </c>
      <c r="E96" t="s">
        <v>35</v>
      </c>
      <c r="F96">
        <v>28.383472000000001</v>
      </c>
      <c r="G96">
        <v>26.776094000000001</v>
      </c>
      <c r="H96">
        <v>98</v>
      </c>
      <c r="I96">
        <v>6.6160000000000004E-3</v>
      </c>
    </row>
    <row r="97" spans="1:9" x14ac:dyDescent="0.25">
      <c r="A97">
        <v>96</v>
      </c>
      <c r="B97" t="s">
        <v>32</v>
      </c>
      <c r="C97" t="s">
        <v>42</v>
      </c>
      <c r="D97" t="s">
        <v>34</v>
      </c>
      <c r="E97" t="s">
        <v>35</v>
      </c>
      <c r="F97">
        <v>51.397424000000001</v>
      </c>
      <c r="G97">
        <v>90.626779999999997</v>
      </c>
      <c r="H97">
        <v>98</v>
      </c>
      <c r="I97">
        <v>2.2394000000000001E-2</v>
      </c>
    </row>
    <row r="98" spans="1:9" x14ac:dyDescent="0.25">
      <c r="A98">
        <v>97</v>
      </c>
      <c r="B98" t="s">
        <v>32</v>
      </c>
      <c r="C98" t="s">
        <v>45</v>
      </c>
      <c r="D98" t="s">
        <v>34</v>
      </c>
      <c r="E98" t="s">
        <v>35</v>
      </c>
      <c r="F98">
        <v>14.575704</v>
      </c>
      <c r="G98">
        <v>8.2387979999999992</v>
      </c>
      <c r="H98">
        <v>98</v>
      </c>
      <c r="I98">
        <v>2.036E-3</v>
      </c>
    </row>
    <row r="99" spans="1:9" x14ac:dyDescent="0.25">
      <c r="A99">
        <v>98</v>
      </c>
      <c r="B99" t="s">
        <v>32</v>
      </c>
      <c r="C99" t="s">
        <v>39</v>
      </c>
      <c r="D99" t="s">
        <v>34</v>
      </c>
      <c r="E99" t="s">
        <v>35</v>
      </c>
      <c r="F99">
        <v>100.110088</v>
      </c>
      <c r="G99">
        <v>160.656565</v>
      </c>
      <c r="H99">
        <v>74</v>
      </c>
      <c r="I99">
        <v>3.9698999999999998E-2</v>
      </c>
    </row>
    <row r="100" spans="1:9" x14ac:dyDescent="0.25">
      <c r="A100">
        <v>99</v>
      </c>
      <c r="B100" t="s">
        <v>32</v>
      </c>
      <c r="C100" t="s">
        <v>33</v>
      </c>
      <c r="D100" t="s">
        <v>34</v>
      </c>
      <c r="E100" t="s">
        <v>35</v>
      </c>
      <c r="F100">
        <v>1.662277</v>
      </c>
      <c r="G100">
        <v>9.3702999999999995E-2</v>
      </c>
      <c r="H100">
        <v>74</v>
      </c>
      <c r="I100">
        <v>2.3E-5</v>
      </c>
    </row>
    <row r="101" spans="1:9" x14ac:dyDescent="0.25">
      <c r="A101">
        <v>100</v>
      </c>
      <c r="B101" t="s">
        <v>32</v>
      </c>
      <c r="C101" t="s">
        <v>39</v>
      </c>
      <c r="D101" t="s">
        <v>34</v>
      </c>
      <c r="E101" t="s">
        <v>35</v>
      </c>
      <c r="F101">
        <v>65.589160000000007</v>
      </c>
      <c r="G101">
        <v>92.686480000000003</v>
      </c>
      <c r="H101">
        <v>74</v>
      </c>
      <c r="I101">
        <v>2.2903E-2</v>
      </c>
    </row>
    <row r="102" spans="1:9" x14ac:dyDescent="0.25">
      <c r="A102">
        <v>101</v>
      </c>
      <c r="B102" t="s">
        <v>32</v>
      </c>
      <c r="C102" t="s">
        <v>40</v>
      </c>
      <c r="D102" t="s">
        <v>34</v>
      </c>
      <c r="E102" t="s">
        <v>35</v>
      </c>
      <c r="F102">
        <v>93.546728000000002</v>
      </c>
      <c r="G102">
        <v>156.20972800000001</v>
      </c>
      <c r="H102">
        <v>92</v>
      </c>
      <c r="I102">
        <v>3.8600000000000002E-2</v>
      </c>
    </row>
    <row r="103" spans="1:9" x14ac:dyDescent="0.25">
      <c r="A103">
        <v>102</v>
      </c>
      <c r="B103" t="s">
        <v>32</v>
      </c>
      <c r="C103" t="s">
        <v>33</v>
      </c>
      <c r="D103" t="s">
        <v>34</v>
      </c>
      <c r="E103" t="s">
        <v>35</v>
      </c>
      <c r="F103">
        <v>801.46718399999997</v>
      </c>
      <c r="G103">
        <v>6372.20226</v>
      </c>
      <c r="H103">
        <v>74</v>
      </c>
      <c r="I103">
        <v>1.5745990000000001</v>
      </c>
    </row>
    <row r="104" spans="1:9" x14ac:dyDescent="0.25">
      <c r="A104">
        <v>103</v>
      </c>
      <c r="B104" t="s">
        <v>32</v>
      </c>
      <c r="C104" t="s">
        <v>37</v>
      </c>
      <c r="D104" t="s">
        <v>34</v>
      </c>
      <c r="E104" t="s">
        <v>35</v>
      </c>
      <c r="F104">
        <v>333.31833599999999</v>
      </c>
      <c r="G104">
        <v>1274.954023</v>
      </c>
      <c r="H104">
        <v>72</v>
      </c>
      <c r="I104">
        <v>0.31504700000000002</v>
      </c>
    </row>
    <row r="105" spans="1:9" x14ac:dyDescent="0.25">
      <c r="A105">
        <v>104</v>
      </c>
      <c r="B105" t="s">
        <v>32</v>
      </c>
      <c r="C105" t="s">
        <v>33</v>
      </c>
      <c r="D105" t="s">
        <v>34</v>
      </c>
      <c r="E105" t="s">
        <v>35</v>
      </c>
      <c r="F105">
        <v>34.454262999999997</v>
      </c>
      <c r="G105">
        <v>40.110411999999997</v>
      </c>
      <c r="H105">
        <v>74</v>
      </c>
      <c r="I105">
        <v>9.9109999999999997E-3</v>
      </c>
    </row>
    <row r="106" spans="1:9" x14ac:dyDescent="0.25">
      <c r="A106">
        <v>105</v>
      </c>
      <c r="B106" t="s">
        <v>32</v>
      </c>
      <c r="C106" t="s">
        <v>39</v>
      </c>
      <c r="D106" t="s">
        <v>34</v>
      </c>
      <c r="E106" t="s">
        <v>35</v>
      </c>
      <c r="F106">
        <v>51.781391999999997</v>
      </c>
      <c r="G106">
        <v>49.432789</v>
      </c>
      <c r="H106">
        <v>74</v>
      </c>
      <c r="I106">
        <v>1.2215E-2</v>
      </c>
    </row>
    <row r="107" spans="1:9" x14ac:dyDescent="0.25">
      <c r="A107">
        <v>106</v>
      </c>
      <c r="B107" t="s">
        <v>32</v>
      </c>
      <c r="C107" t="s">
        <v>42</v>
      </c>
      <c r="D107" t="s">
        <v>34</v>
      </c>
      <c r="E107" t="s">
        <v>35</v>
      </c>
      <c r="F107">
        <v>54.466152000000001</v>
      </c>
      <c r="G107">
        <v>102.984978</v>
      </c>
      <c r="H107">
        <v>98</v>
      </c>
      <c r="I107">
        <v>2.5447999999999998E-2</v>
      </c>
    </row>
    <row r="108" spans="1:9" x14ac:dyDescent="0.25">
      <c r="A108">
        <v>107</v>
      </c>
      <c r="B108" t="s">
        <v>32</v>
      </c>
      <c r="C108" t="s">
        <v>39</v>
      </c>
      <c r="D108" t="s">
        <v>34</v>
      </c>
      <c r="E108" t="s">
        <v>35</v>
      </c>
      <c r="F108">
        <v>42.959175999999999</v>
      </c>
      <c r="G108">
        <v>65.910386000000003</v>
      </c>
      <c r="H108">
        <v>74</v>
      </c>
      <c r="I108">
        <v>1.6286999999999999E-2</v>
      </c>
    </row>
    <row r="109" spans="1:9" x14ac:dyDescent="0.25">
      <c r="A109">
        <v>108</v>
      </c>
      <c r="B109" t="s">
        <v>32</v>
      </c>
      <c r="C109" t="s">
        <v>37</v>
      </c>
      <c r="D109" t="s">
        <v>34</v>
      </c>
      <c r="E109" t="s">
        <v>35</v>
      </c>
      <c r="F109">
        <v>263.127591</v>
      </c>
      <c r="G109">
        <v>1079.282565</v>
      </c>
      <c r="H109">
        <v>72</v>
      </c>
      <c r="I109">
        <v>0.26669500000000002</v>
      </c>
    </row>
    <row r="110" spans="1:9" x14ac:dyDescent="0.25">
      <c r="A110">
        <v>109</v>
      </c>
      <c r="B110" t="s">
        <v>32</v>
      </c>
      <c r="C110" t="s">
        <v>44</v>
      </c>
      <c r="D110" t="s">
        <v>34</v>
      </c>
      <c r="E110" t="s">
        <v>35</v>
      </c>
      <c r="F110">
        <v>1736.0110689999999</v>
      </c>
      <c r="G110">
        <v>26849.144413999999</v>
      </c>
      <c r="H110">
        <v>70</v>
      </c>
      <c r="I110">
        <v>6.6345419999999997</v>
      </c>
    </row>
    <row r="111" spans="1:9" x14ac:dyDescent="0.25">
      <c r="A111">
        <v>110</v>
      </c>
      <c r="B111" t="s">
        <v>32</v>
      </c>
      <c r="C111" t="s">
        <v>33</v>
      </c>
      <c r="D111" t="s">
        <v>46</v>
      </c>
      <c r="E111" t="s">
        <v>35</v>
      </c>
      <c r="F111">
        <v>249.28769</v>
      </c>
      <c r="G111">
        <v>401.19703099999998</v>
      </c>
      <c r="H111">
        <v>74</v>
      </c>
      <c r="I111">
        <v>9.9138000000000004E-2</v>
      </c>
    </row>
    <row r="112" spans="1:9" x14ac:dyDescent="0.25">
      <c r="A112">
        <v>111</v>
      </c>
      <c r="B112" t="s">
        <v>32</v>
      </c>
      <c r="C112" t="s">
        <v>40</v>
      </c>
      <c r="D112" t="s">
        <v>46</v>
      </c>
      <c r="E112" t="s">
        <v>35</v>
      </c>
      <c r="F112">
        <v>167.79556299999999</v>
      </c>
      <c r="G112">
        <v>368.71251699999999</v>
      </c>
      <c r="H112">
        <v>92</v>
      </c>
      <c r="I112">
        <v>9.1109999999999997E-2</v>
      </c>
    </row>
    <row r="113" spans="1:9" x14ac:dyDescent="0.25">
      <c r="A113">
        <v>112</v>
      </c>
      <c r="B113" t="s">
        <v>32</v>
      </c>
      <c r="C113" t="s">
        <v>37</v>
      </c>
      <c r="D113" t="s">
        <v>46</v>
      </c>
      <c r="E113" t="s">
        <v>35</v>
      </c>
      <c r="F113">
        <v>15.693315999999999</v>
      </c>
      <c r="G113">
        <v>6.6554719999999996</v>
      </c>
      <c r="H113">
        <v>72</v>
      </c>
      <c r="I113">
        <v>1.645E-3</v>
      </c>
    </row>
    <row r="114" spans="1:9" x14ac:dyDescent="0.25">
      <c r="A114">
        <v>113</v>
      </c>
      <c r="B114" t="s">
        <v>32</v>
      </c>
      <c r="C114" t="s">
        <v>39</v>
      </c>
      <c r="D114" t="s">
        <v>46</v>
      </c>
      <c r="E114" t="s">
        <v>35</v>
      </c>
      <c r="F114">
        <v>122.729152</v>
      </c>
      <c r="G114">
        <v>417.39707800000002</v>
      </c>
      <c r="H114">
        <v>74</v>
      </c>
      <c r="I114">
        <v>0.103141</v>
      </c>
    </row>
    <row r="115" spans="1:9" x14ac:dyDescent="0.25">
      <c r="A115">
        <v>114</v>
      </c>
      <c r="B115" t="s">
        <v>32</v>
      </c>
      <c r="C115" t="s">
        <v>38</v>
      </c>
      <c r="D115" t="s">
        <v>46</v>
      </c>
      <c r="E115" t="s">
        <v>35</v>
      </c>
      <c r="F115">
        <v>61.336424000000001</v>
      </c>
      <c r="G115">
        <v>88.887050000000002</v>
      </c>
      <c r="H115">
        <v>98</v>
      </c>
      <c r="I115">
        <v>2.1964000000000001E-2</v>
      </c>
    </row>
    <row r="116" spans="1:9" x14ac:dyDescent="0.25">
      <c r="A116">
        <v>115</v>
      </c>
      <c r="B116" t="s">
        <v>32</v>
      </c>
      <c r="C116" t="s">
        <v>41</v>
      </c>
      <c r="D116" t="s">
        <v>46</v>
      </c>
      <c r="E116" t="s">
        <v>35</v>
      </c>
      <c r="F116">
        <v>33.752991999999999</v>
      </c>
      <c r="G116">
        <v>28.835794</v>
      </c>
      <c r="H116">
        <v>92</v>
      </c>
      <c r="I116">
        <v>7.1250000000000003E-3</v>
      </c>
    </row>
    <row r="117" spans="1:9" x14ac:dyDescent="0.25">
      <c r="A117">
        <v>116</v>
      </c>
      <c r="B117" t="s">
        <v>32</v>
      </c>
      <c r="C117" t="s">
        <v>36</v>
      </c>
      <c r="D117" t="s">
        <v>46</v>
      </c>
      <c r="E117" t="s">
        <v>35</v>
      </c>
      <c r="F117">
        <v>8.4382479999999997</v>
      </c>
      <c r="G117">
        <v>4.1193989999999996</v>
      </c>
      <c r="H117">
        <v>72</v>
      </c>
      <c r="I117">
        <v>1.018E-3</v>
      </c>
    </row>
    <row r="118" spans="1:9" x14ac:dyDescent="0.25">
      <c r="A118">
        <v>117</v>
      </c>
      <c r="B118" t="s">
        <v>32</v>
      </c>
      <c r="C118" t="s">
        <v>41</v>
      </c>
      <c r="D118" t="s">
        <v>46</v>
      </c>
      <c r="E118" t="s">
        <v>35</v>
      </c>
      <c r="F118">
        <v>39.506480000000003</v>
      </c>
      <c r="G118">
        <v>32.955193000000001</v>
      </c>
      <c r="H118">
        <v>92</v>
      </c>
      <c r="I118">
        <v>8.1429999999999992E-3</v>
      </c>
    </row>
    <row r="119" spans="1:9" x14ac:dyDescent="0.25">
      <c r="A119">
        <v>118</v>
      </c>
      <c r="B119" t="s">
        <v>32</v>
      </c>
      <c r="C119" t="s">
        <v>43</v>
      </c>
      <c r="D119" t="s">
        <v>46</v>
      </c>
      <c r="E119" t="s">
        <v>35</v>
      </c>
      <c r="F119">
        <v>11.123008</v>
      </c>
      <c r="G119">
        <v>6.1790989999999999</v>
      </c>
      <c r="H119">
        <v>79</v>
      </c>
      <c r="I119">
        <v>1.5269999999999999E-3</v>
      </c>
    </row>
    <row r="120" spans="1:9" x14ac:dyDescent="0.25">
      <c r="A120">
        <v>119</v>
      </c>
      <c r="B120" t="s">
        <v>32</v>
      </c>
      <c r="C120" t="s">
        <v>38</v>
      </c>
      <c r="D120" t="s">
        <v>46</v>
      </c>
      <c r="E120" t="s">
        <v>35</v>
      </c>
      <c r="F120">
        <v>17.644431999999998</v>
      </c>
      <c r="G120">
        <v>12.358197000000001</v>
      </c>
      <c r="H120">
        <v>98</v>
      </c>
      <c r="I120">
        <v>3.0539999999999999E-3</v>
      </c>
    </row>
    <row r="121" spans="1:9" x14ac:dyDescent="0.25">
      <c r="A121">
        <v>120</v>
      </c>
      <c r="B121" t="s">
        <v>32</v>
      </c>
      <c r="C121" t="s">
        <v>39</v>
      </c>
      <c r="D121" t="s">
        <v>46</v>
      </c>
      <c r="E121" t="s">
        <v>35</v>
      </c>
      <c r="F121">
        <v>5.7534879999999999</v>
      </c>
      <c r="G121">
        <v>2.0596999999999999</v>
      </c>
      <c r="H121">
        <v>74</v>
      </c>
      <c r="I121">
        <v>5.0900000000000001E-4</v>
      </c>
    </row>
    <row r="122" spans="1:9" x14ac:dyDescent="0.25">
      <c r="A122">
        <v>121</v>
      </c>
      <c r="B122" t="s">
        <v>32</v>
      </c>
      <c r="C122" t="s">
        <v>39</v>
      </c>
      <c r="D122" t="s">
        <v>46</v>
      </c>
      <c r="E122" t="s">
        <v>35</v>
      </c>
      <c r="F122">
        <v>11.506976</v>
      </c>
      <c r="G122">
        <v>8.2387979999999992</v>
      </c>
      <c r="H122">
        <v>74</v>
      </c>
      <c r="I122">
        <v>2.036E-3</v>
      </c>
    </row>
    <row r="123" spans="1:9" x14ac:dyDescent="0.25">
      <c r="A123">
        <v>122</v>
      </c>
      <c r="B123" t="s">
        <v>32</v>
      </c>
      <c r="C123" t="s">
        <v>37</v>
      </c>
      <c r="D123" t="s">
        <v>46</v>
      </c>
      <c r="E123" t="s">
        <v>35</v>
      </c>
      <c r="F123">
        <v>70.958680999999999</v>
      </c>
      <c r="G123">
        <v>88.567081000000002</v>
      </c>
      <c r="H123">
        <v>72</v>
      </c>
      <c r="I123">
        <v>2.1885000000000002E-2</v>
      </c>
    </row>
    <row r="124" spans="1:9" x14ac:dyDescent="0.25">
      <c r="A124">
        <v>123</v>
      </c>
      <c r="B124" t="s">
        <v>32</v>
      </c>
      <c r="C124" t="s">
        <v>43</v>
      </c>
      <c r="D124" t="s">
        <v>46</v>
      </c>
      <c r="E124" t="s">
        <v>35</v>
      </c>
      <c r="F124">
        <v>22.246016000000001</v>
      </c>
      <c r="G124">
        <v>22.656694999999999</v>
      </c>
      <c r="H124">
        <v>79</v>
      </c>
      <c r="I124">
        <v>5.5989999999999998E-3</v>
      </c>
    </row>
    <row r="125" spans="1:9" x14ac:dyDescent="0.25">
      <c r="A125">
        <v>124</v>
      </c>
      <c r="B125" t="s">
        <v>32</v>
      </c>
      <c r="C125" t="s">
        <v>33</v>
      </c>
      <c r="D125" t="s">
        <v>46</v>
      </c>
      <c r="E125" t="s">
        <v>35</v>
      </c>
      <c r="F125">
        <v>5.7534879999999999</v>
      </c>
      <c r="G125">
        <v>2.0596999999999999</v>
      </c>
      <c r="H125">
        <v>74</v>
      </c>
      <c r="I125">
        <v>5.0900000000000001E-4</v>
      </c>
    </row>
    <row r="126" spans="1:9" x14ac:dyDescent="0.25">
      <c r="A126">
        <v>125</v>
      </c>
      <c r="B126" t="s">
        <v>32</v>
      </c>
      <c r="C126" t="s">
        <v>42</v>
      </c>
      <c r="D126" t="s">
        <v>46</v>
      </c>
      <c r="E126" t="s">
        <v>35</v>
      </c>
      <c r="F126">
        <v>71.726616000000007</v>
      </c>
      <c r="G126">
        <v>146.23866799999999</v>
      </c>
      <c r="H126">
        <v>98</v>
      </c>
      <c r="I126">
        <v>3.6136000000000001E-2</v>
      </c>
    </row>
    <row r="127" spans="1:9" x14ac:dyDescent="0.25">
      <c r="A127">
        <v>126</v>
      </c>
      <c r="B127" t="s">
        <v>32</v>
      </c>
      <c r="C127" t="s">
        <v>39</v>
      </c>
      <c r="D127" t="s">
        <v>46</v>
      </c>
      <c r="E127" t="s">
        <v>35</v>
      </c>
      <c r="F127">
        <v>34.136960000000002</v>
      </c>
      <c r="G127">
        <v>24.716394999999999</v>
      </c>
      <c r="H127">
        <v>74</v>
      </c>
      <c r="I127">
        <v>6.1079999999999997E-3</v>
      </c>
    </row>
    <row r="128" spans="1:9" x14ac:dyDescent="0.25">
      <c r="A128">
        <v>127</v>
      </c>
      <c r="B128" t="s">
        <v>32</v>
      </c>
      <c r="C128" t="s">
        <v>39</v>
      </c>
      <c r="D128" t="s">
        <v>46</v>
      </c>
      <c r="E128" t="s">
        <v>35</v>
      </c>
      <c r="F128">
        <v>5.7534879999999999</v>
      </c>
      <c r="G128">
        <v>2.0596999999999999</v>
      </c>
      <c r="H128">
        <v>74</v>
      </c>
      <c r="I128">
        <v>5.0900000000000001E-4</v>
      </c>
    </row>
    <row r="129" spans="1:9" x14ac:dyDescent="0.25">
      <c r="A129">
        <v>128</v>
      </c>
      <c r="B129" t="s">
        <v>32</v>
      </c>
      <c r="C129" t="s">
        <v>33</v>
      </c>
      <c r="D129" t="s">
        <v>47</v>
      </c>
      <c r="E129" t="s">
        <v>35</v>
      </c>
      <c r="F129">
        <v>173.788781</v>
      </c>
      <c r="G129">
        <v>422.22895199999999</v>
      </c>
      <c r="H129">
        <v>74</v>
      </c>
      <c r="I129">
        <v>0.104335</v>
      </c>
    </row>
    <row r="130" spans="1:9" x14ac:dyDescent="0.25">
      <c r="A130">
        <v>129</v>
      </c>
      <c r="B130" t="s">
        <v>32</v>
      </c>
      <c r="C130" t="s">
        <v>44</v>
      </c>
      <c r="D130" t="s">
        <v>47</v>
      </c>
      <c r="E130" t="s">
        <v>35</v>
      </c>
      <c r="F130">
        <v>95.739288999999999</v>
      </c>
      <c r="G130">
        <v>139.529357</v>
      </c>
      <c r="H130">
        <v>70</v>
      </c>
      <c r="I130">
        <v>3.4478000000000002E-2</v>
      </c>
    </row>
    <row r="131" spans="1:9" x14ac:dyDescent="0.25">
      <c r="A131">
        <v>130</v>
      </c>
      <c r="B131" t="s">
        <v>32</v>
      </c>
      <c r="C131" t="s">
        <v>44</v>
      </c>
      <c r="D131" t="s">
        <v>47</v>
      </c>
      <c r="E131" t="s">
        <v>35</v>
      </c>
      <c r="F131">
        <v>42.959175999999999</v>
      </c>
      <c r="G131">
        <v>43.253691000000003</v>
      </c>
      <c r="H131">
        <v>70</v>
      </c>
      <c r="I131">
        <v>1.0688E-2</v>
      </c>
    </row>
    <row r="132" spans="1:9" x14ac:dyDescent="0.25">
      <c r="A132">
        <v>131</v>
      </c>
      <c r="B132" t="s">
        <v>32</v>
      </c>
      <c r="C132" t="s">
        <v>33</v>
      </c>
      <c r="D132" t="s">
        <v>48</v>
      </c>
      <c r="E132" t="s">
        <v>35</v>
      </c>
      <c r="F132">
        <v>68.995632000000001</v>
      </c>
      <c r="G132">
        <v>108.187956</v>
      </c>
      <c r="H132">
        <v>74</v>
      </c>
      <c r="I132">
        <v>2.6734000000000001E-2</v>
      </c>
    </row>
    <row r="133" spans="1:9" x14ac:dyDescent="0.25">
      <c r="A133">
        <v>132</v>
      </c>
      <c r="B133" t="s">
        <v>32</v>
      </c>
      <c r="C133" t="s">
        <v>44</v>
      </c>
      <c r="D133" t="s">
        <v>48</v>
      </c>
      <c r="E133" t="s">
        <v>35</v>
      </c>
      <c r="F133">
        <v>1662.006613</v>
      </c>
      <c r="G133">
        <v>17119.261927</v>
      </c>
      <c r="H133">
        <v>70</v>
      </c>
      <c r="I133">
        <v>4.230245</v>
      </c>
    </row>
    <row r="134" spans="1:9" x14ac:dyDescent="0.25">
      <c r="A134">
        <v>133</v>
      </c>
      <c r="B134" t="s">
        <v>32</v>
      </c>
      <c r="C134" t="s">
        <v>33</v>
      </c>
      <c r="D134" t="s">
        <v>48</v>
      </c>
      <c r="E134" t="s">
        <v>35</v>
      </c>
      <c r="F134">
        <v>3.5569329999999999</v>
      </c>
      <c r="G134">
        <v>0.50815500000000002</v>
      </c>
      <c r="H134">
        <v>74</v>
      </c>
      <c r="I134">
        <v>1.26E-4</v>
      </c>
    </row>
    <row r="135" spans="1:9" x14ac:dyDescent="0.25">
      <c r="A135">
        <v>134</v>
      </c>
      <c r="B135" t="s">
        <v>32</v>
      </c>
      <c r="C135" t="s">
        <v>33</v>
      </c>
      <c r="D135" t="s">
        <v>48</v>
      </c>
      <c r="E135" t="s">
        <v>35</v>
      </c>
      <c r="F135">
        <v>33.911479999999997</v>
      </c>
      <c r="G135">
        <v>47.279387</v>
      </c>
      <c r="H135">
        <v>74</v>
      </c>
      <c r="I135">
        <v>1.1683000000000001E-2</v>
      </c>
    </row>
    <row r="136" spans="1:9" x14ac:dyDescent="0.25">
      <c r="A136">
        <v>135</v>
      </c>
      <c r="B136" t="s">
        <v>32</v>
      </c>
      <c r="C136" t="s">
        <v>40</v>
      </c>
      <c r="D136" t="s">
        <v>48</v>
      </c>
      <c r="E136" t="s">
        <v>35</v>
      </c>
      <c r="F136">
        <v>94.407386000000002</v>
      </c>
      <c r="G136">
        <v>125.969111</v>
      </c>
      <c r="H136">
        <v>92</v>
      </c>
      <c r="I136">
        <v>3.1127999999999999E-2</v>
      </c>
    </row>
    <row r="137" spans="1:9" x14ac:dyDescent="0.25">
      <c r="A137">
        <v>136</v>
      </c>
      <c r="B137" t="s">
        <v>32</v>
      </c>
      <c r="C137" t="s">
        <v>43</v>
      </c>
      <c r="D137" t="s">
        <v>48</v>
      </c>
      <c r="E137" t="s">
        <v>35</v>
      </c>
      <c r="F137">
        <v>31.771704</v>
      </c>
      <c r="G137">
        <v>19.035585999999999</v>
      </c>
      <c r="H137">
        <v>79</v>
      </c>
      <c r="I137">
        <v>4.7039999999999998E-3</v>
      </c>
    </row>
    <row r="138" spans="1:9" x14ac:dyDescent="0.25">
      <c r="A138">
        <v>137</v>
      </c>
      <c r="B138" t="s">
        <v>32</v>
      </c>
      <c r="C138" t="s">
        <v>41</v>
      </c>
      <c r="D138" t="s">
        <v>48</v>
      </c>
      <c r="E138" t="s">
        <v>35</v>
      </c>
      <c r="F138">
        <v>34.136960000000002</v>
      </c>
      <c r="G138">
        <v>30.895492999999998</v>
      </c>
      <c r="H138">
        <v>92</v>
      </c>
      <c r="I138">
        <v>7.6340000000000002E-3</v>
      </c>
    </row>
    <row r="139" spans="1:9" x14ac:dyDescent="0.25">
      <c r="A139">
        <v>138</v>
      </c>
      <c r="B139" t="s">
        <v>32</v>
      </c>
      <c r="C139" t="s">
        <v>33</v>
      </c>
      <c r="D139" t="s">
        <v>48</v>
      </c>
      <c r="E139" t="s">
        <v>35</v>
      </c>
      <c r="F139">
        <v>8.4382479999999997</v>
      </c>
      <c r="G139">
        <v>4.1193989999999996</v>
      </c>
      <c r="H139">
        <v>74</v>
      </c>
      <c r="I139">
        <v>1.018E-3</v>
      </c>
    </row>
    <row r="140" spans="1:9" x14ac:dyDescent="0.25">
      <c r="A140">
        <v>139</v>
      </c>
      <c r="B140" t="s">
        <v>32</v>
      </c>
      <c r="C140" t="s">
        <v>41</v>
      </c>
      <c r="D140" t="s">
        <v>48</v>
      </c>
      <c r="E140" t="s">
        <v>35</v>
      </c>
      <c r="F140">
        <v>61.752496999999998</v>
      </c>
      <c r="G140">
        <v>72.089483999999999</v>
      </c>
      <c r="H140">
        <v>92</v>
      </c>
      <c r="I140">
        <v>1.7814E-2</v>
      </c>
    </row>
    <row r="141" spans="1:9" x14ac:dyDescent="0.25">
      <c r="A141">
        <v>140</v>
      </c>
      <c r="B141" t="s">
        <v>32</v>
      </c>
      <c r="C141" t="s">
        <v>40</v>
      </c>
      <c r="D141" t="s">
        <v>48</v>
      </c>
      <c r="E141" t="s">
        <v>35</v>
      </c>
      <c r="F141">
        <v>64.821224999999998</v>
      </c>
      <c r="G141">
        <v>65.910386000000003</v>
      </c>
      <c r="H141">
        <v>92</v>
      </c>
      <c r="I141">
        <v>1.6286999999999999E-2</v>
      </c>
    </row>
    <row r="142" spans="1:9" x14ac:dyDescent="0.25">
      <c r="A142">
        <v>141</v>
      </c>
      <c r="B142" t="s">
        <v>32</v>
      </c>
      <c r="C142" t="s">
        <v>41</v>
      </c>
      <c r="D142" t="s">
        <v>48</v>
      </c>
      <c r="E142" t="s">
        <v>35</v>
      </c>
      <c r="F142">
        <v>42.575208000000003</v>
      </c>
      <c r="G142">
        <v>41.193990999999997</v>
      </c>
      <c r="H142">
        <v>92</v>
      </c>
      <c r="I142">
        <v>1.0179000000000001E-2</v>
      </c>
    </row>
    <row r="143" spans="1:9" x14ac:dyDescent="0.25">
      <c r="A143">
        <v>142</v>
      </c>
      <c r="B143" t="s">
        <v>32</v>
      </c>
      <c r="C143" t="s">
        <v>40</v>
      </c>
      <c r="D143" t="s">
        <v>48</v>
      </c>
      <c r="E143" t="s">
        <v>35</v>
      </c>
      <c r="F143">
        <v>90.135969000000003</v>
      </c>
      <c r="G143">
        <v>100.92527800000001</v>
      </c>
      <c r="H143">
        <v>92</v>
      </c>
      <c r="I143">
        <v>2.4938999999999999E-2</v>
      </c>
    </row>
    <row r="144" spans="1:9" x14ac:dyDescent="0.25">
      <c r="A144">
        <v>143</v>
      </c>
      <c r="B144" t="s">
        <v>32</v>
      </c>
      <c r="C144" t="s">
        <v>40</v>
      </c>
      <c r="D144" t="s">
        <v>48</v>
      </c>
      <c r="E144" t="s">
        <v>35</v>
      </c>
      <c r="F144">
        <v>5.7534879999999999</v>
      </c>
      <c r="G144">
        <v>2.0596999999999999</v>
      </c>
      <c r="H144">
        <v>92</v>
      </c>
      <c r="I144">
        <v>5.0900000000000001E-4</v>
      </c>
    </row>
    <row r="145" spans="1:9" x14ac:dyDescent="0.25">
      <c r="A145">
        <v>144</v>
      </c>
      <c r="B145" t="s">
        <v>32</v>
      </c>
      <c r="C145" t="s">
        <v>41</v>
      </c>
      <c r="D145" t="s">
        <v>48</v>
      </c>
      <c r="E145" t="s">
        <v>35</v>
      </c>
      <c r="F145">
        <v>101.642945</v>
      </c>
      <c r="G145">
        <v>137.99986999999999</v>
      </c>
      <c r="H145">
        <v>92</v>
      </c>
      <c r="I145">
        <v>3.4099999999999998E-2</v>
      </c>
    </row>
    <row r="146" spans="1:9" x14ac:dyDescent="0.25">
      <c r="A146">
        <v>145</v>
      </c>
      <c r="B146" t="s">
        <v>32</v>
      </c>
      <c r="C146" t="s">
        <v>39</v>
      </c>
      <c r="D146" t="s">
        <v>48</v>
      </c>
      <c r="E146" t="s">
        <v>35</v>
      </c>
      <c r="F146">
        <v>5.7534879999999999</v>
      </c>
      <c r="G146">
        <v>2.0596999999999999</v>
      </c>
      <c r="H146">
        <v>74</v>
      </c>
      <c r="I146">
        <v>5.0900000000000001E-4</v>
      </c>
    </row>
    <row r="147" spans="1:9" x14ac:dyDescent="0.25">
      <c r="A147">
        <v>146</v>
      </c>
      <c r="B147" t="s">
        <v>32</v>
      </c>
      <c r="C147" t="s">
        <v>43</v>
      </c>
      <c r="D147" t="s">
        <v>48</v>
      </c>
      <c r="E147" t="s">
        <v>35</v>
      </c>
      <c r="F147">
        <v>23.013952</v>
      </c>
      <c r="G147">
        <v>20.596996000000001</v>
      </c>
      <c r="H147">
        <v>79</v>
      </c>
      <c r="I147">
        <v>5.0899999999999999E-3</v>
      </c>
    </row>
    <row r="148" spans="1:9" x14ac:dyDescent="0.25">
      <c r="A148">
        <v>147</v>
      </c>
      <c r="B148" t="s">
        <v>32</v>
      </c>
      <c r="C148" t="s">
        <v>39</v>
      </c>
      <c r="D148" t="s">
        <v>48</v>
      </c>
      <c r="E148" t="s">
        <v>35</v>
      </c>
      <c r="F148">
        <v>8.4382479999999997</v>
      </c>
      <c r="G148">
        <v>4.1193989999999996</v>
      </c>
      <c r="H148">
        <v>74</v>
      </c>
      <c r="I148">
        <v>1.018E-3</v>
      </c>
    </row>
    <row r="149" spans="1:9" x14ac:dyDescent="0.25">
      <c r="A149">
        <v>148</v>
      </c>
      <c r="B149" t="s">
        <v>32</v>
      </c>
      <c r="C149" t="s">
        <v>33</v>
      </c>
      <c r="D149" t="s">
        <v>48</v>
      </c>
      <c r="E149" t="s">
        <v>35</v>
      </c>
      <c r="F149">
        <v>31.068231999999998</v>
      </c>
      <c r="G149">
        <v>35.014892000000003</v>
      </c>
      <c r="H149">
        <v>74</v>
      </c>
      <c r="I149">
        <v>8.652E-3</v>
      </c>
    </row>
    <row r="150" spans="1:9" x14ac:dyDescent="0.25">
      <c r="A150">
        <v>149</v>
      </c>
      <c r="B150" t="s">
        <v>32</v>
      </c>
      <c r="C150" t="s">
        <v>33</v>
      </c>
      <c r="D150" t="s">
        <v>48</v>
      </c>
      <c r="E150" t="s">
        <v>35</v>
      </c>
      <c r="F150">
        <v>25.698712</v>
      </c>
      <c r="G150">
        <v>24.716394999999999</v>
      </c>
      <c r="H150">
        <v>74</v>
      </c>
      <c r="I150">
        <v>6.1079999999999997E-3</v>
      </c>
    </row>
    <row r="151" spans="1:9" x14ac:dyDescent="0.25">
      <c r="A151">
        <v>150</v>
      </c>
      <c r="B151" t="s">
        <v>32</v>
      </c>
      <c r="C151" t="s">
        <v>36</v>
      </c>
      <c r="D151" t="s">
        <v>48</v>
      </c>
      <c r="E151" t="s">
        <v>35</v>
      </c>
      <c r="F151">
        <v>17.260463999999999</v>
      </c>
      <c r="G151">
        <v>18.537296000000001</v>
      </c>
      <c r="H151">
        <v>72</v>
      </c>
      <c r="I151">
        <v>4.581E-3</v>
      </c>
    </row>
    <row r="152" spans="1:9" x14ac:dyDescent="0.25">
      <c r="A152">
        <v>151</v>
      </c>
      <c r="B152" t="s">
        <v>32</v>
      </c>
      <c r="C152" t="s">
        <v>33</v>
      </c>
      <c r="D152" t="s">
        <v>48</v>
      </c>
      <c r="E152" t="s">
        <v>35</v>
      </c>
      <c r="F152">
        <v>53.698217</v>
      </c>
      <c r="G152">
        <v>133.880471</v>
      </c>
      <c r="H152">
        <v>74</v>
      </c>
      <c r="I152">
        <v>3.3082E-2</v>
      </c>
    </row>
    <row r="153" spans="1:9" x14ac:dyDescent="0.25">
      <c r="A153">
        <v>152</v>
      </c>
      <c r="B153" t="s">
        <v>32</v>
      </c>
      <c r="C153" t="s">
        <v>43</v>
      </c>
      <c r="D153" t="s">
        <v>48</v>
      </c>
      <c r="E153" t="s">
        <v>35</v>
      </c>
      <c r="F153">
        <v>63.669322000000001</v>
      </c>
      <c r="G153">
        <v>70.029785000000004</v>
      </c>
      <c r="H153">
        <v>79</v>
      </c>
      <c r="I153">
        <v>1.7305000000000001E-2</v>
      </c>
    </row>
    <row r="154" spans="1:9" x14ac:dyDescent="0.25">
      <c r="A154">
        <v>153</v>
      </c>
      <c r="B154" t="s">
        <v>32</v>
      </c>
      <c r="C154" t="s">
        <v>43</v>
      </c>
      <c r="D154" t="s">
        <v>48</v>
      </c>
      <c r="E154" t="s">
        <v>35</v>
      </c>
      <c r="F154">
        <v>11.123008</v>
      </c>
      <c r="G154">
        <v>6.1790989999999999</v>
      </c>
      <c r="H154">
        <v>79</v>
      </c>
      <c r="I154">
        <v>1.5269999999999999E-3</v>
      </c>
    </row>
    <row r="155" spans="1:9" x14ac:dyDescent="0.25">
      <c r="A155">
        <v>154</v>
      </c>
      <c r="B155" t="s">
        <v>32</v>
      </c>
      <c r="C155" t="s">
        <v>33</v>
      </c>
      <c r="D155" t="s">
        <v>48</v>
      </c>
      <c r="E155" t="s">
        <v>35</v>
      </c>
      <c r="F155">
        <v>106.62849799999999</v>
      </c>
      <c r="G155">
        <v>282.17883899999998</v>
      </c>
      <c r="H155">
        <v>74</v>
      </c>
      <c r="I155">
        <v>6.9727999999999998E-2</v>
      </c>
    </row>
    <row r="156" spans="1:9" x14ac:dyDescent="0.25">
      <c r="A156">
        <v>155</v>
      </c>
      <c r="B156" t="s">
        <v>32</v>
      </c>
      <c r="C156" t="s">
        <v>33</v>
      </c>
      <c r="D156" t="s">
        <v>48</v>
      </c>
      <c r="E156" t="s">
        <v>35</v>
      </c>
      <c r="F156">
        <v>17.260463999999999</v>
      </c>
      <c r="G156">
        <v>12.358197000000001</v>
      </c>
      <c r="H156">
        <v>74</v>
      </c>
      <c r="I156">
        <v>3.0539999999999999E-3</v>
      </c>
    </row>
    <row r="157" spans="1:9" x14ac:dyDescent="0.25">
      <c r="A157">
        <v>156</v>
      </c>
      <c r="B157" t="s">
        <v>32</v>
      </c>
      <c r="C157" t="s">
        <v>36</v>
      </c>
      <c r="D157" t="s">
        <v>48</v>
      </c>
      <c r="E157" t="s">
        <v>35</v>
      </c>
      <c r="F157">
        <v>28.383472000000001</v>
      </c>
      <c r="G157">
        <v>30.895492999999998</v>
      </c>
      <c r="H157">
        <v>72</v>
      </c>
      <c r="I157">
        <v>7.6340000000000002E-3</v>
      </c>
    </row>
    <row r="158" spans="1:9" x14ac:dyDescent="0.25">
      <c r="A158">
        <v>157</v>
      </c>
      <c r="B158" t="s">
        <v>32</v>
      </c>
      <c r="C158" t="s">
        <v>41</v>
      </c>
      <c r="D158" t="s">
        <v>48</v>
      </c>
      <c r="E158" t="s">
        <v>35</v>
      </c>
      <c r="F158">
        <v>11.123008</v>
      </c>
      <c r="G158">
        <v>6.1790989999999999</v>
      </c>
      <c r="H158">
        <v>92</v>
      </c>
      <c r="I158">
        <v>1.5269999999999999E-3</v>
      </c>
    </row>
    <row r="159" spans="1:9" x14ac:dyDescent="0.25">
      <c r="A159">
        <v>158</v>
      </c>
      <c r="B159" t="s">
        <v>32</v>
      </c>
      <c r="C159" t="s">
        <v>41</v>
      </c>
      <c r="D159" t="s">
        <v>48</v>
      </c>
      <c r="E159" t="s">
        <v>35</v>
      </c>
      <c r="F159">
        <v>5.7534879999999999</v>
      </c>
      <c r="G159">
        <v>2.0596999999999999</v>
      </c>
      <c r="H159">
        <v>92</v>
      </c>
      <c r="I159">
        <v>5.0900000000000001E-4</v>
      </c>
    </row>
    <row r="160" spans="1:9" x14ac:dyDescent="0.25">
      <c r="A160">
        <v>159</v>
      </c>
      <c r="B160" t="s">
        <v>32</v>
      </c>
      <c r="C160" t="s">
        <v>41</v>
      </c>
      <c r="D160" t="s">
        <v>48</v>
      </c>
      <c r="E160" t="s">
        <v>35</v>
      </c>
      <c r="F160">
        <v>19.561256</v>
      </c>
      <c r="G160">
        <v>12.358197000000001</v>
      </c>
      <c r="H160">
        <v>92</v>
      </c>
      <c r="I160">
        <v>3.0539999999999999E-3</v>
      </c>
    </row>
    <row r="161" spans="1:9" x14ac:dyDescent="0.25">
      <c r="A161">
        <v>160</v>
      </c>
      <c r="B161" t="s">
        <v>32</v>
      </c>
      <c r="C161" t="s">
        <v>49</v>
      </c>
      <c r="D161" t="s">
        <v>48</v>
      </c>
      <c r="E161" t="s">
        <v>35</v>
      </c>
      <c r="F161">
        <v>5.7534879999999999</v>
      </c>
      <c r="G161">
        <v>2.0596999999999999</v>
      </c>
      <c r="H161">
        <v>79</v>
      </c>
      <c r="I161">
        <v>5.0900000000000001E-4</v>
      </c>
    </row>
    <row r="162" spans="1:9" x14ac:dyDescent="0.25">
      <c r="A162">
        <v>161</v>
      </c>
      <c r="B162" t="s">
        <v>32</v>
      </c>
      <c r="C162" t="s">
        <v>33</v>
      </c>
      <c r="D162" t="s">
        <v>48</v>
      </c>
      <c r="E162" t="s">
        <v>35</v>
      </c>
      <c r="F162">
        <v>479.45632799999998</v>
      </c>
      <c r="G162">
        <v>2207.9979199999998</v>
      </c>
      <c r="H162">
        <v>74</v>
      </c>
      <c r="I162">
        <v>0.54560600000000004</v>
      </c>
    </row>
    <row r="163" spans="1:9" x14ac:dyDescent="0.25">
      <c r="A163">
        <v>162</v>
      </c>
      <c r="B163" t="s">
        <v>32</v>
      </c>
      <c r="C163" t="s">
        <v>43</v>
      </c>
      <c r="D163" t="s">
        <v>48</v>
      </c>
      <c r="E163" t="s">
        <v>35</v>
      </c>
      <c r="F163">
        <v>14.191736000000001</v>
      </c>
      <c r="G163">
        <v>10.298498</v>
      </c>
      <c r="H163">
        <v>79</v>
      </c>
      <c r="I163">
        <v>2.545E-3</v>
      </c>
    </row>
    <row r="164" spans="1:9" x14ac:dyDescent="0.25">
      <c r="A164">
        <v>163</v>
      </c>
      <c r="B164" t="s">
        <v>32</v>
      </c>
      <c r="C164" t="s">
        <v>33</v>
      </c>
      <c r="D164" t="s">
        <v>48</v>
      </c>
      <c r="E164" t="s">
        <v>35</v>
      </c>
      <c r="F164">
        <v>5.7534879999999999</v>
      </c>
      <c r="G164">
        <v>2.0596999999999999</v>
      </c>
      <c r="H164">
        <v>74</v>
      </c>
      <c r="I164">
        <v>5.0900000000000001E-4</v>
      </c>
    </row>
    <row r="165" spans="1:9" x14ac:dyDescent="0.25">
      <c r="A165">
        <v>164</v>
      </c>
      <c r="B165" t="s">
        <v>32</v>
      </c>
      <c r="C165" t="s">
        <v>40</v>
      </c>
      <c r="D165" t="s">
        <v>48</v>
      </c>
      <c r="E165" t="s">
        <v>35</v>
      </c>
      <c r="F165">
        <v>347.88198299999999</v>
      </c>
      <c r="G165">
        <v>669.40235399999995</v>
      </c>
      <c r="H165">
        <v>92</v>
      </c>
      <c r="I165">
        <v>0.165412</v>
      </c>
    </row>
    <row r="166" spans="1:9" x14ac:dyDescent="0.25">
      <c r="A166">
        <v>165</v>
      </c>
      <c r="B166" t="s">
        <v>32</v>
      </c>
      <c r="C166" t="s">
        <v>41</v>
      </c>
      <c r="D166" t="s">
        <v>48</v>
      </c>
      <c r="E166" t="s">
        <v>35</v>
      </c>
      <c r="F166">
        <v>78.628992999999994</v>
      </c>
      <c r="G166">
        <v>82.387981999999994</v>
      </c>
      <c r="H166">
        <v>92</v>
      </c>
      <c r="I166">
        <v>2.0358000000000001E-2</v>
      </c>
    </row>
    <row r="167" spans="1:9" x14ac:dyDescent="0.25">
      <c r="A167">
        <v>166</v>
      </c>
      <c r="B167" t="s">
        <v>32</v>
      </c>
      <c r="C167" t="s">
        <v>41</v>
      </c>
      <c r="D167" t="s">
        <v>48</v>
      </c>
      <c r="E167" t="s">
        <v>35</v>
      </c>
      <c r="F167">
        <v>27.999504000000002</v>
      </c>
      <c r="G167">
        <v>22.656694999999999</v>
      </c>
      <c r="H167">
        <v>92</v>
      </c>
      <c r="I167">
        <v>5.5989999999999998E-3</v>
      </c>
    </row>
    <row r="168" spans="1:9" x14ac:dyDescent="0.25">
      <c r="A168">
        <v>167</v>
      </c>
      <c r="B168" t="s">
        <v>32</v>
      </c>
      <c r="C168" t="s">
        <v>49</v>
      </c>
      <c r="D168" t="s">
        <v>48</v>
      </c>
      <c r="E168" t="s">
        <v>35</v>
      </c>
      <c r="F168">
        <v>11.506976</v>
      </c>
      <c r="G168">
        <v>6.1790989999999999</v>
      </c>
      <c r="H168">
        <v>79</v>
      </c>
      <c r="I168">
        <v>1.5269999999999999E-3</v>
      </c>
    </row>
    <row r="169" spans="1:9" x14ac:dyDescent="0.25">
      <c r="A169">
        <v>168</v>
      </c>
      <c r="B169" t="s">
        <v>32</v>
      </c>
      <c r="C169" t="s">
        <v>36</v>
      </c>
      <c r="D169" t="s">
        <v>48</v>
      </c>
      <c r="E169" t="s">
        <v>35</v>
      </c>
      <c r="F169">
        <v>28.383472000000001</v>
      </c>
      <c r="G169">
        <v>32.955193000000001</v>
      </c>
      <c r="H169">
        <v>72</v>
      </c>
      <c r="I169">
        <v>8.1429999999999992E-3</v>
      </c>
    </row>
    <row r="170" spans="1:9" x14ac:dyDescent="0.25">
      <c r="A170">
        <v>169</v>
      </c>
      <c r="B170" t="s">
        <v>32</v>
      </c>
      <c r="C170" t="s">
        <v>40</v>
      </c>
      <c r="D170" t="s">
        <v>48</v>
      </c>
      <c r="E170" t="s">
        <v>35</v>
      </c>
      <c r="F170">
        <v>5.7534879999999999</v>
      </c>
      <c r="G170">
        <v>2.0596999999999999</v>
      </c>
      <c r="H170">
        <v>92</v>
      </c>
      <c r="I170">
        <v>5.0900000000000001E-4</v>
      </c>
    </row>
    <row r="171" spans="1:9" x14ac:dyDescent="0.25">
      <c r="A171">
        <v>170</v>
      </c>
      <c r="B171" t="s">
        <v>32</v>
      </c>
      <c r="C171" t="s">
        <v>40</v>
      </c>
      <c r="D171" t="s">
        <v>48</v>
      </c>
      <c r="E171" t="s">
        <v>35</v>
      </c>
      <c r="F171">
        <v>59.067737000000001</v>
      </c>
      <c r="G171">
        <v>67.970084999999997</v>
      </c>
      <c r="H171">
        <v>92</v>
      </c>
      <c r="I171">
        <v>1.6795999999999998E-2</v>
      </c>
    </row>
    <row r="172" spans="1:9" x14ac:dyDescent="0.25">
      <c r="A172">
        <v>171</v>
      </c>
      <c r="B172" t="s">
        <v>32</v>
      </c>
      <c r="C172" t="s">
        <v>49</v>
      </c>
      <c r="D172" t="s">
        <v>48</v>
      </c>
      <c r="E172" t="s">
        <v>35</v>
      </c>
      <c r="F172">
        <v>5.7534879999999999</v>
      </c>
      <c r="G172">
        <v>2.0596999999999999</v>
      </c>
      <c r="H172">
        <v>79</v>
      </c>
      <c r="I172">
        <v>5.0900000000000001E-4</v>
      </c>
    </row>
    <row r="173" spans="1:9" x14ac:dyDescent="0.25">
      <c r="A173">
        <v>172</v>
      </c>
      <c r="B173" t="s">
        <v>32</v>
      </c>
      <c r="C173" t="s">
        <v>41</v>
      </c>
      <c r="D173" t="s">
        <v>48</v>
      </c>
      <c r="E173" t="s">
        <v>35</v>
      </c>
      <c r="F173">
        <v>31.452200000000001</v>
      </c>
      <c r="G173">
        <v>28.835794</v>
      </c>
      <c r="H173">
        <v>92</v>
      </c>
      <c r="I173">
        <v>7.1250000000000003E-3</v>
      </c>
    </row>
    <row r="174" spans="1:9" x14ac:dyDescent="0.25">
      <c r="A174">
        <v>173</v>
      </c>
      <c r="B174" t="s">
        <v>32</v>
      </c>
      <c r="C174" t="s">
        <v>41</v>
      </c>
      <c r="D174" t="s">
        <v>48</v>
      </c>
      <c r="E174" t="s">
        <v>35</v>
      </c>
      <c r="F174">
        <v>5.7534879999999999</v>
      </c>
      <c r="G174">
        <v>2.0596999999999999</v>
      </c>
      <c r="H174">
        <v>92</v>
      </c>
      <c r="I174">
        <v>5.0900000000000001E-4</v>
      </c>
    </row>
    <row r="175" spans="1:9" x14ac:dyDescent="0.25">
      <c r="A175">
        <v>174</v>
      </c>
      <c r="B175" t="s">
        <v>32</v>
      </c>
      <c r="C175" t="s">
        <v>36</v>
      </c>
      <c r="D175" t="s">
        <v>48</v>
      </c>
      <c r="E175" t="s">
        <v>35</v>
      </c>
      <c r="F175">
        <v>31.452200000000001</v>
      </c>
      <c r="G175">
        <v>39.134292000000002</v>
      </c>
      <c r="H175">
        <v>72</v>
      </c>
      <c r="I175">
        <v>9.6699999999999998E-3</v>
      </c>
    </row>
    <row r="176" spans="1:9" x14ac:dyDescent="0.25">
      <c r="A176">
        <v>175</v>
      </c>
      <c r="B176" t="s">
        <v>32</v>
      </c>
      <c r="C176" t="s">
        <v>49</v>
      </c>
      <c r="D176" t="s">
        <v>48</v>
      </c>
      <c r="E176" t="s">
        <v>35</v>
      </c>
      <c r="F176">
        <v>11.506976</v>
      </c>
      <c r="G176">
        <v>8.2387979999999992</v>
      </c>
      <c r="H176">
        <v>79</v>
      </c>
      <c r="I176">
        <v>2.036E-3</v>
      </c>
    </row>
    <row r="177" spans="1:9" x14ac:dyDescent="0.25">
      <c r="A177">
        <v>176</v>
      </c>
      <c r="B177" t="s">
        <v>32</v>
      </c>
      <c r="C177" t="s">
        <v>49</v>
      </c>
      <c r="D177" t="s">
        <v>48</v>
      </c>
      <c r="E177" t="s">
        <v>35</v>
      </c>
      <c r="F177">
        <v>577.64959199999998</v>
      </c>
      <c r="G177">
        <v>3414.9818580000001</v>
      </c>
      <c r="H177">
        <v>79</v>
      </c>
      <c r="I177">
        <v>0.84385699999999997</v>
      </c>
    </row>
    <row r="178" spans="1:9" x14ac:dyDescent="0.25">
      <c r="A178">
        <v>177</v>
      </c>
      <c r="B178" t="s">
        <v>32</v>
      </c>
      <c r="C178" t="s">
        <v>49</v>
      </c>
      <c r="D178" t="s">
        <v>48</v>
      </c>
      <c r="E178" t="s">
        <v>35</v>
      </c>
      <c r="F178">
        <v>8.4382479999999997</v>
      </c>
      <c r="G178">
        <v>4.1193989999999996</v>
      </c>
      <c r="H178">
        <v>79</v>
      </c>
      <c r="I178">
        <v>1.018E-3</v>
      </c>
    </row>
    <row r="179" spans="1:9" x14ac:dyDescent="0.25">
      <c r="A179">
        <v>178</v>
      </c>
      <c r="B179" t="s">
        <v>32</v>
      </c>
      <c r="C179" t="s">
        <v>41</v>
      </c>
      <c r="D179" t="s">
        <v>48</v>
      </c>
      <c r="E179" t="s">
        <v>35</v>
      </c>
      <c r="F179">
        <v>12.045671</v>
      </c>
      <c r="G179">
        <v>6.5889170000000004</v>
      </c>
      <c r="H179">
        <v>92</v>
      </c>
      <c r="I179">
        <v>1.6280000000000001E-3</v>
      </c>
    </row>
    <row r="180" spans="1:9" x14ac:dyDescent="0.25">
      <c r="A180">
        <v>179</v>
      </c>
      <c r="B180" t="s">
        <v>32</v>
      </c>
      <c r="C180" t="s">
        <v>40</v>
      </c>
      <c r="D180" t="s">
        <v>48</v>
      </c>
      <c r="E180" t="s">
        <v>35</v>
      </c>
      <c r="F180">
        <v>125.291449</v>
      </c>
      <c r="G180">
        <v>210.34269800000001</v>
      </c>
      <c r="H180">
        <v>92</v>
      </c>
      <c r="I180">
        <v>5.1977000000000002E-2</v>
      </c>
    </row>
    <row r="181" spans="1:9" x14ac:dyDescent="0.25">
      <c r="A181">
        <v>180</v>
      </c>
      <c r="B181" t="s">
        <v>32</v>
      </c>
      <c r="C181" t="s">
        <v>36</v>
      </c>
      <c r="D181" t="s">
        <v>48</v>
      </c>
      <c r="E181" t="s">
        <v>35</v>
      </c>
      <c r="F181">
        <v>389.86999700000001</v>
      </c>
      <c r="G181">
        <v>1569.1719109999999</v>
      </c>
      <c r="H181">
        <v>72</v>
      </c>
      <c r="I181">
        <v>0.38774900000000001</v>
      </c>
    </row>
    <row r="182" spans="1:9" x14ac:dyDescent="0.25">
      <c r="A182">
        <v>181</v>
      </c>
      <c r="B182" t="s">
        <v>32</v>
      </c>
      <c r="C182" t="s">
        <v>49</v>
      </c>
      <c r="D182" t="s">
        <v>48</v>
      </c>
      <c r="E182" t="s">
        <v>35</v>
      </c>
      <c r="F182">
        <v>241.69348199999999</v>
      </c>
      <c r="G182">
        <v>744.78810899999996</v>
      </c>
      <c r="H182">
        <v>79</v>
      </c>
      <c r="I182">
        <v>0.18404000000000001</v>
      </c>
    </row>
    <row r="183" spans="1:9" x14ac:dyDescent="0.25">
      <c r="A183">
        <v>182</v>
      </c>
      <c r="B183" t="s">
        <v>32</v>
      </c>
      <c r="C183" t="s">
        <v>40</v>
      </c>
      <c r="D183" t="s">
        <v>50</v>
      </c>
      <c r="E183" t="s">
        <v>51</v>
      </c>
      <c r="F183">
        <v>313.22702600000002</v>
      </c>
      <c r="G183">
        <v>725.98623699999996</v>
      </c>
      <c r="H183">
        <v>93</v>
      </c>
      <c r="I183">
        <v>0.179394</v>
      </c>
    </row>
    <row r="184" spans="1:9" x14ac:dyDescent="0.25">
      <c r="A184">
        <v>183</v>
      </c>
      <c r="B184" t="s">
        <v>32</v>
      </c>
      <c r="C184" t="s">
        <v>41</v>
      </c>
      <c r="D184" t="s">
        <v>50</v>
      </c>
      <c r="E184" t="s">
        <v>51</v>
      </c>
      <c r="F184">
        <v>5.2238090000000001</v>
      </c>
      <c r="G184">
        <v>1.6498809999999999</v>
      </c>
      <c r="H184">
        <v>93</v>
      </c>
      <c r="I184">
        <v>4.08E-4</v>
      </c>
    </row>
    <row r="185" spans="1:9" x14ac:dyDescent="0.25">
      <c r="A185">
        <v>184</v>
      </c>
      <c r="B185" t="s">
        <v>32</v>
      </c>
      <c r="C185" t="s">
        <v>36</v>
      </c>
      <c r="D185" t="s">
        <v>50</v>
      </c>
      <c r="E185" t="s">
        <v>51</v>
      </c>
      <c r="F185">
        <v>512.60699399999999</v>
      </c>
      <c r="G185">
        <v>1932.5689540000001</v>
      </c>
      <c r="H185">
        <v>79</v>
      </c>
      <c r="I185">
        <v>0.47754600000000003</v>
      </c>
    </row>
    <row r="186" spans="1:9" x14ac:dyDescent="0.25">
      <c r="A186">
        <v>185</v>
      </c>
      <c r="B186" t="s">
        <v>32</v>
      </c>
      <c r="C186" t="s">
        <v>49</v>
      </c>
      <c r="D186" t="s">
        <v>50</v>
      </c>
      <c r="E186" t="s">
        <v>51</v>
      </c>
      <c r="F186">
        <v>624.49379299999998</v>
      </c>
      <c r="G186">
        <v>7555.7735860000003</v>
      </c>
      <c r="H186">
        <v>84</v>
      </c>
      <c r="I186">
        <v>1.867065</v>
      </c>
    </row>
    <row r="187" spans="1:9" x14ac:dyDescent="0.25">
      <c r="A187">
        <v>186</v>
      </c>
      <c r="B187" t="s">
        <v>32</v>
      </c>
      <c r="C187" t="s">
        <v>41</v>
      </c>
      <c r="D187" t="s">
        <v>50</v>
      </c>
      <c r="E187" t="s">
        <v>51</v>
      </c>
      <c r="F187">
        <v>8.8222159999999992</v>
      </c>
      <c r="G187">
        <v>4.1193989999999996</v>
      </c>
      <c r="H187">
        <v>93</v>
      </c>
      <c r="I187">
        <v>1.018E-3</v>
      </c>
    </row>
    <row r="188" spans="1:9" x14ac:dyDescent="0.25">
      <c r="A188">
        <v>187</v>
      </c>
      <c r="B188" t="s">
        <v>32</v>
      </c>
      <c r="C188" t="s">
        <v>41</v>
      </c>
      <c r="D188" t="s">
        <v>50</v>
      </c>
      <c r="E188" t="s">
        <v>51</v>
      </c>
      <c r="F188">
        <v>14.191736000000001</v>
      </c>
      <c r="G188">
        <v>8.2387979999999992</v>
      </c>
      <c r="H188">
        <v>93</v>
      </c>
      <c r="I188">
        <v>2.036E-3</v>
      </c>
    </row>
    <row r="189" spans="1:9" x14ac:dyDescent="0.25">
      <c r="A189">
        <v>188</v>
      </c>
      <c r="B189" t="s">
        <v>32</v>
      </c>
      <c r="C189" t="s">
        <v>41</v>
      </c>
      <c r="D189" t="s">
        <v>50</v>
      </c>
      <c r="E189" t="s">
        <v>51</v>
      </c>
      <c r="F189">
        <v>14.191736000000001</v>
      </c>
      <c r="G189">
        <v>10.298498</v>
      </c>
      <c r="H189">
        <v>93</v>
      </c>
      <c r="I189">
        <v>2.545E-3</v>
      </c>
    </row>
    <row r="190" spans="1:9" x14ac:dyDescent="0.25">
      <c r="A190">
        <v>189</v>
      </c>
      <c r="B190" t="s">
        <v>32</v>
      </c>
      <c r="C190" t="s">
        <v>43</v>
      </c>
      <c r="D190" t="s">
        <v>50</v>
      </c>
      <c r="E190" t="s">
        <v>51</v>
      </c>
      <c r="F190">
        <v>5.7534879999999999</v>
      </c>
      <c r="G190">
        <v>2.0596999999999999</v>
      </c>
      <c r="H190">
        <v>84</v>
      </c>
      <c r="I190">
        <v>5.0900000000000001E-4</v>
      </c>
    </row>
    <row r="191" spans="1:9" x14ac:dyDescent="0.25">
      <c r="A191">
        <v>190</v>
      </c>
      <c r="B191" t="s">
        <v>32</v>
      </c>
      <c r="C191" t="s">
        <v>33</v>
      </c>
      <c r="D191" t="s">
        <v>50</v>
      </c>
      <c r="E191" t="s">
        <v>51</v>
      </c>
      <c r="F191">
        <v>11.123008</v>
      </c>
      <c r="G191">
        <v>6.1790989999999999</v>
      </c>
      <c r="H191">
        <v>80</v>
      </c>
      <c r="I191">
        <v>1.5269999999999999E-3</v>
      </c>
    </row>
    <row r="192" spans="1:9" x14ac:dyDescent="0.25">
      <c r="A192">
        <v>191</v>
      </c>
      <c r="B192" t="s">
        <v>32</v>
      </c>
      <c r="C192" t="s">
        <v>49</v>
      </c>
      <c r="D192" t="s">
        <v>50</v>
      </c>
      <c r="E192" t="s">
        <v>51</v>
      </c>
      <c r="F192">
        <v>11.506976</v>
      </c>
      <c r="G192">
        <v>8.2387979999999992</v>
      </c>
      <c r="H192">
        <v>84</v>
      </c>
      <c r="I192">
        <v>2.036E-3</v>
      </c>
    </row>
    <row r="193" spans="1:9" x14ac:dyDescent="0.25">
      <c r="A193">
        <v>192</v>
      </c>
      <c r="B193" t="s">
        <v>32</v>
      </c>
      <c r="C193" t="s">
        <v>43</v>
      </c>
      <c r="D193" t="s">
        <v>50</v>
      </c>
      <c r="E193" t="s">
        <v>51</v>
      </c>
      <c r="F193">
        <v>11.123008</v>
      </c>
      <c r="G193">
        <v>6.1790989999999999</v>
      </c>
      <c r="H193">
        <v>84</v>
      </c>
      <c r="I193">
        <v>1.5269999999999999E-3</v>
      </c>
    </row>
    <row r="194" spans="1:9" x14ac:dyDescent="0.25">
      <c r="A194">
        <v>193</v>
      </c>
      <c r="B194" t="s">
        <v>32</v>
      </c>
      <c r="C194" t="s">
        <v>41</v>
      </c>
      <c r="D194" t="s">
        <v>50</v>
      </c>
      <c r="E194" t="s">
        <v>51</v>
      </c>
      <c r="F194">
        <v>5.7534879999999999</v>
      </c>
      <c r="G194">
        <v>2.0596999999999999</v>
      </c>
      <c r="H194">
        <v>93</v>
      </c>
      <c r="I194">
        <v>5.0900000000000001E-4</v>
      </c>
    </row>
    <row r="195" spans="1:9" x14ac:dyDescent="0.25">
      <c r="A195">
        <v>194</v>
      </c>
      <c r="B195" t="s">
        <v>32</v>
      </c>
      <c r="C195" t="s">
        <v>43</v>
      </c>
      <c r="D195" t="s">
        <v>50</v>
      </c>
      <c r="E195" t="s">
        <v>51</v>
      </c>
      <c r="F195">
        <v>11.123008</v>
      </c>
      <c r="G195">
        <v>6.1790989999999999</v>
      </c>
      <c r="H195">
        <v>84</v>
      </c>
      <c r="I195">
        <v>1.5269999999999999E-3</v>
      </c>
    </row>
    <row r="196" spans="1:9" x14ac:dyDescent="0.25">
      <c r="A196">
        <v>195</v>
      </c>
      <c r="B196" t="s">
        <v>32</v>
      </c>
      <c r="C196" t="s">
        <v>33</v>
      </c>
      <c r="D196" t="s">
        <v>50</v>
      </c>
      <c r="E196" t="s">
        <v>51</v>
      </c>
      <c r="F196">
        <v>25.698712</v>
      </c>
      <c r="G196">
        <v>28.835794</v>
      </c>
      <c r="H196">
        <v>80</v>
      </c>
      <c r="I196">
        <v>7.1250000000000003E-3</v>
      </c>
    </row>
    <row r="197" spans="1:9" x14ac:dyDescent="0.25">
      <c r="A197">
        <v>196</v>
      </c>
      <c r="B197" t="s">
        <v>32</v>
      </c>
      <c r="C197" t="s">
        <v>41</v>
      </c>
      <c r="D197" t="s">
        <v>50</v>
      </c>
      <c r="E197" t="s">
        <v>51</v>
      </c>
      <c r="F197">
        <v>17.260463999999999</v>
      </c>
      <c r="G197">
        <v>12.358197000000001</v>
      </c>
      <c r="H197">
        <v>93</v>
      </c>
      <c r="I197">
        <v>3.0539999999999999E-3</v>
      </c>
    </row>
    <row r="198" spans="1:9" x14ac:dyDescent="0.25">
      <c r="A198">
        <v>197</v>
      </c>
      <c r="B198" t="s">
        <v>32</v>
      </c>
      <c r="C198" t="s">
        <v>36</v>
      </c>
      <c r="D198" t="s">
        <v>52</v>
      </c>
      <c r="E198" t="s">
        <v>51</v>
      </c>
      <c r="F198">
        <v>1.4358230000000001</v>
      </c>
      <c r="G198">
        <v>5.7985000000000002E-2</v>
      </c>
      <c r="H198">
        <v>79</v>
      </c>
      <c r="I198">
        <v>1.4E-5</v>
      </c>
    </row>
    <row r="199" spans="1:9" x14ac:dyDescent="0.25">
      <c r="A199">
        <v>198</v>
      </c>
      <c r="B199" t="s">
        <v>32</v>
      </c>
      <c r="C199" t="s">
        <v>36</v>
      </c>
      <c r="D199" t="s">
        <v>52</v>
      </c>
      <c r="E199" t="s">
        <v>51</v>
      </c>
      <c r="F199">
        <v>0.12504000000000001</v>
      </c>
      <c r="G199">
        <v>1.74E-4</v>
      </c>
      <c r="H199">
        <v>79</v>
      </c>
      <c r="I199">
        <v>0</v>
      </c>
    </row>
    <row r="200" spans="1:9" x14ac:dyDescent="0.25">
      <c r="A200">
        <v>199</v>
      </c>
      <c r="B200" t="s">
        <v>32</v>
      </c>
      <c r="C200" t="s">
        <v>36</v>
      </c>
      <c r="D200" t="s">
        <v>52</v>
      </c>
      <c r="E200" t="s">
        <v>51</v>
      </c>
      <c r="F200">
        <v>20.123242999999999</v>
      </c>
      <c r="G200">
        <v>18.617270999999999</v>
      </c>
      <c r="H200">
        <v>79</v>
      </c>
      <c r="I200">
        <v>4.5999999999999999E-3</v>
      </c>
    </row>
    <row r="201" spans="1:9" x14ac:dyDescent="0.25">
      <c r="A201">
        <v>200</v>
      </c>
      <c r="B201" t="s">
        <v>32</v>
      </c>
      <c r="C201" t="s">
        <v>49</v>
      </c>
      <c r="D201" t="s">
        <v>52</v>
      </c>
      <c r="E201" t="s">
        <v>51</v>
      </c>
      <c r="F201">
        <v>25.698712</v>
      </c>
      <c r="G201">
        <v>26.776094000000001</v>
      </c>
      <c r="H201">
        <v>84</v>
      </c>
      <c r="I201">
        <v>6.6160000000000004E-3</v>
      </c>
    </row>
    <row r="202" spans="1:9" x14ac:dyDescent="0.25">
      <c r="A202">
        <v>201</v>
      </c>
      <c r="B202" t="s">
        <v>32</v>
      </c>
      <c r="C202" t="s">
        <v>49</v>
      </c>
      <c r="D202" t="s">
        <v>52</v>
      </c>
      <c r="E202" t="s">
        <v>51</v>
      </c>
      <c r="F202">
        <v>22.629984</v>
      </c>
      <c r="G202">
        <v>18.537296000000001</v>
      </c>
      <c r="H202">
        <v>84</v>
      </c>
      <c r="I202">
        <v>4.581E-3</v>
      </c>
    </row>
    <row r="203" spans="1:9" x14ac:dyDescent="0.25">
      <c r="A203">
        <v>202</v>
      </c>
      <c r="B203" t="s">
        <v>32</v>
      </c>
      <c r="C203" t="s">
        <v>43</v>
      </c>
      <c r="D203" t="s">
        <v>52</v>
      </c>
      <c r="E203" t="s">
        <v>51</v>
      </c>
      <c r="F203">
        <v>13.807767999999999</v>
      </c>
      <c r="G203">
        <v>8.2387979999999992</v>
      </c>
      <c r="H203">
        <v>84</v>
      </c>
      <c r="I203">
        <v>2.036E-3</v>
      </c>
    </row>
    <row r="204" spans="1:9" x14ac:dyDescent="0.25">
      <c r="A204">
        <v>203</v>
      </c>
      <c r="B204" t="s">
        <v>32</v>
      </c>
      <c r="C204" t="s">
        <v>49</v>
      </c>
      <c r="D204" t="s">
        <v>52</v>
      </c>
      <c r="E204" t="s">
        <v>51</v>
      </c>
      <c r="F204">
        <v>11.506976</v>
      </c>
      <c r="G204">
        <v>8.2387979999999992</v>
      </c>
      <c r="H204">
        <v>84</v>
      </c>
      <c r="I204">
        <v>2.036E-3</v>
      </c>
    </row>
    <row r="205" spans="1:9" x14ac:dyDescent="0.25">
      <c r="A205">
        <v>204</v>
      </c>
      <c r="B205" t="s">
        <v>32</v>
      </c>
      <c r="C205" t="s">
        <v>49</v>
      </c>
      <c r="D205" t="s">
        <v>52</v>
      </c>
      <c r="E205" t="s">
        <v>51</v>
      </c>
      <c r="F205">
        <v>274.22523699999999</v>
      </c>
      <c r="G205">
        <v>1025.50802</v>
      </c>
      <c r="H205">
        <v>84</v>
      </c>
      <c r="I205">
        <v>0.25340800000000002</v>
      </c>
    </row>
    <row r="206" spans="1:9" x14ac:dyDescent="0.25">
      <c r="A206">
        <v>205</v>
      </c>
      <c r="B206" t="s">
        <v>32</v>
      </c>
      <c r="C206" t="s">
        <v>49</v>
      </c>
      <c r="D206" t="s">
        <v>52</v>
      </c>
      <c r="E206" t="s">
        <v>51</v>
      </c>
      <c r="F206">
        <v>19.177288999999998</v>
      </c>
      <c r="G206">
        <v>12.358197000000001</v>
      </c>
      <c r="H206">
        <v>84</v>
      </c>
      <c r="I206">
        <v>3.0539999999999999E-3</v>
      </c>
    </row>
    <row r="207" spans="1:9" x14ac:dyDescent="0.25">
      <c r="A207">
        <v>206</v>
      </c>
      <c r="B207" t="s">
        <v>32</v>
      </c>
      <c r="C207" t="s">
        <v>43</v>
      </c>
      <c r="D207" t="s">
        <v>52</v>
      </c>
      <c r="E207" t="s">
        <v>51</v>
      </c>
      <c r="F207">
        <v>41.423304999999999</v>
      </c>
      <c r="G207">
        <v>39.134290999999997</v>
      </c>
      <c r="H207">
        <v>84</v>
      </c>
      <c r="I207">
        <v>9.6699999999999998E-3</v>
      </c>
    </row>
    <row r="208" spans="1:9" x14ac:dyDescent="0.25">
      <c r="A208">
        <v>207</v>
      </c>
      <c r="B208" t="s">
        <v>32</v>
      </c>
      <c r="C208" t="s">
        <v>49</v>
      </c>
      <c r="D208" t="s">
        <v>52</v>
      </c>
      <c r="E208" t="s">
        <v>51</v>
      </c>
      <c r="F208">
        <v>17.260463999999999</v>
      </c>
      <c r="G208">
        <v>14.417897</v>
      </c>
      <c r="H208">
        <v>84</v>
      </c>
      <c r="I208">
        <v>3.5630000000000002E-3</v>
      </c>
    </row>
    <row r="209" spans="1:9" x14ac:dyDescent="0.25">
      <c r="A209">
        <v>208</v>
      </c>
      <c r="B209" t="s">
        <v>32</v>
      </c>
      <c r="C209" t="s">
        <v>49</v>
      </c>
      <c r="D209" t="s">
        <v>52</v>
      </c>
      <c r="E209" t="s">
        <v>51</v>
      </c>
      <c r="F209">
        <v>93.972632000000004</v>
      </c>
      <c r="G209">
        <v>102.984978</v>
      </c>
      <c r="H209">
        <v>84</v>
      </c>
      <c r="I209">
        <v>2.5447999999999998E-2</v>
      </c>
    </row>
    <row r="210" spans="1:9" x14ac:dyDescent="0.25">
      <c r="A210">
        <v>209</v>
      </c>
      <c r="B210" t="s">
        <v>32</v>
      </c>
      <c r="C210" t="s">
        <v>49</v>
      </c>
      <c r="D210" t="s">
        <v>52</v>
      </c>
      <c r="E210" t="s">
        <v>51</v>
      </c>
      <c r="F210">
        <v>11.506976</v>
      </c>
      <c r="G210">
        <v>6.1790989999999999</v>
      </c>
      <c r="H210">
        <v>84</v>
      </c>
      <c r="I210">
        <v>1.5269999999999999E-3</v>
      </c>
    </row>
    <row r="211" spans="1:9" x14ac:dyDescent="0.25">
      <c r="A211">
        <v>210</v>
      </c>
      <c r="B211" t="s">
        <v>32</v>
      </c>
      <c r="C211" t="s">
        <v>41</v>
      </c>
      <c r="D211" t="s">
        <v>52</v>
      </c>
      <c r="E211" t="s">
        <v>51</v>
      </c>
      <c r="F211">
        <v>14.575704</v>
      </c>
      <c r="G211">
        <v>8.2387979999999992</v>
      </c>
      <c r="H211">
        <v>93</v>
      </c>
      <c r="I211">
        <v>2.036E-3</v>
      </c>
    </row>
    <row r="212" spans="1:9" x14ac:dyDescent="0.25">
      <c r="A212">
        <v>211</v>
      </c>
      <c r="B212" t="s">
        <v>32</v>
      </c>
      <c r="C212" t="s">
        <v>49</v>
      </c>
      <c r="D212" t="s">
        <v>52</v>
      </c>
      <c r="E212" t="s">
        <v>51</v>
      </c>
      <c r="F212">
        <v>11.506976</v>
      </c>
      <c r="G212">
        <v>8.2387979999999992</v>
      </c>
      <c r="H212">
        <v>84</v>
      </c>
      <c r="I212">
        <v>2.036E-3</v>
      </c>
    </row>
    <row r="213" spans="1:9" x14ac:dyDescent="0.25">
      <c r="A213">
        <v>212</v>
      </c>
      <c r="B213" t="s">
        <v>32</v>
      </c>
      <c r="C213" t="s">
        <v>44</v>
      </c>
      <c r="D213" t="s">
        <v>52</v>
      </c>
      <c r="E213" t="s">
        <v>51</v>
      </c>
      <c r="F213">
        <v>5.7534879999999999</v>
      </c>
      <c r="G213">
        <v>2.0596999999999999</v>
      </c>
      <c r="H213">
        <v>77</v>
      </c>
      <c r="I213">
        <v>5.0900000000000001E-4</v>
      </c>
    </row>
    <row r="214" spans="1:9" x14ac:dyDescent="0.25">
      <c r="A214">
        <v>213</v>
      </c>
      <c r="B214" t="s">
        <v>32</v>
      </c>
      <c r="C214" t="s">
        <v>41</v>
      </c>
      <c r="D214" t="s">
        <v>52</v>
      </c>
      <c r="E214" t="s">
        <v>51</v>
      </c>
      <c r="F214">
        <v>14.575704</v>
      </c>
      <c r="G214">
        <v>10.298498</v>
      </c>
      <c r="H214">
        <v>93</v>
      </c>
      <c r="I214">
        <v>2.545E-3</v>
      </c>
    </row>
    <row r="215" spans="1:9" x14ac:dyDescent="0.25">
      <c r="A215">
        <v>214</v>
      </c>
      <c r="B215" t="s">
        <v>32</v>
      </c>
      <c r="C215" t="s">
        <v>44</v>
      </c>
      <c r="D215" t="s">
        <v>52</v>
      </c>
      <c r="E215" t="s">
        <v>51</v>
      </c>
      <c r="F215">
        <v>464.71680800000001</v>
      </c>
      <c r="G215">
        <v>1939.2061530000001</v>
      </c>
      <c r="H215">
        <v>77</v>
      </c>
      <c r="I215">
        <v>0.479186</v>
      </c>
    </row>
    <row r="216" spans="1:9" x14ac:dyDescent="0.25">
      <c r="A216">
        <v>215</v>
      </c>
      <c r="B216" t="s">
        <v>32</v>
      </c>
      <c r="C216" t="s">
        <v>40</v>
      </c>
      <c r="D216" t="s">
        <v>52</v>
      </c>
      <c r="E216" t="s">
        <v>51</v>
      </c>
      <c r="F216">
        <v>273.46220599999998</v>
      </c>
      <c r="G216">
        <v>597.79447700000003</v>
      </c>
      <c r="H216">
        <v>93</v>
      </c>
      <c r="I216">
        <v>0.14771799999999999</v>
      </c>
    </row>
    <row r="217" spans="1:9" x14ac:dyDescent="0.25">
      <c r="A217">
        <v>216</v>
      </c>
      <c r="B217" t="s">
        <v>32</v>
      </c>
      <c r="C217" t="s">
        <v>40</v>
      </c>
      <c r="D217" t="s">
        <v>53</v>
      </c>
      <c r="E217" t="s">
        <v>35</v>
      </c>
      <c r="F217">
        <v>254.742334</v>
      </c>
      <c r="G217">
        <v>563.132339</v>
      </c>
      <c r="H217">
        <v>92</v>
      </c>
      <c r="I217">
        <v>0.139153</v>
      </c>
    </row>
    <row r="218" spans="1:9" x14ac:dyDescent="0.25">
      <c r="A218">
        <v>217</v>
      </c>
      <c r="B218" t="s">
        <v>32</v>
      </c>
      <c r="C218" t="s">
        <v>36</v>
      </c>
      <c r="D218" t="s">
        <v>53</v>
      </c>
      <c r="E218" t="s">
        <v>35</v>
      </c>
      <c r="F218">
        <v>557.19211800000005</v>
      </c>
      <c r="G218">
        <v>3694.8493709999998</v>
      </c>
      <c r="H218">
        <v>72</v>
      </c>
      <c r="I218">
        <v>0.91301399999999999</v>
      </c>
    </row>
    <row r="219" spans="1:9" x14ac:dyDescent="0.25">
      <c r="A219">
        <v>218</v>
      </c>
      <c r="B219" t="s">
        <v>32</v>
      </c>
      <c r="C219" t="s">
        <v>49</v>
      </c>
      <c r="D219" t="s">
        <v>53</v>
      </c>
      <c r="E219" t="s">
        <v>35</v>
      </c>
      <c r="F219">
        <v>1491.507611</v>
      </c>
      <c r="G219">
        <v>13901.272112000001</v>
      </c>
      <c r="H219">
        <v>79</v>
      </c>
      <c r="I219">
        <v>3.435066</v>
      </c>
    </row>
    <row r="220" spans="1:9" x14ac:dyDescent="0.25">
      <c r="A220">
        <v>219</v>
      </c>
      <c r="B220" t="s">
        <v>32</v>
      </c>
      <c r="C220" t="s">
        <v>40</v>
      </c>
      <c r="D220" t="s">
        <v>53</v>
      </c>
      <c r="E220" t="s">
        <v>35</v>
      </c>
      <c r="F220">
        <v>234.84869800000001</v>
      </c>
      <c r="G220">
        <v>627.63253199999997</v>
      </c>
      <c r="H220">
        <v>92</v>
      </c>
      <c r="I220">
        <v>0.15509100000000001</v>
      </c>
    </row>
    <row r="221" spans="1:9" x14ac:dyDescent="0.25">
      <c r="A221">
        <v>220</v>
      </c>
      <c r="B221" t="s">
        <v>32</v>
      </c>
      <c r="C221" t="s">
        <v>49</v>
      </c>
      <c r="D221" t="s">
        <v>53</v>
      </c>
      <c r="E221" t="s">
        <v>35</v>
      </c>
      <c r="F221">
        <v>26.08268</v>
      </c>
      <c r="G221">
        <v>28.835794</v>
      </c>
      <c r="H221">
        <v>79</v>
      </c>
      <c r="I221">
        <v>7.1250000000000003E-3</v>
      </c>
    </row>
    <row r="222" spans="1:9" x14ac:dyDescent="0.25">
      <c r="A222">
        <v>221</v>
      </c>
      <c r="B222" t="s">
        <v>32</v>
      </c>
      <c r="C222" t="s">
        <v>41</v>
      </c>
      <c r="D222" t="s">
        <v>53</v>
      </c>
      <c r="E222" t="s">
        <v>35</v>
      </c>
      <c r="F222">
        <v>8.4382479999999997</v>
      </c>
      <c r="G222">
        <v>4.1193989999999996</v>
      </c>
      <c r="H222">
        <v>92</v>
      </c>
      <c r="I222">
        <v>1.018E-3</v>
      </c>
    </row>
    <row r="223" spans="1:9" x14ac:dyDescent="0.25">
      <c r="A223">
        <v>222</v>
      </c>
      <c r="B223" t="s">
        <v>32</v>
      </c>
      <c r="C223" t="s">
        <v>41</v>
      </c>
      <c r="D223" t="s">
        <v>53</v>
      </c>
      <c r="E223" t="s">
        <v>35</v>
      </c>
      <c r="F223">
        <v>8.4382479999999997</v>
      </c>
      <c r="G223">
        <v>4.1193989999999996</v>
      </c>
      <c r="H223">
        <v>92</v>
      </c>
      <c r="I223">
        <v>1.018E-3</v>
      </c>
    </row>
    <row r="224" spans="1:9" x14ac:dyDescent="0.25">
      <c r="A224">
        <v>223</v>
      </c>
      <c r="B224" t="s">
        <v>32</v>
      </c>
      <c r="C224" t="s">
        <v>41</v>
      </c>
      <c r="D224" t="s">
        <v>53</v>
      </c>
      <c r="E224" t="s">
        <v>35</v>
      </c>
      <c r="F224">
        <v>11.506976</v>
      </c>
      <c r="G224">
        <v>6.1790989999999999</v>
      </c>
      <c r="H224">
        <v>92</v>
      </c>
      <c r="I224">
        <v>1.5269999999999999E-3</v>
      </c>
    </row>
    <row r="225" spans="1:9" x14ac:dyDescent="0.25">
      <c r="A225">
        <v>224</v>
      </c>
      <c r="B225" t="s">
        <v>32</v>
      </c>
      <c r="C225" t="s">
        <v>41</v>
      </c>
      <c r="D225" t="s">
        <v>53</v>
      </c>
      <c r="E225" t="s">
        <v>35</v>
      </c>
      <c r="F225">
        <v>5.7534879999999999</v>
      </c>
      <c r="G225">
        <v>2.0596999999999999</v>
      </c>
      <c r="H225">
        <v>92</v>
      </c>
      <c r="I225">
        <v>5.0900000000000001E-4</v>
      </c>
    </row>
    <row r="226" spans="1:9" x14ac:dyDescent="0.25">
      <c r="A226">
        <v>225</v>
      </c>
      <c r="B226" t="s">
        <v>32</v>
      </c>
      <c r="C226" t="s">
        <v>41</v>
      </c>
      <c r="D226" t="s">
        <v>53</v>
      </c>
      <c r="E226" t="s">
        <v>35</v>
      </c>
      <c r="F226">
        <v>5.7534879999999999</v>
      </c>
      <c r="G226">
        <v>2.0596999999999999</v>
      </c>
      <c r="H226">
        <v>92</v>
      </c>
      <c r="I226">
        <v>5.0900000000000001E-4</v>
      </c>
    </row>
    <row r="227" spans="1:9" x14ac:dyDescent="0.25">
      <c r="A227">
        <v>226</v>
      </c>
      <c r="B227" t="s">
        <v>32</v>
      </c>
      <c r="C227" t="s">
        <v>43</v>
      </c>
      <c r="D227" t="s">
        <v>53</v>
      </c>
      <c r="E227" t="s">
        <v>35</v>
      </c>
      <c r="F227">
        <v>14.191736000000001</v>
      </c>
      <c r="G227">
        <v>10.298498</v>
      </c>
      <c r="H227">
        <v>79</v>
      </c>
      <c r="I227">
        <v>2.545E-3</v>
      </c>
    </row>
    <row r="228" spans="1:9" x14ac:dyDescent="0.25">
      <c r="A228">
        <v>227</v>
      </c>
      <c r="B228" t="s">
        <v>32</v>
      </c>
      <c r="C228" t="s">
        <v>43</v>
      </c>
      <c r="D228" t="s">
        <v>53</v>
      </c>
      <c r="E228" t="s">
        <v>35</v>
      </c>
      <c r="F228">
        <v>8.4382479999999997</v>
      </c>
      <c r="G228">
        <v>4.1193989999999996</v>
      </c>
      <c r="H228">
        <v>79</v>
      </c>
      <c r="I228">
        <v>1.018E-3</v>
      </c>
    </row>
    <row r="229" spans="1:9" x14ac:dyDescent="0.25">
      <c r="A229">
        <v>228</v>
      </c>
      <c r="B229" t="s">
        <v>32</v>
      </c>
      <c r="C229" t="s">
        <v>43</v>
      </c>
      <c r="D229" t="s">
        <v>53</v>
      </c>
      <c r="E229" t="s">
        <v>35</v>
      </c>
      <c r="F229">
        <v>8.4382479999999997</v>
      </c>
      <c r="G229">
        <v>4.1193989999999996</v>
      </c>
      <c r="H229">
        <v>79</v>
      </c>
      <c r="I229">
        <v>1.018E-3</v>
      </c>
    </row>
    <row r="230" spans="1:9" x14ac:dyDescent="0.25">
      <c r="A230">
        <v>229</v>
      </c>
      <c r="B230" t="s">
        <v>32</v>
      </c>
      <c r="C230" t="s">
        <v>43</v>
      </c>
      <c r="D230" t="s">
        <v>53</v>
      </c>
      <c r="E230" t="s">
        <v>35</v>
      </c>
      <c r="F230">
        <v>8.4382479999999997</v>
      </c>
      <c r="G230">
        <v>4.1193989999999996</v>
      </c>
      <c r="H230">
        <v>79</v>
      </c>
      <c r="I230">
        <v>1.018E-3</v>
      </c>
    </row>
    <row r="231" spans="1:9" x14ac:dyDescent="0.25">
      <c r="A231">
        <v>230</v>
      </c>
      <c r="B231" t="s">
        <v>32</v>
      </c>
      <c r="C231" t="s">
        <v>49</v>
      </c>
      <c r="D231" t="s">
        <v>53</v>
      </c>
      <c r="E231" t="s">
        <v>35</v>
      </c>
      <c r="F231">
        <v>25.698712</v>
      </c>
      <c r="G231">
        <v>22.656694999999999</v>
      </c>
      <c r="H231">
        <v>79</v>
      </c>
      <c r="I231">
        <v>5.5989999999999998E-3</v>
      </c>
    </row>
    <row r="232" spans="1:9" x14ac:dyDescent="0.25">
      <c r="A232">
        <v>231</v>
      </c>
      <c r="B232" t="s">
        <v>32</v>
      </c>
      <c r="C232" t="s">
        <v>49</v>
      </c>
      <c r="D232" t="s">
        <v>53</v>
      </c>
      <c r="E232" t="s">
        <v>35</v>
      </c>
      <c r="F232">
        <v>17.260463999999999</v>
      </c>
      <c r="G232">
        <v>12.358197000000001</v>
      </c>
      <c r="H232">
        <v>79</v>
      </c>
      <c r="I232">
        <v>3.0539999999999999E-3</v>
      </c>
    </row>
    <row r="233" spans="1:9" x14ac:dyDescent="0.25">
      <c r="A233">
        <v>232</v>
      </c>
      <c r="B233" t="s">
        <v>32</v>
      </c>
      <c r="C233" t="s">
        <v>43</v>
      </c>
      <c r="D233" t="s">
        <v>53</v>
      </c>
      <c r="E233" t="s">
        <v>35</v>
      </c>
      <c r="F233">
        <v>14.191736000000001</v>
      </c>
      <c r="G233">
        <v>8.2387979999999992</v>
      </c>
      <c r="H233">
        <v>79</v>
      </c>
      <c r="I233">
        <v>2.036E-3</v>
      </c>
    </row>
    <row r="234" spans="1:9" x14ac:dyDescent="0.25">
      <c r="A234">
        <v>233</v>
      </c>
      <c r="B234" t="s">
        <v>32</v>
      </c>
      <c r="C234" t="s">
        <v>36</v>
      </c>
      <c r="D234" t="s">
        <v>53</v>
      </c>
      <c r="E234" t="s">
        <v>35</v>
      </c>
      <c r="F234">
        <v>42.575208000000003</v>
      </c>
      <c r="G234">
        <v>65.910386000000003</v>
      </c>
      <c r="H234">
        <v>72</v>
      </c>
      <c r="I234">
        <v>1.6286999999999999E-2</v>
      </c>
    </row>
    <row r="235" spans="1:9" x14ac:dyDescent="0.25">
      <c r="A235">
        <v>234</v>
      </c>
      <c r="B235" t="s">
        <v>32</v>
      </c>
      <c r="C235" t="s">
        <v>43</v>
      </c>
      <c r="D235" t="s">
        <v>53</v>
      </c>
      <c r="E235" t="s">
        <v>35</v>
      </c>
      <c r="F235">
        <v>8.4382479999999997</v>
      </c>
      <c r="G235">
        <v>4.1193989999999996</v>
      </c>
      <c r="H235">
        <v>79</v>
      </c>
      <c r="I235">
        <v>1.018E-3</v>
      </c>
    </row>
    <row r="236" spans="1:9" x14ac:dyDescent="0.25">
      <c r="A236">
        <v>235</v>
      </c>
      <c r="B236" t="s">
        <v>32</v>
      </c>
      <c r="C236" t="s">
        <v>39</v>
      </c>
      <c r="D236" t="s">
        <v>53</v>
      </c>
      <c r="E236" t="s">
        <v>35</v>
      </c>
      <c r="F236">
        <v>5.7534879999999999</v>
      </c>
      <c r="G236">
        <v>2.0596999999999999</v>
      </c>
      <c r="H236">
        <v>74</v>
      </c>
      <c r="I236">
        <v>5.0900000000000001E-4</v>
      </c>
    </row>
    <row r="237" spans="1:9" x14ac:dyDescent="0.25">
      <c r="A237">
        <v>236</v>
      </c>
      <c r="B237" t="s">
        <v>32</v>
      </c>
      <c r="C237" t="s">
        <v>41</v>
      </c>
      <c r="D237" t="s">
        <v>53</v>
      </c>
      <c r="E237" t="s">
        <v>35</v>
      </c>
      <c r="F237">
        <v>31.452200000000001</v>
      </c>
      <c r="G237">
        <v>28.835794</v>
      </c>
      <c r="H237">
        <v>92</v>
      </c>
      <c r="I237">
        <v>7.1250000000000003E-3</v>
      </c>
    </row>
    <row r="238" spans="1:9" x14ac:dyDescent="0.25">
      <c r="A238">
        <v>237</v>
      </c>
      <c r="B238" t="s">
        <v>32</v>
      </c>
      <c r="C238" t="s">
        <v>36</v>
      </c>
      <c r="D238" t="s">
        <v>53</v>
      </c>
      <c r="E238" t="s">
        <v>35</v>
      </c>
      <c r="F238">
        <v>16.876495999999999</v>
      </c>
      <c r="G238">
        <v>12.358197000000001</v>
      </c>
      <c r="H238">
        <v>72</v>
      </c>
      <c r="I238">
        <v>3.0539999999999999E-3</v>
      </c>
    </row>
    <row r="239" spans="1:9" x14ac:dyDescent="0.25">
      <c r="A239">
        <v>238</v>
      </c>
      <c r="B239" t="s">
        <v>32</v>
      </c>
      <c r="C239" t="s">
        <v>43</v>
      </c>
      <c r="D239" t="s">
        <v>53</v>
      </c>
      <c r="E239" t="s">
        <v>35</v>
      </c>
      <c r="F239">
        <v>11.506976</v>
      </c>
      <c r="G239">
        <v>8.2387979999999992</v>
      </c>
      <c r="H239">
        <v>79</v>
      </c>
      <c r="I239">
        <v>2.036E-3</v>
      </c>
    </row>
    <row r="240" spans="1:9" x14ac:dyDescent="0.25">
      <c r="A240">
        <v>239</v>
      </c>
      <c r="B240" t="s">
        <v>32</v>
      </c>
      <c r="C240" t="s">
        <v>43</v>
      </c>
      <c r="D240" t="s">
        <v>53</v>
      </c>
      <c r="E240" t="s">
        <v>35</v>
      </c>
      <c r="F240">
        <v>11.123008</v>
      </c>
      <c r="G240">
        <v>6.1790989999999999</v>
      </c>
      <c r="H240">
        <v>79</v>
      </c>
      <c r="I240">
        <v>1.5269999999999999E-3</v>
      </c>
    </row>
    <row r="241" spans="1:9" x14ac:dyDescent="0.25">
      <c r="A241">
        <v>240</v>
      </c>
      <c r="B241" t="s">
        <v>32</v>
      </c>
      <c r="C241" t="s">
        <v>42</v>
      </c>
      <c r="D241" t="s">
        <v>53</v>
      </c>
      <c r="E241" t="s">
        <v>35</v>
      </c>
      <c r="F241">
        <v>38.357590999999999</v>
      </c>
      <c r="G241">
        <v>35.014892000000003</v>
      </c>
      <c r="H241">
        <v>98</v>
      </c>
      <c r="I241">
        <v>8.652E-3</v>
      </c>
    </row>
    <row r="242" spans="1:9" x14ac:dyDescent="0.25">
      <c r="A242">
        <v>241</v>
      </c>
      <c r="B242" t="s">
        <v>32</v>
      </c>
      <c r="C242" t="s">
        <v>36</v>
      </c>
      <c r="D242" t="s">
        <v>53</v>
      </c>
      <c r="E242" t="s">
        <v>35</v>
      </c>
      <c r="F242">
        <v>66.741063999999994</v>
      </c>
      <c r="G242">
        <v>123.581973</v>
      </c>
      <c r="H242">
        <v>72</v>
      </c>
      <c r="I242">
        <v>3.0537999999999999E-2</v>
      </c>
    </row>
    <row r="243" spans="1:9" x14ac:dyDescent="0.25">
      <c r="A243">
        <v>242</v>
      </c>
      <c r="B243" t="s">
        <v>32</v>
      </c>
      <c r="C243" t="s">
        <v>43</v>
      </c>
      <c r="D243" t="s">
        <v>53</v>
      </c>
      <c r="E243" t="s">
        <v>35</v>
      </c>
      <c r="F243">
        <v>16.492528</v>
      </c>
      <c r="G243">
        <v>10.298498</v>
      </c>
      <c r="H243">
        <v>79</v>
      </c>
      <c r="I243">
        <v>2.545E-3</v>
      </c>
    </row>
    <row r="244" spans="1:9" x14ac:dyDescent="0.25">
      <c r="A244">
        <v>243</v>
      </c>
      <c r="B244" t="s">
        <v>32</v>
      </c>
      <c r="C244" t="s">
        <v>43</v>
      </c>
      <c r="D244" t="s">
        <v>53</v>
      </c>
      <c r="E244" t="s">
        <v>35</v>
      </c>
      <c r="F244">
        <v>19.177288999999998</v>
      </c>
      <c r="G244">
        <v>12.358197000000001</v>
      </c>
      <c r="H244">
        <v>79</v>
      </c>
      <c r="I244">
        <v>3.0539999999999999E-3</v>
      </c>
    </row>
    <row r="245" spans="1:9" x14ac:dyDescent="0.25">
      <c r="A245">
        <v>244</v>
      </c>
      <c r="B245" t="s">
        <v>32</v>
      </c>
      <c r="C245" t="s">
        <v>39</v>
      </c>
      <c r="D245" t="s">
        <v>53</v>
      </c>
      <c r="E245" t="s">
        <v>35</v>
      </c>
      <c r="F245">
        <v>330.24960800000002</v>
      </c>
      <c r="G245">
        <v>1159.610848</v>
      </c>
      <c r="H245">
        <v>74</v>
      </c>
      <c r="I245">
        <v>0.28654499999999999</v>
      </c>
    </row>
    <row r="246" spans="1:9" x14ac:dyDescent="0.25">
      <c r="A246">
        <v>245</v>
      </c>
      <c r="B246" t="s">
        <v>32</v>
      </c>
      <c r="C246" t="s">
        <v>43</v>
      </c>
      <c r="D246" t="s">
        <v>53</v>
      </c>
      <c r="E246" t="s">
        <v>35</v>
      </c>
      <c r="F246">
        <v>19.177288999999998</v>
      </c>
      <c r="G246">
        <v>12.358197000000001</v>
      </c>
      <c r="H246">
        <v>79</v>
      </c>
      <c r="I246">
        <v>3.0539999999999999E-3</v>
      </c>
    </row>
    <row r="247" spans="1:9" x14ac:dyDescent="0.25">
      <c r="A247">
        <v>246</v>
      </c>
      <c r="B247" t="s">
        <v>32</v>
      </c>
      <c r="C247" t="s">
        <v>43</v>
      </c>
      <c r="D247" t="s">
        <v>53</v>
      </c>
      <c r="E247" t="s">
        <v>35</v>
      </c>
      <c r="F247">
        <v>11.123008</v>
      </c>
      <c r="G247">
        <v>6.1790989999999999</v>
      </c>
      <c r="H247">
        <v>79</v>
      </c>
      <c r="I247">
        <v>1.5269999999999999E-3</v>
      </c>
    </row>
    <row r="248" spans="1:9" x14ac:dyDescent="0.25">
      <c r="A248">
        <v>247</v>
      </c>
      <c r="B248" t="s">
        <v>32</v>
      </c>
      <c r="C248" t="s">
        <v>44</v>
      </c>
      <c r="D248" t="s">
        <v>53</v>
      </c>
      <c r="E248" t="s">
        <v>35</v>
      </c>
      <c r="F248">
        <v>33.369025000000001</v>
      </c>
      <c r="G248">
        <v>39.134290999999997</v>
      </c>
      <c r="H248">
        <v>70</v>
      </c>
      <c r="I248">
        <v>9.6699999999999998E-3</v>
      </c>
    </row>
    <row r="249" spans="1:9" x14ac:dyDescent="0.25">
      <c r="A249">
        <v>248</v>
      </c>
      <c r="B249" t="s">
        <v>32</v>
      </c>
      <c r="C249" t="s">
        <v>43</v>
      </c>
      <c r="D249" t="s">
        <v>53</v>
      </c>
      <c r="E249" t="s">
        <v>35</v>
      </c>
      <c r="F249">
        <v>11.123008</v>
      </c>
      <c r="G249">
        <v>6.1790989999999999</v>
      </c>
      <c r="H249">
        <v>79</v>
      </c>
      <c r="I249">
        <v>1.5269999999999999E-3</v>
      </c>
    </row>
    <row r="250" spans="1:9" x14ac:dyDescent="0.25">
      <c r="A250">
        <v>249</v>
      </c>
      <c r="B250" t="s">
        <v>32</v>
      </c>
      <c r="C250" t="s">
        <v>36</v>
      </c>
      <c r="D250" t="s">
        <v>53</v>
      </c>
      <c r="E250" t="s">
        <v>35</v>
      </c>
      <c r="F250">
        <v>52.16536</v>
      </c>
      <c r="G250">
        <v>98.865578999999997</v>
      </c>
      <c r="H250">
        <v>72</v>
      </c>
      <c r="I250">
        <v>2.443E-2</v>
      </c>
    </row>
    <row r="251" spans="1:9" x14ac:dyDescent="0.25">
      <c r="A251">
        <v>250</v>
      </c>
      <c r="B251" t="s">
        <v>32</v>
      </c>
      <c r="C251" t="s">
        <v>43</v>
      </c>
      <c r="D251" t="s">
        <v>53</v>
      </c>
      <c r="E251" t="s">
        <v>35</v>
      </c>
      <c r="F251">
        <v>22.246016000000001</v>
      </c>
      <c r="G251">
        <v>14.417897</v>
      </c>
      <c r="H251">
        <v>79</v>
      </c>
      <c r="I251">
        <v>3.5630000000000002E-3</v>
      </c>
    </row>
    <row r="252" spans="1:9" x14ac:dyDescent="0.25">
      <c r="A252">
        <v>251</v>
      </c>
      <c r="B252" t="s">
        <v>32</v>
      </c>
      <c r="C252" t="s">
        <v>36</v>
      </c>
      <c r="D252" t="s">
        <v>53</v>
      </c>
      <c r="E252" t="s">
        <v>35</v>
      </c>
      <c r="F252">
        <v>92.055807999999999</v>
      </c>
      <c r="G252">
        <v>205.969955</v>
      </c>
      <c r="H252">
        <v>72</v>
      </c>
      <c r="I252">
        <v>5.0895999999999997E-2</v>
      </c>
    </row>
    <row r="253" spans="1:9" x14ac:dyDescent="0.25">
      <c r="A253">
        <v>252</v>
      </c>
      <c r="B253" t="s">
        <v>32</v>
      </c>
      <c r="C253" t="s">
        <v>43</v>
      </c>
      <c r="D253" t="s">
        <v>53</v>
      </c>
      <c r="E253" t="s">
        <v>35</v>
      </c>
      <c r="F253">
        <v>8.4382479999999997</v>
      </c>
      <c r="G253">
        <v>4.1193989999999996</v>
      </c>
      <c r="H253">
        <v>79</v>
      </c>
      <c r="I253">
        <v>1.018E-3</v>
      </c>
    </row>
    <row r="254" spans="1:9" x14ac:dyDescent="0.25">
      <c r="A254">
        <v>253</v>
      </c>
      <c r="B254" t="s">
        <v>32</v>
      </c>
      <c r="C254" t="s">
        <v>44</v>
      </c>
      <c r="D254" t="s">
        <v>53</v>
      </c>
      <c r="E254" t="s">
        <v>35</v>
      </c>
      <c r="F254">
        <v>91.287871999999993</v>
      </c>
      <c r="G254">
        <v>170.955063</v>
      </c>
      <c r="H254">
        <v>70</v>
      </c>
      <c r="I254">
        <v>4.2243999999999997E-2</v>
      </c>
    </row>
    <row r="255" spans="1:9" x14ac:dyDescent="0.25">
      <c r="A255">
        <v>254</v>
      </c>
      <c r="B255" t="s">
        <v>32</v>
      </c>
      <c r="C255" t="s">
        <v>36</v>
      </c>
      <c r="D255" t="s">
        <v>53</v>
      </c>
      <c r="E255" t="s">
        <v>35</v>
      </c>
      <c r="F255">
        <v>54.192450000000001</v>
      </c>
      <c r="G255">
        <v>79.782436000000004</v>
      </c>
      <c r="H255">
        <v>72</v>
      </c>
      <c r="I255">
        <v>1.9715E-2</v>
      </c>
    </row>
    <row r="256" spans="1:9" x14ac:dyDescent="0.25">
      <c r="A256">
        <v>255</v>
      </c>
      <c r="B256" t="s">
        <v>32</v>
      </c>
      <c r="C256" t="s">
        <v>38</v>
      </c>
      <c r="D256" t="s">
        <v>53</v>
      </c>
      <c r="E256" t="s">
        <v>35</v>
      </c>
      <c r="F256">
        <v>15.320402</v>
      </c>
      <c r="G256">
        <v>13.204973000000001</v>
      </c>
      <c r="H256">
        <v>98</v>
      </c>
      <c r="I256">
        <v>3.2629999999999998E-3</v>
      </c>
    </row>
    <row r="257" spans="1:9" x14ac:dyDescent="0.25">
      <c r="A257">
        <v>256</v>
      </c>
      <c r="B257" t="s">
        <v>32</v>
      </c>
      <c r="C257" t="s">
        <v>36</v>
      </c>
      <c r="D257" t="s">
        <v>53</v>
      </c>
      <c r="E257" t="s">
        <v>35</v>
      </c>
      <c r="F257">
        <v>113.920618</v>
      </c>
      <c r="G257">
        <v>205.75821199999999</v>
      </c>
      <c r="H257">
        <v>72</v>
      </c>
      <c r="I257">
        <v>5.0844E-2</v>
      </c>
    </row>
    <row r="258" spans="1:9" x14ac:dyDescent="0.25">
      <c r="A258">
        <v>257</v>
      </c>
      <c r="B258" t="s">
        <v>32</v>
      </c>
      <c r="C258" t="s">
        <v>49</v>
      </c>
      <c r="D258" t="s">
        <v>54</v>
      </c>
      <c r="E258" t="s">
        <v>51</v>
      </c>
      <c r="F258">
        <v>722.16827599999999</v>
      </c>
      <c r="G258">
        <v>3447.6047159999998</v>
      </c>
      <c r="H258">
        <v>84</v>
      </c>
      <c r="I258">
        <v>0.85191799999999995</v>
      </c>
    </row>
    <row r="259" spans="1:9" x14ac:dyDescent="0.25">
      <c r="A259">
        <v>258</v>
      </c>
      <c r="B259" t="s">
        <v>32</v>
      </c>
      <c r="C259" t="s">
        <v>36</v>
      </c>
      <c r="D259" t="s">
        <v>54</v>
      </c>
      <c r="E259" t="s">
        <v>51</v>
      </c>
      <c r="F259">
        <v>229.25056599999999</v>
      </c>
      <c r="G259">
        <v>681.97229500000003</v>
      </c>
      <c r="H259">
        <v>79</v>
      </c>
      <c r="I259">
        <v>0.168518</v>
      </c>
    </row>
    <row r="260" spans="1:9" x14ac:dyDescent="0.25">
      <c r="A260">
        <v>259</v>
      </c>
      <c r="B260" t="s">
        <v>32</v>
      </c>
      <c r="C260" t="s">
        <v>38</v>
      </c>
      <c r="D260" t="s">
        <v>54</v>
      </c>
      <c r="E260" t="s">
        <v>51</v>
      </c>
      <c r="F260">
        <v>4.674658</v>
      </c>
      <c r="G260">
        <v>1.2129239999999999</v>
      </c>
      <c r="H260">
        <v>98</v>
      </c>
      <c r="I260">
        <v>2.9999999999999997E-4</v>
      </c>
    </row>
    <row r="261" spans="1:9" x14ac:dyDescent="0.25">
      <c r="A261">
        <v>260</v>
      </c>
      <c r="B261" t="s">
        <v>32</v>
      </c>
      <c r="C261" t="s">
        <v>36</v>
      </c>
      <c r="D261" t="s">
        <v>54</v>
      </c>
      <c r="E261" t="s">
        <v>51</v>
      </c>
      <c r="F261">
        <v>35.370908999999997</v>
      </c>
      <c r="G261">
        <v>39.680137999999999</v>
      </c>
      <c r="H261">
        <v>79</v>
      </c>
      <c r="I261">
        <v>9.8049999999999995E-3</v>
      </c>
    </row>
    <row r="262" spans="1:9" x14ac:dyDescent="0.25">
      <c r="A262">
        <v>261</v>
      </c>
      <c r="B262" t="s">
        <v>32</v>
      </c>
      <c r="C262" t="s">
        <v>44</v>
      </c>
      <c r="D262" t="s">
        <v>54</v>
      </c>
      <c r="E262" t="s">
        <v>51</v>
      </c>
      <c r="F262">
        <v>783.88977999999997</v>
      </c>
      <c r="G262">
        <v>3212.1024259999999</v>
      </c>
      <c r="H262">
        <v>77</v>
      </c>
      <c r="I262">
        <v>0.79372500000000001</v>
      </c>
    </row>
    <row r="263" spans="1:9" x14ac:dyDescent="0.25">
      <c r="A263">
        <v>262</v>
      </c>
      <c r="B263" t="s">
        <v>32</v>
      </c>
      <c r="C263" t="s">
        <v>36</v>
      </c>
      <c r="D263" t="s">
        <v>54</v>
      </c>
      <c r="E263" t="s">
        <v>51</v>
      </c>
      <c r="F263">
        <v>25.537174</v>
      </c>
      <c r="G263">
        <v>28.777809000000001</v>
      </c>
      <c r="H263">
        <v>79</v>
      </c>
      <c r="I263">
        <v>7.1110000000000001E-3</v>
      </c>
    </row>
    <row r="264" spans="1:9" x14ac:dyDescent="0.25">
      <c r="A264">
        <v>263</v>
      </c>
      <c r="B264" t="s">
        <v>32</v>
      </c>
      <c r="C264" t="s">
        <v>40</v>
      </c>
      <c r="D264" t="s">
        <v>54</v>
      </c>
      <c r="E264" t="s">
        <v>51</v>
      </c>
      <c r="F264">
        <v>377.48131599999999</v>
      </c>
      <c r="G264">
        <v>879.58593399999995</v>
      </c>
      <c r="H264">
        <v>93</v>
      </c>
      <c r="I264">
        <v>0.21734999999999999</v>
      </c>
    </row>
    <row r="265" spans="1:9" x14ac:dyDescent="0.25">
      <c r="A265">
        <v>264</v>
      </c>
      <c r="B265" t="s">
        <v>32</v>
      </c>
      <c r="C265" t="s">
        <v>36</v>
      </c>
      <c r="D265" t="s">
        <v>54</v>
      </c>
      <c r="E265" t="s">
        <v>51</v>
      </c>
      <c r="F265">
        <v>8.8166429999999991</v>
      </c>
      <c r="G265">
        <v>4.1192250000000001</v>
      </c>
      <c r="H265">
        <v>79</v>
      </c>
      <c r="I265">
        <v>1.018E-3</v>
      </c>
    </row>
    <row r="266" spans="1:9" x14ac:dyDescent="0.25">
      <c r="A266">
        <v>265</v>
      </c>
      <c r="B266" t="s">
        <v>32</v>
      </c>
      <c r="C266" t="s">
        <v>49</v>
      </c>
      <c r="D266" t="s">
        <v>54</v>
      </c>
      <c r="E266" t="s">
        <v>51</v>
      </c>
      <c r="F266">
        <v>314.10833500000001</v>
      </c>
      <c r="G266">
        <v>887.95286399999998</v>
      </c>
      <c r="H266">
        <v>84</v>
      </c>
      <c r="I266">
        <v>0.219417</v>
      </c>
    </row>
    <row r="267" spans="1:9" x14ac:dyDescent="0.25">
      <c r="A267">
        <v>266</v>
      </c>
      <c r="B267" t="s">
        <v>32</v>
      </c>
      <c r="C267" t="s">
        <v>36</v>
      </c>
      <c r="D267" t="s">
        <v>54</v>
      </c>
      <c r="E267" t="s">
        <v>51</v>
      </c>
      <c r="F267">
        <v>5.7230179999999997</v>
      </c>
      <c r="G267">
        <v>1.979725</v>
      </c>
      <c r="H267">
        <v>79</v>
      </c>
      <c r="I267">
        <v>4.8899999999999996E-4</v>
      </c>
    </row>
    <row r="268" spans="1:9" x14ac:dyDescent="0.25">
      <c r="A268">
        <v>267</v>
      </c>
      <c r="B268" t="s">
        <v>32</v>
      </c>
      <c r="C268" t="s">
        <v>43</v>
      </c>
      <c r="D268" t="s">
        <v>54</v>
      </c>
      <c r="E268" t="s">
        <v>51</v>
      </c>
      <c r="F268">
        <v>5.7534879999999999</v>
      </c>
      <c r="G268">
        <v>2.0596999999999999</v>
      </c>
      <c r="H268">
        <v>84</v>
      </c>
      <c r="I268">
        <v>5.0900000000000001E-4</v>
      </c>
    </row>
    <row r="269" spans="1:9" x14ac:dyDescent="0.25">
      <c r="A269">
        <v>268</v>
      </c>
      <c r="B269" t="s">
        <v>32</v>
      </c>
      <c r="C269" t="s">
        <v>43</v>
      </c>
      <c r="D269" t="s">
        <v>54</v>
      </c>
      <c r="E269" t="s">
        <v>51</v>
      </c>
      <c r="F269">
        <v>19.561256</v>
      </c>
      <c r="G269">
        <v>12.358197000000001</v>
      </c>
      <c r="H269">
        <v>84</v>
      </c>
      <c r="I269">
        <v>3.0539999999999999E-3</v>
      </c>
    </row>
    <row r="270" spans="1:9" x14ac:dyDescent="0.25">
      <c r="A270">
        <v>269</v>
      </c>
      <c r="B270" t="s">
        <v>32</v>
      </c>
      <c r="C270" t="s">
        <v>44</v>
      </c>
      <c r="D270" t="s">
        <v>54</v>
      </c>
      <c r="E270" t="s">
        <v>51</v>
      </c>
      <c r="F270">
        <v>5.7534879999999999</v>
      </c>
      <c r="G270">
        <v>2.0596999999999999</v>
      </c>
      <c r="H270">
        <v>77</v>
      </c>
      <c r="I270">
        <v>5.0900000000000001E-4</v>
      </c>
    </row>
    <row r="271" spans="1:9" x14ac:dyDescent="0.25">
      <c r="A271">
        <v>270</v>
      </c>
      <c r="B271" t="s">
        <v>32</v>
      </c>
      <c r="C271" t="s">
        <v>43</v>
      </c>
      <c r="D271" t="s">
        <v>54</v>
      </c>
      <c r="E271" t="s">
        <v>51</v>
      </c>
      <c r="F271">
        <v>11.123008</v>
      </c>
      <c r="G271">
        <v>6.1790989999999999</v>
      </c>
      <c r="H271">
        <v>84</v>
      </c>
      <c r="I271">
        <v>1.5269999999999999E-3</v>
      </c>
    </row>
    <row r="272" spans="1:9" x14ac:dyDescent="0.25">
      <c r="A272">
        <v>271</v>
      </c>
      <c r="B272" t="s">
        <v>32</v>
      </c>
      <c r="C272" t="s">
        <v>43</v>
      </c>
      <c r="D272" t="s">
        <v>54</v>
      </c>
      <c r="E272" t="s">
        <v>51</v>
      </c>
      <c r="F272">
        <v>5.7534879999999999</v>
      </c>
      <c r="G272">
        <v>2.0596999999999999</v>
      </c>
      <c r="H272">
        <v>84</v>
      </c>
      <c r="I272">
        <v>5.0900000000000001E-4</v>
      </c>
    </row>
    <row r="273" spans="1:9" x14ac:dyDescent="0.25">
      <c r="A273">
        <v>272</v>
      </c>
      <c r="B273" t="s">
        <v>32</v>
      </c>
      <c r="C273" t="s">
        <v>41</v>
      </c>
      <c r="D273" t="s">
        <v>54</v>
      </c>
      <c r="E273" t="s">
        <v>51</v>
      </c>
      <c r="F273">
        <v>5.7534879999999999</v>
      </c>
      <c r="G273">
        <v>2.0596999999999999</v>
      </c>
      <c r="H273">
        <v>93</v>
      </c>
      <c r="I273">
        <v>5.0900000000000001E-4</v>
      </c>
    </row>
    <row r="274" spans="1:9" x14ac:dyDescent="0.25">
      <c r="A274">
        <v>273</v>
      </c>
      <c r="B274" t="s">
        <v>32</v>
      </c>
      <c r="C274" t="s">
        <v>41</v>
      </c>
      <c r="D274" t="s">
        <v>54</v>
      </c>
      <c r="E274" t="s">
        <v>51</v>
      </c>
      <c r="F274">
        <v>5.7534879999999999</v>
      </c>
      <c r="G274">
        <v>2.0596999999999999</v>
      </c>
      <c r="H274">
        <v>93</v>
      </c>
      <c r="I274">
        <v>5.0900000000000001E-4</v>
      </c>
    </row>
    <row r="275" spans="1:9" x14ac:dyDescent="0.25">
      <c r="A275">
        <v>274</v>
      </c>
      <c r="B275" t="s">
        <v>32</v>
      </c>
      <c r="C275" t="s">
        <v>41</v>
      </c>
      <c r="D275" t="s">
        <v>54</v>
      </c>
      <c r="E275" t="s">
        <v>51</v>
      </c>
      <c r="F275">
        <v>11.506976</v>
      </c>
      <c r="G275">
        <v>6.1790989999999999</v>
      </c>
      <c r="H275">
        <v>93</v>
      </c>
      <c r="I275">
        <v>1.5269999999999999E-3</v>
      </c>
    </row>
    <row r="276" spans="1:9" x14ac:dyDescent="0.25">
      <c r="A276">
        <v>275</v>
      </c>
      <c r="B276" t="s">
        <v>32</v>
      </c>
      <c r="C276" t="s">
        <v>44</v>
      </c>
      <c r="D276" t="s">
        <v>54</v>
      </c>
      <c r="E276" t="s">
        <v>51</v>
      </c>
      <c r="F276">
        <v>22.629984</v>
      </c>
      <c r="G276">
        <v>16.477595999999998</v>
      </c>
      <c r="H276">
        <v>77</v>
      </c>
      <c r="I276">
        <v>4.0720000000000001E-3</v>
      </c>
    </row>
    <row r="277" spans="1:9" x14ac:dyDescent="0.25">
      <c r="A277">
        <v>276</v>
      </c>
      <c r="B277" t="s">
        <v>32</v>
      </c>
      <c r="C277" t="s">
        <v>41</v>
      </c>
      <c r="D277" t="s">
        <v>54</v>
      </c>
      <c r="E277" t="s">
        <v>51</v>
      </c>
      <c r="F277">
        <v>8.4382479999999997</v>
      </c>
      <c r="G277">
        <v>4.1193989999999996</v>
      </c>
      <c r="H277">
        <v>93</v>
      </c>
      <c r="I277">
        <v>1.018E-3</v>
      </c>
    </row>
    <row r="278" spans="1:9" x14ac:dyDescent="0.25">
      <c r="A278">
        <v>277</v>
      </c>
      <c r="B278" t="s">
        <v>32</v>
      </c>
      <c r="C278" t="s">
        <v>44</v>
      </c>
      <c r="D278" t="s">
        <v>54</v>
      </c>
      <c r="E278" t="s">
        <v>51</v>
      </c>
      <c r="F278">
        <v>8.4382479999999997</v>
      </c>
      <c r="G278">
        <v>4.1193989999999996</v>
      </c>
      <c r="H278">
        <v>77</v>
      </c>
      <c r="I278">
        <v>1.018E-3</v>
      </c>
    </row>
    <row r="279" spans="1:9" x14ac:dyDescent="0.25">
      <c r="A279">
        <v>278</v>
      </c>
      <c r="B279" t="s">
        <v>32</v>
      </c>
      <c r="C279" t="s">
        <v>41</v>
      </c>
      <c r="D279" t="s">
        <v>54</v>
      </c>
      <c r="E279" t="s">
        <v>51</v>
      </c>
      <c r="F279">
        <v>5.7534879999999999</v>
      </c>
      <c r="G279">
        <v>2.0596999999999999</v>
      </c>
      <c r="H279">
        <v>93</v>
      </c>
      <c r="I279">
        <v>5.0900000000000001E-4</v>
      </c>
    </row>
    <row r="280" spans="1:9" x14ac:dyDescent="0.25">
      <c r="A280">
        <v>279</v>
      </c>
      <c r="B280" t="s">
        <v>32</v>
      </c>
      <c r="C280" t="s">
        <v>41</v>
      </c>
      <c r="D280" t="s">
        <v>54</v>
      </c>
      <c r="E280" t="s">
        <v>51</v>
      </c>
      <c r="F280">
        <v>24.930776999999999</v>
      </c>
      <c r="G280">
        <v>20.596995</v>
      </c>
      <c r="H280">
        <v>93</v>
      </c>
      <c r="I280">
        <v>5.0899999999999999E-3</v>
      </c>
    </row>
    <row r="281" spans="1:9" x14ac:dyDescent="0.25">
      <c r="A281">
        <v>280</v>
      </c>
      <c r="B281" t="s">
        <v>32</v>
      </c>
      <c r="C281" t="s">
        <v>49</v>
      </c>
      <c r="D281" t="s">
        <v>54</v>
      </c>
      <c r="E281" t="s">
        <v>51</v>
      </c>
      <c r="F281">
        <v>46.411872000000002</v>
      </c>
      <c r="G281">
        <v>74.149184000000005</v>
      </c>
      <c r="H281">
        <v>84</v>
      </c>
      <c r="I281">
        <v>1.8322999999999999E-2</v>
      </c>
    </row>
    <row r="282" spans="1:9" x14ac:dyDescent="0.25">
      <c r="A282">
        <v>281</v>
      </c>
      <c r="B282" t="s">
        <v>32</v>
      </c>
      <c r="C282" t="s">
        <v>43</v>
      </c>
      <c r="D282" t="s">
        <v>54</v>
      </c>
      <c r="E282" t="s">
        <v>51</v>
      </c>
      <c r="F282">
        <v>19.561256</v>
      </c>
      <c r="G282">
        <v>16.477595999999998</v>
      </c>
      <c r="H282">
        <v>84</v>
      </c>
      <c r="I282">
        <v>4.0720000000000001E-3</v>
      </c>
    </row>
    <row r="283" spans="1:9" x14ac:dyDescent="0.25">
      <c r="A283">
        <v>282</v>
      </c>
      <c r="B283" t="s">
        <v>32</v>
      </c>
      <c r="C283" t="s">
        <v>43</v>
      </c>
      <c r="D283" t="s">
        <v>54</v>
      </c>
      <c r="E283" t="s">
        <v>51</v>
      </c>
      <c r="F283">
        <v>5.7534879999999999</v>
      </c>
      <c r="G283">
        <v>2.0596999999999999</v>
      </c>
      <c r="H283">
        <v>84</v>
      </c>
      <c r="I283">
        <v>5.0900000000000001E-4</v>
      </c>
    </row>
    <row r="284" spans="1:9" x14ac:dyDescent="0.25">
      <c r="A284">
        <v>283</v>
      </c>
      <c r="B284" t="s">
        <v>32</v>
      </c>
      <c r="C284" t="s">
        <v>43</v>
      </c>
      <c r="D284" t="s">
        <v>54</v>
      </c>
      <c r="E284" t="s">
        <v>51</v>
      </c>
      <c r="F284">
        <v>11.506976</v>
      </c>
      <c r="G284">
        <v>6.1790989999999999</v>
      </c>
      <c r="H284">
        <v>84</v>
      </c>
      <c r="I284">
        <v>1.5269999999999999E-3</v>
      </c>
    </row>
    <row r="285" spans="1:9" x14ac:dyDescent="0.25">
      <c r="A285">
        <v>284</v>
      </c>
      <c r="B285" t="s">
        <v>32</v>
      </c>
      <c r="C285" t="s">
        <v>49</v>
      </c>
      <c r="D285" t="s">
        <v>54</v>
      </c>
      <c r="E285" t="s">
        <v>51</v>
      </c>
      <c r="F285">
        <v>25.314744000000001</v>
      </c>
      <c r="G285">
        <v>26.776094000000001</v>
      </c>
      <c r="H285">
        <v>84</v>
      </c>
      <c r="I285">
        <v>6.6160000000000004E-3</v>
      </c>
    </row>
    <row r="286" spans="1:9" x14ac:dyDescent="0.25">
      <c r="A286">
        <v>285</v>
      </c>
      <c r="B286" t="s">
        <v>32</v>
      </c>
      <c r="C286" t="s">
        <v>43</v>
      </c>
      <c r="D286" t="s">
        <v>54</v>
      </c>
      <c r="E286" t="s">
        <v>51</v>
      </c>
      <c r="F286">
        <v>11.123008</v>
      </c>
      <c r="G286">
        <v>6.1790989999999999</v>
      </c>
      <c r="H286">
        <v>84</v>
      </c>
      <c r="I286">
        <v>1.5269999999999999E-3</v>
      </c>
    </row>
    <row r="287" spans="1:9" x14ac:dyDescent="0.25">
      <c r="A287">
        <v>286</v>
      </c>
      <c r="B287" t="s">
        <v>32</v>
      </c>
      <c r="C287" t="s">
        <v>44</v>
      </c>
      <c r="D287" t="s">
        <v>54</v>
      </c>
      <c r="E287" t="s">
        <v>51</v>
      </c>
      <c r="F287">
        <v>33.752991999999999</v>
      </c>
      <c r="G287">
        <v>49.432789</v>
      </c>
      <c r="H287">
        <v>77</v>
      </c>
      <c r="I287">
        <v>1.2215E-2</v>
      </c>
    </row>
    <row r="288" spans="1:9" x14ac:dyDescent="0.25">
      <c r="A288">
        <v>287</v>
      </c>
      <c r="B288" t="s">
        <v>32</v>
      </c>
      <c r="C288" t="s">
        <v>49</v>
      </c>
      <c r="D288" t="s">
        <v>54</v>
      </c>
      <c r="E288" t="s">
        <v>51</v>
      </c>
      <c r="F288">
        <v>5.7534879999999999</v>
      </c>
      <c r="G288">
        <v>2.0596999999999999</v>
      </c>
      <c r="H288">
        <v>84</v>
      </c>
      <c r="I288">
        <v>5.0900000000000001E-4</v>
      </c>
    </row>
    <row r="289" spans="1:9" x14ac:dyDescent="0.25">
      <c r="A289">
        <v>288</v>
      </c>
      <c r="B289" t="s">
        <v>32</v>
      </c>
      <c r="C289" t="s">
        <v>44</v>
      </c>
      <c r="D289" t="s">
        <v>54</v>
      </c>
      <c r="E289" t="s">
        <v>51</v>
      </c>
      <c r="F289">
        <v>25.314744000000001</v>
      </c>
      <c r="G289">
        <v>16.477595999999998</v>
      </c>
      <c r="H289">
        <v>77</v>
      </c>
      <c r="I289">
        <v>4.0720000000000001E-3</v>
      </c>
    </row>
    <row r="290" spans="1:9" x14ac:dyDescent="0.25">
      <c r="A290">
        <v>289</v>
      </c>
      <c r="B290" t="s">
        <v>32</v>
      </c>
      <c r="C290" t="s">
        <v>49</v>
      </c>
      <c r="D290" t="s">
        <v>54</v>
      </c>
      <c r="E290" t="s">
        <v>51</v>
      </c>
      <c r="F290">
        <v>22.629984</v>
      </c>
      <c r="G290">
        <v>18.537296000000001</v>
      </c>
      <c r="H290">
        <v>84</v>
      </c>
      <c r="I290">
        <v>4.581E-3</v>
      </c>
    </row>
    <row r="291" spans="1:9" x14ac:dyDescent="0.25">
      <c r="A291">
        <v>290</v>
      </c>
      <c r="B291" t="s">
        <v>32</v>
      </c>
      <c r="C291" t="s">
        <v>41</v>
      </c>
      <c r="D291" t="s">
        <v>54</v>
      </c>
      <c r="E291" t="s">
        <v>51</v>
      </c>
      <c r="F291">
        <v>34.136960000000002</v>
      </c>
      <c r="G291">
        <v>24.716394999999999</v>
      </c>
      <c r="H291">
        <v>93</v>
      </c>
      <c r="I291">
        <v>6.1079999999999997E-3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Calculations</vt:lpstr>
      <vt:lpstr>Data</vt:lpstr>
      <vt:lpstr>Sheet1</vt:lpstr>
      <vt:lpstr>Calculations!Print_Area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Reya Mertz</dc:creator>
  <cp:lastModifiedBy>Reya Mertz</cp:lastModifiedBy>
  <cp:lastPrinted>2024-07-16T14:57:45Z</cp:lastPrinted>
  <dcterms:created xsi:type="dcterms:W3CDTF">2024-07-09T16:55:29Z</dcterms:created>
  <dcterms:modified xsi:type="dcterms:W3CDTF">2025-05-21T18:46:44Z</dcterms:modified>
</cp:coreProperties>
</file>