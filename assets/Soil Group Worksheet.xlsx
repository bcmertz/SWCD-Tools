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O:\Ag Assessments\"/>
    </mc:Choice>
  </mc:AlternateContent>
  <xr:revisionPtr revIDLastSave="0" documentId="13_ncr:1_{5597ED97-9F4F-449D-A6CD-F061034B737D}" xr6:coauthVersionLast="47" xr6:coauthVersionMax="47" xr10:uidLastSave="{00000000-0000-0000-0000-000000000000}"/>
  <bookViews>
    <workbookView xWindow="38280" yWindow="-120" windowWidth="25440" windowHeight="15270" tabRatio="846" xr2:uid="{00000000-000D-0000-FFFF-FFFF00000000}"/>
  </bookViews>
  <sheets>
    <sheet name="SGW" sheetId="1" r:id="rId1"/>
    <sheet name="soils2" sheetId="2" r:id="rId2"/>
  </sheets>
  <definedNames>
    <definedName name="_xlnm.Print_Area" localSheetId="0">SGW!$A$1:$K$134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5" i="1" l="1"/>
  <c r="K59" i="1" s="1"/>
  <c r="K24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O60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R33" i="1"/>
  <c r="O33" i="1"/>
  <c r="K26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E34" i="1"/>
  <c r="K48" i="1" s="1"/>
  <c r="B34" i="1"/>
  <c r="I60" i="1"/>
  <c r="I61" i="1"/>
  <c r="K57" i="1" l="1"/>
  <c r="K38" i="1"/>
  <c r="K40" i="1"/>
  <c r="K49" i="1"/>
  <c r="K41" i="1"/>
  <c r="K42" i="1"/>
  <c r="K50" i="1"/>
  <c r="K43" i="1"/>
  <c r="K51" i="1"/>
  <c r="K36" i="1"/>
  <c r="K44" i="1"/>
  <c r="K54" i="1"/>
  <c r="K37" i="1"/>
  <c r="K55" i="1"/>
  <c r="K46" i="1"/>
  <c r="K56" i="1"/>
  <c r="K39" i="1"/>
  <c r="K47" i="1"/>
  <c r="K22" i="1" l="1"/>
  <c r="K30" i="1" s="1"/>
  <c r="D30" i="1" s="1"/>
</calcChain>
</file>

<file path=xl/sharedStrings.xml><?xml version="1.0" encoding="utf-8"?>
<sst xmlns="http://schemas.openxmlformats.org/spreadsheetml/2006/main" count="501" uniqueCount="316">
  <si>
    <t>APD-1 (Rev. 12/05)</t>
  </si>
  <si>
    <t>New York State</t>
  </si>
  <si>
    <t>Department of Agriculture and Markets</t>
  </si>
  <si>
    <t>SECTION A: Worksheet</t>
  </si>
  <si>
    <t>Division of Agricultural Protection and Development Services</t>
  </si>
  <si>
    <t>Information</t>
  </si>
  <si>
    <t>10B Airline Drive</t>
  </si>
  <si>
    <r>
      <t xml:space="preserve">Page    </t>
    </r>
    <r>
      <rPr>
        <sz val="10"/>
        <color indexed="12"/>
        <rFont val="Times New Roman"/>
        <family val="1"/>
      </rPr>
      <t>1</t>
    </r>
  </si>
  <si>
    <r>
      <t xml:space="preserve">of        </t>
    </r>
    <r>
      <rPr>
        <sz val="10"/>
        <color indexed="12"/>
        <rFont val="Times New Roman"/>
        <family val="1"/>
      </rPr>
      <t>1</t>
    </r>
  </si>
  <si>
    <t>Albany, NY 12235</t>
  </si>
  <si>
    <r>
      <t xml:space="preserve">    </t>
    </r>
    <r>
      <rPr>
        <sz val="10"/>
        <color indexed="12"/>
        <rFont val="Times New Roman"/>
        <family val="1"/>
      </rPr>
      <t>X</t>
    </r>
    <r>
      <rPr>
        <sz val="10"/>
        <rFont val="Times New Roman"/>
        <family val="1"/>
      </rPr>
      <t xml:space="preserve">    New Worksheet</t>
    </r>
  </si>
  <si>
    <t xml:space="preserve">           Revised Worksheet</t>
  </si>
  <si>
    <t>SOIL GROUP WORKSHEET</t>
  </si>
  <si>
    <t>SECTION B. LANDOWNER NAME AND PROPERTY IDENTIFICATION</t>
  </si>
  <si>
    <t>Landowner</t>
  </si>
  <si>
    <t>Last</t>
  </si>
  <si>
    <t>First</t>
  </si>
  <si>
    <t>Middle Initial</t>
  </si>
  <si>
    <t>Name</t>
  </si>
  <si>
    <t>Mailing</t>
  </si>
  <si>
    <t>Street/Road No. and Name</t>
  </si>
  <si>
    <t>City, Town, Village</t>
  </si>
  <si>
    <t>State</t>
  </si>
  <si>
    <t>Zip Code</t>
  </si>
  <si>
    <t>Address</t>
  </si>
  <si>
    <t>Property Location</t>
  </si>
  <si>
    <t>County</t>
  </si>
  <si>
    <t>Town/City</t>
  </si>
  <si>
    <t>Village</t>
  </si>
  <si>
    <t>Filing Status:</t>
  </si>
  <si>
    <r>
      <t>__</t>
    </r>
    <r>
      <rPr>
        <sz val="10"/>
        <rFont val="Times New Roman"/>
        <family val="1"/>
      </rPr>
      <t>Individual Commitment</t>
    </r>
  </si>
  <si>
    <t>SECTION D: PARCEL ACREAGE SUMMARY*</t>
  </si>
  <si>
    <t>ACRES</t>
  </si>
  <si>
    <t>SECTION C: TAX MAP &amp; ASSESSMENT ROLL INFORMATION</t>
  </si>
  <si>
    <t xml:space="preserve">    (1) Agricultural Land</t>
  </si>
  <si>
    <t>SWIS Code (six digits)</t>
  </si>
  <si>
    <t xml:space="preserve">    (2) Farm Woodland (&lt;/= 50 Acres)</t>
  </si>
  <si>
    <t>section</t>
  </si>
  <si>
    <t>block</t>
  </si>
  <si>
    <t>lot</t>
  </si>
  <si>
    <t xml:space="preserve">Tax Map Identifier </t>
  </si>
  <si>
    <t xml:space="preserve">    (3) Excess Farm Woodland</t>
  </si>
  <si>
    <t>Roll Identifier (if different)</t>
  </si>
  <si>
    <t xml:space="preserve">    (4) Non-Agricultural Land</t>
  </si>
  <si>
    <t>Total Parcel Acres</t>
  </si>
  <si>
    <t xml:space="preserve">    TOTAL ACREAGE</t>
  </si>
  <si>
    <t>SECTION E: SOIL MAP BREAKDOWN OF AGRICULTURAL LAND</t>
  </si>
  <si>
    <t>SECTION F:</t>
  </si>
  <si>
    <t>SOIL MAP</t>
  </si>
  <si>
    <t>SOIL</t>
  </si>
  <si>
    <t>Scale: 1"=__1320_____</t>
  </si>
  <si>
    <t>NUMBER</t>
  </si>
  <si>
    <t>AGRICULTURAL LAND</t>
  </si>
  <si>
    <t>B</t>
  </si>
  <si>
    <t>C</t>
  </si>
  <si>
    <t>D</t>
  </si>
  <si>
    <t>SYMBOL</t>
  </si>
  <si>
    <t>SOIL MAP UNIT NAME</t>
  </si>
  <si>
    <t>GROUP</t>
  </si>
  <si>
    <t>No. of Grid Points</t>
  </si>
  <si>
    <t>SOIL GROUP SUMMARY</t>
  </si>
  <si>
    <t>a</t>
  </si>
  <si>
    <t>b</t>
  </si>
  <si>
    <t>BfD</t>
  </si>
  <si>
    <t>Mineral</t>
  </si>
  <si>
    <t>Fg</t>
  </si>
  <si>
    <t>Soil Group</t>
  </si>
  <si>
    <t>Acres</t>
  </si>
  <si>
    <t>LpC</t>
  </si>
  <si>
    <t>LpD</t>
  </si>
  <si>
    <t>LrE</t>
  </si>
  <si>
    <t>MeB</t>
  </si>
  <si>
    <t>MeC</t>
  </si>
  <si>
    <t>MeD</t>
  </si>
  <si>
    <t>VaC</t>
  </si>
  <si>
    <t>VaE</t>
  </si>
  <si>
    <t>VoB</t>
  </si>
  <si>
    <t>VoC</t>
  </si>
  <si>
    <t>Organic (muck)</t>
  </si>
  <si>
    <t xml:space="preserve">A </t>
  </si>
  <si>
    <t>* SEE EXPLANATION OF TERMS ON BACK</t>
  </si>
  <si>
    <t>SOIL GROUP</t>
  </si>
  <si>
    <t>SECTION G: DATE AND SIGNATURES</t>
  </si>
  <si>
    <t>TOTAL ACRES</t>
  </si>
  <si>
    <t>Jointly Reviewed and Concurred:</t>
  </si>
  <si>
    <t>Date:</t>
  </si>
  <si>
    <t>Time:</t>
  </si>
  <si>
    <t>Completed by</t>
  </si>
  <si>
    <t>Signature:</t>
  </si>
  <si>
    <t>Ad</t>
  </si>
  <si>
    <t>ALDEN</t>
  </si>
  <si>
    <t>At</t>
  </si>
  <si>
    <t>ATHERTON</t>
  </si>
  <si>
    <t>BfB</t>
  </si>
  <si>
    <t>BATH</t>
  </si>
  <si>
    <t>3b</t>
  </si>
  <si>
    <t>BfC</t>
  </si>
  <si>
    <t>5b</t>
  </si>
  <si>
    <t>6b</t>
  </si>
  <si>
    <t>BfE</t>
  </si>
  <si>
    <t>BhC</t>
  </si>
  <si>
    <t>BATH-LACKAWANNA</t>
  </si>
  <si>
    <t>BhE</t>
  </si>
  <si>
    <t>Cb</t>
  </si>
  <si>
    <t>CANANDAIGUA</t>
  </si>
  <si>
    <t>Cc</t>
  </si>
  <si>
    <t>Cd</t>
  </si>
  <si>
    <t>CARBONDALE</t>
  </si>
  <si>
    <t>Ce</t>
  </si>
  <si>
    <t>CARLISLE</t>
  </si>
  <si>
    <t>CfA</t>
  </si>
  <si>
    <t>CASTILE</t>
  </si>
  <si>
    <t>2b</t>
  </si>
  <si>
    <t>CfB</t>
  </si>
  <si>
    <t xml:space="preserve">CnA </t>
  </si>
  <si>
    <t>CHENANGO</t>
  </si>
  <si>
    <t>ChA</t>
  </si>
  <si>
    <t>CnB</t>
  </si>
  <si>
    <t>ChB</t>
  </si>
  <si>
    <t>ChC</t>
  </si>
  <si>
    <t>ChD</t>
  </si>
  <si>
    <t>ClE</t>
  </si>
  <si>
    <t>CHENANGO-HOWARD-TUNKHA</t>
  </si>
  <si>
    <t>Cp</t>
  </si>
  <si>
    <t>CHIPPEWA-NORWICH</t>
  </si>
  <si>
    <t>Cr</t>
  </si>
  <si>
    <t>CsB</t>
  </si>
  <si>
    <t>CONESUS</t>
  </si>
  <si>
    <t>CsC</t>
  </si>
  <si>
    <t>DaB</t>
  </si>
  <si>
    <t>DANLEY-NUNDA</t>
  </si>
  <si>
    <t>DaC</t>
  </si>
  <si>
    <t>DaD</t>
  </si>
  <si>
    <t>DeB</t>
  </si>
  <si>
    <t>DARIEN-BURDETT</t>
  </si>
  <si>
    <t>DeC</t>
  </si>
  <si>
    <t>Ed</t>
  </si>
  <si>
    <t>EDWARDS</t>
  </si>
  <si>
    <t>FaB</t>
  </si>
  <si>
    <t>FARMINGTON</t>
  </si>
  <si>
    <t>5a</t>
  </si>
  <si>
    <t>FeB</t>
  </si>
  <si>
    <t>FARMINGTON-ROCK OUTCRO</t>
  </si>
  <si>
    <t>FeC</t>
  </si>
  <si>
    <t>FeD</t>
  </si>
  <si>
    <t>FeF</t>
  </si>
  <si>
    <t>FLUVAQUENTS-UDIFLUVENT</t>
  </si>
  <si>
    <t>Fo</t>
  </si>
  <si>
    <t>FONDA</t>
  </si>
  <si>
    <t>GrB</t>
  </si>
  <si>
    <t>GREENE-TULLER</t>
  </si>
  <si>
    <t>Hb</t>
  </si>
  <si>
    <t>HAMPLAIN</t>
  </si>
  <si>
    <t>1b</t>
  </si>
  <si>
    <t>HdC</t>
  </si>
  <si>
    <t>HAWKSNEST</t>
  </si>
  <si>
    <t>HeA</t>
  </si>
  <si>
    <t>HERKIMER</t>
  </si>
  <si>
    <t>HeB</t>
  </si>
  <si>
    <t>HnB</t>
  </si>
  <si>
    <t>HONEOYE</t>
  </si>
  <si>
    <t>2a</t>
  </si>
  <si>
    <t>HnC</t>
  </si>
  <si>
    <t>HnD</t>
  </si>
  <si>
    <t>6a</t>
  </si>
  <si>
    <t>HoE</t>
  </si>
  <si>
    <t>HONEOYE-LANSING</t>
  </si>
  <si>
    <t>HrB</t>
  </si>
  <si>
    <t>HOWARD</t>
  </si>
  <si>
    <t>HrC</t>
  </si>
  <si>
    <t>HrD</t>
  </si>
  <si>
    <t>LaB</t>
  </si>
  <si>
    <t>LACKAWANNA</t>
  </si>
  <si>
    <t>LaC</t>
  </si>
  <si>
    <t>LaD</t>
  </si>
  <si>
    <t>LaE</t>
  </si>
  <si>
    <t>LeB</t>
  </si>
  <si>
    <t>LANSING</t>
  </si>
  <si>
    <t>LeC</t>
  </si>
  <si>
    <t>LeD</t>
  </si>
  <si>
    <t>LfB</t>
  </si>
  <si>
    <t>LEWBATH</t>
  </si>
  <si>
    <t>4b</t>
  </si>
  <si>
    <t>LfC</t>
  </si>
  <si>
    <t>LfD</t>
  </si>
  <si>
    <t>LfE</t>
  </si>
  <si>
    <t>LhC</t>
  </si>
  <si>
    <t>LEWBEACH</t>
  </si>
  <si>
    <t>LkB</t>
  </si>
  <si>
    <t>LIMA</t>
  </si>
  <si>
    <t>3a</t>
  </si>
  <si>
    <t>LkC</t>
  </si>
  <si>
    <t>LoB</t>
  </si>
  <si>
    <t>LORDSTOWN-ARNOT</t>
  </si>
  <si>
    <t>LORDSTOWN-CHADAKOIN</t>
  </si>
  <si>
    <t>Ly</t>
  </si>
  <si>
    <t>LYONS</t>
  </si>
  <si>
    <t>MaA</t>
  </si>
  <si>
    <t>MANHEIM</t>
  </si>
  <si>
    <t>MaB</t>
  </si>
  <si>
    <t>MaC</t>
  </si>
  <si>
    <t>McB</t>
  </si>
  <si>
    <t>MANLIUS</t>
  </si>
  <si>
    <t>McC</t>
  </si>
  <si>
    <t>McD</t>
  </si>
  <si>
    <t>MARDIN</t>
  </si>
  <si>
    <t>MmC</t>
  </si>
  <si>
    <t>MONGAUP-FRANKLINVILLE</t>
  </si>
  <si>
    <t>MmD</t>
  </si>
  <si>
    <t>MnB</t>
  </si>
  <si>
    <t>MONGAUP-HAWKSNEST</t>
  </si>
  <si>
    <t>MnE</t>
  </si>
  <si>
    <t>MoB</t>
  </si>
  <si>
    <t>MORRIS</t>
  </si>
  <si>
    <t>MoC</t>
  </si>
  <si>
    <t>MpC</t>
  </si>
  <si>
    <t>MORRIS-VOLUSIA</t>
  </si>
  <si>
    <t>Np</t>
  </si>
  <si>
    <t>NORCHIP</t>
  </si>
  <si>
    <t>ObB</t>
  </si>
  <si>
    <t>ONTEORA</t>
  </si>
  <si>
    <t>ObC</t>
  </si>
  <si>
    <t>OeB</t>
  </si>
  <si>
    <t>ONTUSIA</t>
  </si>
  <si>
    <t>OeC</t>
  </si>
  <si>
    <t>OgB</t>
  </si>
  <si>
    <t>OQUAGA-ARNOT</t>
  </si>
  <si>
    <t>OgC</t>
  </si>
  <si>
    <t>OgD</t>
  </si>
  <si>
    <t>OgE</t>
  </si>
  <si>
    <t>OpB</t>
  </si>
  <si>
    <t>OQUAGA-LORDSTOWN</t>
  </si>
  <si>
    <t>OpC</t>
  </si>
  <si>
    <t>OpD</t>
  </si>
  <si>
    <t>Ot</t>
  </si>
  <si>
    <t>OTEGO</t>
  </si>
  <si>
    <t>Pa</t>
  </si>
  <si>
    <t>PALMS</t>
  </si>
  <si>
    <t>PdB</t>
  </si>
  <si>
    <t>PATCHIN</t>
  </si>
  <si>
    <t>Pt</t>
  </si>
  <si>
    <t>PITS</t>
  </si>
  <si>
    <t>Pu</t>
  </si>
  <si>
    <t>Ra</t>
  </si>
  <si>
    <t>RAYNHAM</t>
  </si>
  <si>
    <t>Re</t>
  </si>
  <si>
    <t>RED HOOK</t>
  </si>
  <si>
    <t>RhA</t>
  </si>
  <si>
    <t>RHINEBECK</t>
  </si>
  <si>
    <t>RhB</t>
  </si>
  <si>
    <t>RlA</t>
  </si>
  <si>
    <t>RIVERHEAD</t>
  </si>
  <si>
    <t>RlB</t>
  </si>
  <si>
    <t>Sa</t>
  </si>
  <si>
    <t>SAPRISTS-AQUENTS</t>
  </si>
  <si>
    <t>ScA</t>
  </si>
  <si>
    <t>SCIO</t>
  </si>
  <si>
    <t>SbB</t>
  </si>
  <si>
    <t>ScB</t>
  </si>
  <si>
    <t>ThB</t>
  </si>
  <si>
    <t>TORULL-GRETOR</t>
  </si>
  <si>
    <t>TkB</t>
  </si>
  <si>
    <t>TOWERVILLE</t>
  </si>
  <si>
    <t>TkC</t>
  </si>
  <si>
    <t>TkD</t>
  </si>
  <si>
    <t>TlB</t>
  </si>
  <si>
    <t>TRESTLE-DEPOSIT</t>
  </si>
  <si>
    <t>TpB</t>
  </si>
  <si>
    <t>TUNKHANNOCK</t>
  </si>
  <si>
    <t>TpC</t>
  </si>
  <si>
    <t>Ud</t>
  </si>
  <si>
    <t>UDORTHENTS</t>
  </si>
  <si>
    <t>Ue</t>
  </si>
  <si>
    <t>UnA</t>
  </si>
  <si>
    <t>UNADILLA</t>
  </si>
  <si>
    <t>UnB</t>
  </si>
  <si>
    <t>VcB</t>
  </si>
  <si>
    <t>VALOIS</t>
  </si>
  <si>
    <t>VaB</t>
  </si>
  <si>
    <t>VaD</t>
  </si>
  <si>
    <t>VaF</t>
  </si>
  <si>
    <t>VlB</t>
  </si>
  <si>
    <t>VLY</t>
  </si>
  <si>
    <t>VlC</t>
  </si>
  <si>
    <t>VlD</t>
  </si>
  <si>
    <t>VlE</t>
  </si>
  <si>
    <t>VoA</t>
  </si>
  <si>
    <t>VOLUSIA</t>
  </si>
  <si>
    <t>Wb</t>
  </si>
  <si>
    <t>WAKEVILLE</t>
  </si>
  <si>
    <t>WeA</t>
  </si>
  <si>
    <t>WASSAIC</t>
  </si>
  <si>
    <t>WeB</t>
  </si>
  <si>
    <t>WeC</t>
  </si>
  <si>
    <t>WeD</t>
  </si>
  <si>
    <t>Wg</t>
  </si>
  <si>
    <t>WAYLAND</t>
  </si>
  <si>
    <t>WlB</t>
  </si>
  <si>
    <t>WELLSBORO</t>
  </si>
  <si>
    <t>WlC</t>
  </si>
  <si>
    <t>WlD</t>
  </si>
  <si>
    <t>WmC</t>
  </si>
  <si>
    <t>WELLSBORO-MARDIN</t>
  </si>
  <si>
    <t>WpB</t>
  </si>
  <si>
    <t>WILLDIN</t>
  </si>
  <si>
    <t>WpC</t>
  </si>
  <si>
    <t>WpD</t>
  </si>
  <si>
    <t>WsB</t>
  </si>
  <si>
    <t>WILLOWEMOC</t>
  </si>
  <si>
    <t>WsC</t>
  </si>
  <si>
    <t>Otsego</t>
  </si>
  <si>
    <t xml:space="preserve">__ </t>
  </si>
  <si>
    <t>Agricultural District</t>
  </si>
  <si>
    <t>Code</t>
  </si>
  <si>
    <t>MSG</t>
  </si>
  <si>
    <t>Overflow Soils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</si>
</sst>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"/>
  </numFmts>
  <fonts count="11">
    <font>
      <sz val="10"/>
      <name val="Arial"/>
      <family val="2"/>
    </font>
    <font>
      <sz val="10"/>
      <name val="Times New Roman"/>
      <family val="1"/>
    </font>
    <font>
      <sz val="10"/>
      <color indexed="12"/>
      <name val="Times New Roman"/>
      <family val="1"/>
    </font>
    <font>
      <sz val="12"/>
      <name val="Times New Roman"/>
      <family val="1"/>
    </font>
    <font>
      <sz val="10"/>
      <color indexed="12"/>
      <name val="Rockwell Extra Bold"/>
      <family val="1"/>
    </font>
    <font>
      <sz val="10"/>
      <color indexed="12"/>
      <name val="Script"/>
      <family val="4"/>
    </font>
    <font>
      <i/>
      <sz val="16"/>
      <name val="Mistral"/>
      <family val="4"/>
    </font>
    <font>
      <sz val="10"/>
      <color indexed="48"/>
      <name val="Arial"/>
      <family val="2"/>
    </font>
    <font>
      <sz val="10"/>
      <color indexed="48"/>
      <name val="Times New Roman"/>
      <family val="1"/>
    </font>
    <font>
      <sz val="10"/>
      <color theme="0"/>
      <name val="Arial"/>
      <family val="2"/>
    </font>
    <font>
      <b/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indexed="13"/>
        <bgColor indexed="34"/>
      </patternFill>
    </fill>
  </fills>
  <borders count="16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/>
      <diagonal/>
    </border>
  </borders>
  <cellStyleXfs count="1">
    <xf numFmtId="0" fontId="0" fillId="0" borderId="0"/>
  </cellStyleXfs>
  <cellXfs count="84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/>
    <xf numFmtId="0" fontId="1" fillId="0" borderId="4" xfId="0" applyFont="1" applyBorder="1"/>
    <xf numFmtId="0" fontId="1" fillId="0" borderId="0" xfId="0" applyFont="1" applyAlignment="1">
      <alignment horizontal="center"/>
    </xf>
    <xf numFmtId="0" fontId="3" fillId="0" borderId="0" xfId="0" applyFont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1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2" xfId="0" applyFont="1" applyBorder="1"/>
    <xf numFmtId="0" fontId="2" fillId="0" borderId="2" xfId="0" applyFont="1" applyBorder="1" applyAlignment="1">
      <alignment horizontal="center"/>
    </xf>
    <xf numFmtId="0" fontId="1" fillId="0" borderId="11" xfId="0" applyFont="1" applyBorder="1"/>
    <xf numFmtId="0" fontId="1" fillId="0" borderId="12" xfId="0" applyFont="1" applyBorder="1"/>
    <xf numFmtId="0" fontId="1" fillId="0" borderId="14" xfId="0" applyFont="1" applyBorder="1" applyAlignment="1">
      <alignment horizontal="center"/>
    </xf>
    <xf numFmtId="0" fontId="2" fillId="0" borderId="12" xfId="0" applyFont="1" applyBorder="1" applyAlignment="1">
      <alignment horizontal="center" vertical="center"/>
    </xf>
    <xf numFmtId="0" fontId="1" fillId="0" borderId="12" xfId="0" applyFont="1" applyBorder="1" applyAlignment="1">
      <alignment vertical="center"/>
    </xf>
    <xf numFmtId="0" fontId="1" fillId="0" borderId="13" xfId="0" applyFont="1" applyBorder="1"/>
    <xf numFmtId="2" fontId="1" fillId="0" borderId="15" xfId="0" applyNumberFormat="1" applyFont="1" applyBorder="1" applyAlignment="1">
      <alignment horizontal="center"/>
    </xf>
    <xf numFmtId="2" fontId="2" fillId="2" borderId="2" xfId="0" applyNumberFormat="1" applyFont="1" applyFill="1" applyBorder="1" applyAlignment="1">
      <alignment horizontal="center"/>
    </xf>
    <xf numFmtId="0" fontId="1" fillId="0" borderId="8" xfId="0" applyFont="1" applyBorder="1" applyAlignment="1">
      <alignment horizontal="left"/>
    </xf>
    <xf numFmtId="0" fontId="1" fillId="0" borderId="9" xfId="0" applyFont="1" applyBorder="1" applyAlignment="1">
      <alignment horizontal="left"/>
    </xf>
    <xf numFmtId="0" fontId="1" fillId="0" borderId="10" xfId="0" applyFont="1" applyBorder="1" applyAlignment="1">
      <alignment horizontal="left"/>
    </xf>
    <xf numFmtId="2" fontId="2" fillId="0" borderId="2" xfId="0" applyNumberFormat="1" applyFont="1" applyBorder="1" applyAlignment="1">
      <alignment horizontal="center"/>
    </xf>
    <xf numFmtId="0" fontId="1" fillId="0" borderId="9" xfId="0" applyFont="1" applyBorder="1" applyAlignment="1">
      <alignment horizontal="right"/>
    </xf>
    <xf numFmtId="0" fontId="1" fillId="0" borderId="9" xfId="0" applyFont="1" applyBorder="1" applyAlignment="1">
      <alignment horizontal="center"/>
    </xf>
    <xf numFmtId="0" fontId="1" fillId="0" borderId="5" xfId="0" applyFont="1" applyBorder="1" applyAlignment="1">
      <alignment horizontal="left"/>
    </xf>
    <xf numFmtId="2" fontId="2" fillId="0" borderId="14" xfId="0" applyNumberFormat="1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11" xfId="0" applyFont="1" applyBorder="1" applyAlignment="1">
      <alignment vertical="top"/>
    </xf>
    <xf numFmtId="0" fontId="2" fillId="0" borderId="1" xfId="0" applyFont="1" applyBorder="1"/>
    <xf numFmtId="0" fontId="1" fillId="0" borderId="0" xfId="0" applyFont="1" applyAlignment="1">
      <alignment horizontal="right"/>
    </xf>
    <xf numFmtId="0" fontId="7" fillId="0" borderId="0" xfId="0" applyFont="1" applyAlignment="1">
      <alignment horizontal="center"/>
    </xf>
    <xf numFmtId="0" fontId="7" fillId="0" borderId="14" xfId="0" applyFont="1" applyBorder="1" applyAlignment="1">
      <alignment horizontal="center"/>
    </xf>
    <xf numFmtId="2" fontId="8" fillId="0" borderId="14" xfId="0" applyNumberFormat="1" applyFont="1" applyBorder="1" applyAlignment="1">
      <alignment horizontal="center"/>
    </xf>
    <xf numFmtId="0" fontId="8" fillId="0" borderId="14" xfId="0" applyFont="1" applyBorder="1" applyAlignment="1">
      <alignment horizontal="center"/>
    </xf>
    <xf numFmtId="2" fontId="0" fillId="0" borderId="0" xfId="0" applyNumberFormat="1"/>
    <xf numFmtId="0" fontId="9" fillId="0" borderId="0" xfId="0" applyFont="1"/>
    <xf numFmtId="0" fontId="2" fillId="0" borderId="9" xfId="0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0" xfId="0" applyNumberFormat="1" applyAlignment="1">
      <alignment horizontal="left"/>
    </xf>
    <xf numFmtId="0" fontId="2" fillId="0" borderId="14" xfId="0" applyFont="1" applyBorder="1" applyAlignment="1">
      <alignment horizontal="center"/>
    </xf>
    <xf numFmtId="0" fontId="10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15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0" fontId="3" fillId="0" borderId="0" xfId="0" applyFont="1" applyAlignment="1">
      <alignment horizontal="center"/>
    </xf>
    <xf numFmtId="0" fontId="2" fillId="0" borderId="2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shrinkToFit="1"/>
    </xf>
    <xf numFmtId="0" fontId="1" fillId="0" borderId="14" xfId="0" applyFont="1" applyBorder="1" applyAlignment="1">
      <alignment horizontal="left"/>
    </xf>
    <xf numFmtId="0" fontId="1" fillId="0" borderId="11" xfId="0" applyFont="1" applyBorder="1" applyAlignment="1">
      <alignment horizontal="right"/>
    </xf>
    <xf numFmtId="0" fontId="2" fillId="0" borderId="13" xfId="0" applyFont="1" applyBorder="1" applyAlignment="1">
      <alignment horizontal="center"/>
    </xf>
    <xf numFmtId="2" fontId="4" fillId="0" borderId="13" xfId="0" applyNumberFormat="1" applyFont="1" applyBorder="1" applyAlignment="1">
      <alignment horizontal="center"/>
    </xf>
    <xf numFmtId="0" fontId="1" fillId="0" borderId="5" xfId="0" applyFont="1" applyBorder="1" applyAlignment="1">
      <alignment horizontal="left"/>
    </xf>
    <xf numFmtId="0" fontId="1" fillId="0" borderId="14" xfId="0" applyFont="1" applyBorder="1" applyAlignment="1">
      <alignment horizontal="center"/>
    </xf>
    <xf numFmtId="0" fontId="1" fillId="0" borderId="1" xfId="0" applyFont="1" applyBorder="1" applyAlignment="1">
      <alignment horizontal="left"/>
    </xf>
    <xf numFmtId="0" fontId="1" fillId="0" borderId="2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64" fontId="2" fillId="0" borderId="12" xfId="0" applyNumberFormat="1" applyFont="1" applyBorder="1" applyAlignment="1">
      <alignment horizontal="center"/>
    </xf>
    <xf numFmtId="22" fontId="2" fillId="0" borderId="9" xfId="0" applyNumberFormat="1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5" fillId="0" borderId="14" xfId="0" applyFont="1" applyBorder="1" applyAlignment="1">
      <alignment horizontal="center"/>
    </xf>
  </cellXfs>
  <cellStyles count="1">
    <cellStyle name="Normal" xfId="0" builtinId="0"/>
  </cellStyles>
  <dxfs count="1"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63</xdr:row>
      <xdr:rowOff>28575</xdr:rowOff>
    </xdr:from>
    <xdr:to>
      <xdr:col>10</xdr:col>
      <xdr:colOff>647700</xdr:colOff>
      <xdr:row>133</xdr:row>
      <xdr:rowOff>104775</xdr:rowOff>
    </xdr:to>
    <xdr:pic>
      <xdr:nvPicPr>
        <xdr:cNvPr id="1105" name="Picture 2">
          <a:extLst>
            <a:ext uri="{FF2B5EF4-FFF2-40B4-BE49-F238E27FC236}">
              <a16:creationId xmlns:a16="http://schemas.microsoft.com/office/drawing/2014/main" id="{0F218897-5EA4-4D2B-8C3F-2B8623B963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439650"/>
          <a:ext cx="6915150" cy="11410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600"/>
  <sheetViews>
    <sheetView tabSelected="1" zoomScaleNormal="100" zoomScaleSheetLayoutView="100" workbookViewId="0">
      <selection activeCell="M9" sqref="M9"/>
    </sheetView>
  </sheetViews>
  <sheetFormatPr defaultRowHeight="12.5"/>
  <cols>
    <col min="1" max="1" width="10.453125" customWidth="1"/>
    <col min="2" max="2" width="2.81640625" customWidth="1"/>
    <col min="3" max="3" width="16.453125" customWidth="1"/>
    <col min="11" max="11" width="11.54296875" customWidth="1"/>
  </cols>
  <sheetData>
    <row r="1" spans="1:11" ht="1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13">
      <c r="A2" s="1"/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s="2" customFormat="1" ht="13">
      <c r="A3" s="1"/>
      <c r="B3" s="1"/>
      <c r="C3" s="1"/>
      <c r="D3" s="1"/>
      <c r="E3" s="51" t="s">
        <v>1</v>
      </c>
      <c r="F3" s="51"/>
      <c r="G3" s="51"/>
      <c r="H3" s="1"/>
      <c r="I3" s="1"/>
      <c r="J3" s="1"/>
      <c r="K3" s="1"/>
    </row>
    <row r="4" spans="1:11" s="2" customFormat="1" ht="13">
      <c r="A4" s="1"/>
      <c r="B4" s="1"/>
      <c r="C4" s="1"/>
      <c r="D4" s="51" t="s">
        <v>2</v>
      </c>
      <c r="E4" s="51"/>
      <c r="F4" s="51"/>
      <c r="G4" s="51"/>
      <c r="H4" s="51"/>
      <c r="I4" s="1"/>
      <c r="J4" s="52" t="s">
        <v>3</v>
      </c>
      <c r="K4" s="52"/>
    </row>
    <row r="5" spans="1:11" s="2" customFormat="1" ht="13">
      <c r="A5" s="1"/>
      <c r="B5" s="1"/>
      <c r="C5" s="51" t="s">
        <v>4</v>
      </c>
      <c r="D5" s="51"/>
      <c r="E5" s="51"/>
      <c r="F5" s="51"/>
      <c r="G5" s="51"/>
      <c r="H5" s="51"/>
      <c r="I5" s="51"/>
      <c r="J5" s="53" t="s">
        <v>5</v>
      </c>
      <c r="K5" s="53"/>
    </row>
    <row r="6" spans="1:11" s="2" customFormat="1" ht="13">
      <c r="A6" s="1"/>
      <c r="B6" s="1"/>
      <c r="C6" s="1"/>
      <c r="D6" s="1"/>
      <c r="E6" s="51" t="s">
        <v>6</v>
      </c>
      <c r="F6" s="51"/>
      <c r="G6" s="51"/>
      <c r="H6" s="1"/>
      <c r="I6" s="1"/>
      <c r="J6" s="5" t="s">
        <v>7</v>
      </c>
      <c r="K6" s="6" t="s">
        <v>8</v>
      </c>
    </row>
    <row r="7" spans="1:11" s="2" customFormat="1" ht="13">
      <c r="A7" s="1"/>
      <c r="B7" s="1"/>
      <c r="C7" s="1"/>
      <c r="D7" s="1"/>
      <c r="E7" s="51" t="s">
        <v>9</v>
      </c>
      <c r="F7" s="51"/>
      <c r="G7" s="51"/>
      <c r="H7" s="1"/>
      <c r="I7" s="1"/>
      <c r="J7" s="54" t="s">
        <v>10</v>
      </c>
      <c r="K7" s="54"/>
    </row>
    <row r="8" spans="1:11" s="2" customFormat="1" ht="13">
      <c r="A8" s="7"/>
      <c r="B8" s="7"/>
      <c r="C8" s="7"/>
      <c r="D8" s="7"/>
      <c r="E8" s="7"/>
      <c r="F8" s="7"/>
      <c r="G8" s="7"/>
      <c r="H8" s="7"/>
      <c r="I8" s="7"/>
      <c r="J8" s="55" t="s">
        <v>11</v>
      </c>
      <c r="K8" s="55"/>
    </row>
    <row r="9" spans="1:11" s="2" customFormat="1" ht="15.5">
      <c r="A9" s="8"/>
      <c r="B9" s="8"/>
      <c r="C9" s="8"/>
      <c r="D9" s="56" t="s">
        <v>12</v>
      </c>
      <c r="E9" s="56"/>
      <c r="F9" s="56"/>
      <c r="G9" s="56"/>
      <c r="H9" s="56"/>
      <c r="I9" s="8"/>
      <c r="J9" s="8"/>
      <c r="K9" s="8"/>
    </row>
    <row r="10" spans="1:11" ht="1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</row>
    <row r="11" spans="1:11" ht="13">
      <c r="A11" s="9" t="s">
        <v>13</v>
      </c>
      <c r="B11" s="10"/>
      <c r="C11" s="10"/>
      <c r="D11" s="10"/>
      <c r="E11" s="10"/>
      <c r="F11" s="10"/>
      <c r="G11" s="10"/>
      <c r="H11" s="10"/>
      <c r="I11" s="10"/>
      <c r="J11" s="10"/>
      <c r="K11" s="11"/>
    </row>
    <row r="12" spans="1:11" ht="13">
      <c r="A12" s="12" t="s">
        <v>14</v>
      </c>
      <c r="B12" s="58" t="s">
        <v>15</v>
      </c>
      <c r="C12" s="59"/>
      <c r="D12" s="59"/>
      <c r="E12" s="60"/>
      <c r="F12" s="58" t="s">
        <v>16</v>
      </c>
      <c r="G12" s="59"/>
      <c r="H12" s="59"/>
      <c r="I12" s="59"/>
      <c r="J12" s="60"/>
      <c r="K12" s="12" t="s">
        <v>17</v>
      </c>
    </row>
    <row r="13" spans="1:11" ht="13">
      <c r="A13" s="16" t="s">
        <v>18</v>
      </c>
      <c r="B13" s="57"/>
      <c r="C13" s="57"/>
      <c r="D13" s="57"/>
      <c r="E13" s="57"/>
      <c r="F13" s="57"/>
      <c r="G13" s="57"/>
      <c r="H13" s="57"/>
      <c r="I13" s="57"/>
      <c r="J13" s="57"/>
      <c r="K13" s="17"/>
    </row>
    <row r="14" spans="1:11" ht="13">
      <c r="A14" s="12" t="s">
        <v>19</v>
      </c>
      <c r="B14" s="52" t="s">
        <v>20</v>
      </c>
      <c r="C14" s="52"/>
      <c r="D14" s="52"/>
      <c r="E14" s="52"/>
      <c r="F14" s="52" t="s">
        <v>21</v>
      </c>
      <c r="G14" s="52"/>
      <c r="H14" s="52"/>
      <c r="I14" s="52"/>
      <c r="J14" s="3" t="s">
        <v>22</v>
      </c>
      <c r="K14" s="3" t="s">
        <v>23</v>
      </c>
    </row>
    <row r="15" spans="1:11" ht="13">
      <c r="A15" s="16" t="s">
        <v>24</v>
      </c>
      <c r="B15" s="57"/>
      <c r="C15" s="57"/>
      <c r="D15" s="57"/>
      <c r="E15" s="57"/>
      <c r="F15" s="57"/>
      <c r="G15" s="57"/>
      <c r="H15" s="57"/>
      <c r="I15" s="57"/>
      <c r="J15" s="17"/>
      <c r="K15" s="17"/>
    </row>
    <row r="16" spans="1:11" ht="13">
      <c r="A16" s="61" t="s">
        <v>25</v>
      </c>
      <c r="B16" s="62"/>
      <c r="C16" s="63"/>
      <c r="D16" s="58" t="s">
        <v>20</v>
      </c>
      <c r="E16" s="58"/>
      <c r="F16" s="58"/>
      <c r="G16" s="58"/>
      <c r="H16" s="58"/>
      <c r="I16" s="58"/>
      <c r="J16" s="14"/>
      <c r="K16" s="15"/>
    </row>
    <row r="17" spans="1:21" ht="13">
      <c r="A17" s="64"/>
      <c r="B17" s="65"/>
      <c r="C17" s="66"/>
      <c r="D17" s="57"/>
      <c r="E17" s="57"/>
      <c r="F17" s="57"/>
      <c r="G17" s="57"/>
      <c r="H17" s="57"/>
      <c r="I17" s="57"/>
      <c r="J17" s="57"/>
      <c r="K17" s="57"/>
    </row>
    <row r="18" spans="1:21" ht="13">
      <c r="A18" s="52" t="s">
        <v>26</v>
      </c>
      <c r="B18" s="52"/>
      <c r="C18" s="52"/>
      <c r="D18" s="52" t="s">
        <v>27</v>
      </c>
      <c r="E18" s="52"/>
      <c r="F18" s="52"/>
      <c r="G18" s="52"/>
      <c r="H18" s="52"/>
      <c r="I18" s="52"/>
      <c r="J18" s="52" t="s">
        <v>28</v>
      </c>
      <c r="K18" s="52"/>
    </row>
    <row r="19" spans="1:21" ht="13">
      <c r="A19" s="57" t="s">
        <v>310</v>
      </c>
      <c r="B19" s="57"/>
      <c r="C19" s="57"/>
      <c r="D19" s="57"/>
      <c r="E19" s="57"/>
      <c r="F19" s="57"/>
      <c r="G19" s="57"/>
      <c r="H19" s="57"/>
      <c r="I19" s="57"/>
      <c r="J19" s="57"/>
      <c r="K19" s="57"/>
    </row>
    <row r="20" spans="1:21" ht="12.75" customHeight="1">
      <c r="A20" s="67" t="s">
        <v>29</v>
      </c>
      <c r="B20" s="45" t="s">
        <v>311</v>
      </c>
      <c r="C20" s="46" t="s">
        <v>312</v>
      </c>
      <c r="D20" s="68" t="s">
        <v>30</v>
      </c>
      <c r="E20" s="68"/>
      <c r="F20" s="68"/>
      <c r="G20" s="69" t="s">
        <v>31</v>
      </c>
      <c r="H20" s="69"/>
      <c r="I20" s="69"/>
      <c r="J20" s="69"/>
      <c r="K20" s="20" t="s">
        <v>32</v>
      </c>
    </row>
    <row r="21" spans="1:21" ht="12.75" customHeight="1">
      <c r="A21" s="67"/>
      <c r="B21" s="21"/>
      <c r="C21" s="22"/>
      <c r="D21" s="22"/>
      <c r="E21" s="19"/>
      <c r="F21" s="23"/>
      <c r="G21" s="1"/>
      <c r="H21" s="1"/>
      <c r="I21" s="1"/>
      <c r="J21" s="1"/>
      <c r="K21" s="24"/>
      <c r="L21" s="44"/>
    </row>
    <row r="22" spans="1:21" ht="13">
      <c r="A22" s="70" t="s">
        <v>33</v>
      </c>
      <c r="B22" s="70"/>
      <c r="C22" s="70"/>
      <c r="D22" s="70"/>
      <c r="E22" s="70"/>
      <c r="F22" s="70"/>
      <c r="G22" s="18" t="s">
        <v>34</v>
      </c>
      <c r="H22" s="19"/>
      <c r="I22" s="19"/>
      <c r="J22" s="23"/>
      <c r="K22" s="25">
        <f>K59</f>
        <v>1.68</v>
      </c>
      <c r="L22" s="44"/>
    </row>
    <row r="23" spans="1:21" ht="13">
      <c r="A23" s="26"/>
      <c r="B23" s="27"/>
      <c r="C23" s="27"/>
      <c r="D23" s="27"/>
      <c r="E23" s="27"/>
      <c r="F23" s="28"/>
      <c r="G23" s="1"/>
      <c r="H23" s="1"/>
      <c r="I23" s="1"/>
      <c r="J23" s="1"/>
      <c r="K23" s="24"/>
      <c r="L23" s="44"/>
    </row>
    <row r="24" spans="1:21" ht="13">
      <c r="A24" s="71" t="s">
        <v>35</v>
      </c>
      <c r="B24" s="71"/>
      <c r="C24" s="71"/>
      <c r="D24" s="72"/>
      <c r="E24" s="72"/>
      <c r="F24" s="72"/>
      <c r="G24" s="18" t="s">
        <v>36</v>
      </c>
      <c r="H24" s="19"/>
      <c r="I24" s="19"/>
      <c r="J24" s="23"/>
      <c r="K24" s="29">
        <f>IF(L24&gt;50,50,L24)</f>
        <v>0</v>
      </c>
      <c r="L24" s="44"/>
    </row>
    <row r="25" spans="1:21" ht="13">
      <c r="A25" s="13"/>
      <c r="B25" s="14"/>
      <c r="C25" s="14"/>
      <c r="D25" s="30" t="s">
        <v>37</v>
      </c>
      <c r="E25" s="31" t="s">
        <v>38</v>
      </c>
      <c r="F25" s="15" t="s">
        <v>39</v>
      </c>
      <c r="G25" s="1"/>
      <c r="H25" s="1"/>
      <c r="I25" s="1"/>
      <c r="J25" s="1"/>
      <c r="K25" s="24"/>
      <c r="L25" s="44"/>
    </row>
    <row r="26" spans="1:21" ht="13">
      <c r="A26" s="71" t="s">
        <v>40</v>
      </c>
      <c r="B26" s="71"/>
      <c r="C26" s="71"/>
      <c r="D26" s="72"/>
      <c r="E26" s="72"/>
      <c r="F26" s="72"/>
      <c r="G26" s="18" t="s">
        <v>41</v>
      </c>
      <c r="H26" s="19"/>
      <c r="I26" s="19"/>
      <c r="J26" s="23"/>
      <c r="K26" s="29">
        <f>IF(L24&gt;50,L24-50,0)</f>
        <v>0</v>
      </c>
      <c r="L26" s="44"/>
    </row>
    <row r="27" spans="1:21" ht="13">
      <c r="A27" s="13"/>
      <c r="B27" s="14"/>
      <c r="C27" s="14"/>
      <c r="D27" s="14"/>
      <c r="E27" s="14"/>
      <c r="F27" s="15"/>
      <c r="G27" s="1"/>
      <c r="H27" s="1"/>
      <c r="I27" s="1"/>
      <c r="J27" s="1"/>
      <c r="K27" s="24"/>
      <c r="L27" s="44"/>
    </row>
    <row r="28" spans="1:21" ht="13">
      <c r="A28" s="71" t="s">
        <v>42</v>
      </c>
      <c r="B28" s="71"/>
      <c r="C28" s="71"/>
      <c r="D28" s="72"/>
      <c r="E28" s="72"/>
      <c r="F28" s="72"/>
      <c r="G28" s="18" t="s">
        <v>43</v>
      </c>
      <c r="H28" s="19"/>
      <c r="I28" s="19"/>
      <c r="J28" s="23"/>
      <c r="K28" s="29"/>
      <c r="L28" s="44"/>
    </row>
    <row r="29" spans="1:21" ht="13">
      <c r="A29" s="13"/>
      <c r="B29" s="14"/>
      <c r="C29" s="14"/>
      <c r="D29" s="14"/>
      <c r="E29" s="14"/>
      <c r="F29" s="15"/>
      <c r="G29" s="1"/>
      <c r="H29" s="1"/>
      <c r="I29" s="1"/>
      <c r="J29" s="1"/>
      <c r="K29" s="24"/>
      <c r="L29" s="44"/>
      <c r="N29" s="50" t="s">
        <v>315</v>
      </c>
      <c r="O29" s="50"/>
      <c r="P29" s="50"/>
      <c r="Q29" s="50"/>
      <c r="R29" s="50"/>
      <c r="S29" s="50"/>
      <c r="T29" s="50"/>
      <c r="U29" s="50"/>
    </row>
    <row r="30" spans="1:21" ht="13">
      <c r="A30" s="71" t="s">
        <v>44</v>
      </c>
      <c r="B30" s="71"/>
      <c r="C30" s="71"/>
      <c r="D30" s="73">
        <f>K30</f>
        <v>1.68</v>
      </c>
      <c r="E30" s="73"/>
      <c r="F30" s="73"/>
      <c r="G30" s="18" t="s">
        <v>45</v>
      </c>
      <c r="H30" s="19"/>
      <c r="I30" s="19"/>
      <c r="J30" s="23"/>
      <c r="K30" s="29">
        <f>SUM(K22:K28)</f>
        <v>1.68</v>
      </c>
      <c r="L30" s="44"/>
    </row>
    <row r="31" spans="1:21" ht="13">
      <c r="A31" s="74" t="s">
        <v>46</v>
      </c>
      <c r="B31" s="74"/>
      <c r="C31" s="74"/>
      <c r="D31" s="74"/>
      <c r="E31" s="74"/>
      <c r="F31" s="74"/>
      <c r="G31" s="10"/>
      <c r="H31" s="11"/>
      <c r="I31" s="75" t="s">
        <v>47</v>
      </c>
      <c r="J31" s="75"/>
      <c r="K31" s="75"/>
      <c r="N31" s="3" t="s">
        <v>48</v>
      </c>
      <c r="O31" s="13"/>
      <c r="P31" s="14"/>
      <c r="Q31" s="15"/>
      <c r="R31" s="3" t="s">
        <v>49</v>
      </c>
      <c r="S31" s="76" t="s">
        <v>50</v>
      </c>
      <c r="T31" s="76"/>
      <c r="U31" s="3" t="s">
        <v>51</v>
      </c>
    </row>
    <row r="32" spans="1:21" ht="13">
      <c r="A32" s="3" t="s">
        <v>48</v>
      </c>
      <c r="B32" s="13"/>
      <c r="C32" s="14"/>
      <c r="D32" s="15"/>
      <c r="E32" s="3" t="s">
        <v>49</v>
      </c>
      <c r="F32" s="76" t="s">
        <v>50</v>
      </c>
      <c r="G32" s="76"/>
      <c r="H32" s="3" t="s">
        <v>51</v>
      </c>
      <c r="I32" s="52" t="s">
        <v>52</v>
      </c>
      <c r="J32" s="52"/>
      <c r="K32" s="52"/>
      <c r="N32" s="4" t="s">
        <v>56</v>
      </c>
      <c r="O32" s="53" t="s">
        <v>57</v>
      </c>
      <c r="P32" s="53"/>
      <c r="Q32" s="53"/>
      <c r="R32" s="4" t="s">
        <v>58</v>
      </c>
      <c r="S32" s="55" t="s">
        <v>59</v>
      </c>
      <c r="T32" s="55"/>
      <c r="U32" s="4" t="s">
        <v>32</v>
      </c>
    </row>
    <row r="33" spans="1:21" ht="13">
      <c r="A33" s="4" t="s">
        <v>56</v>
      </c>
      <c r="B33" s="53" t="s">
        <v>57</v>
      </c>
      <c r="C33" s="53"/>
      <c r="D33" s="53"/>
      <c r="E33" s="4" t="s">
        <v>58</v>
      </c>
      <c r="F33" s="55" t="s">
        <v>59</v>
      </c>
      <c r="G33" s="55"/>
      <c r="H33" s="4" t="s">
        <v>32</v>
      </c>
      <c r="I33" s="53" t="s">
        <v>60</v>
      </c>
      <c r="J33" s="53"/>
      <c r="K33" s="53"/>
      <c r="N33" s="33"/>
      <c r="O33" s="49" t="str">
        <f>IFERROR(VLOOKUP(N33,soils2!$A$2:$C$152,2),"")</f>
        <v/>
      </c>
      <c r="P33" s="49"/>
      <c r="Q33" s="49"/>
      <c r="R33" s="34" t="str">
        <f>IFERROR(VLOOKUP(N33,soils2!$A$2:$C$152,3),"")</f>
        <v/>
      </c>
      <c r="S33" s="49"/>
      <c r="T33" s="49"/>
      <c r="U33" s="33"/>
    </row>
    <row r="34" spans="1:21" ht="20.149999999999999" customHeight="1">
      <c r="A34" s="33" t="s">
        <v>118</v>
      </c>
      <c r="B34" s="49" t="str">
        <f>IFERROR(VLOOKUP(A34,soils2!$A$2:$C$152,2),"")</f>
        <v>CHENANGO</v>
      </c>
      <c r="C34" s="49"/>
      <c r="D34" s="49"/>
      <c r="E34" s="34" t="str">
        <f>IFERROR(VLOOKUP(A34,soils2!$A$2:$C$152,3),"")</f>
        <v>2b</v>
      </c>
      <c r="F34" s="49"/>
      <c r="G34" s="49"/>
      <c r="H34" s="33">
        <v>1.68</v>
      </c>
      <c r="I34" s="52" t="s">
        <v>64</v>
      </c>
      <c r="J34" s="52"/>
      <c r="K34" s="12"/>
      <c r="N34" s="33"/>
      <c r="O34" s="49" t="str">
        <f>IFERROR(VLOOKUP(N34,soils2!$A$2:$C$152,2),"")</f>
        <v/>
      </c>
      <c r="P34" s="49"/>
      <c r="Q34" s="49"/>
      <c r="R34" s="34" t="str">
        <f>IFERROR(VLOOKUP(N34,soils2!$A$2:$C$152,3),"")</f>
        <v/>
      </c>
      <c r="S34" s="49"/>
      <c r="T34" s="49"/>
      <c r="U34" s="33"/>
    </row>
    <row r="35" spans="1:21" ht="20.149999999999999" customHeight="1">
      <c r="A35" s="33"/>
      <c r="B35" s="49" t="str">
        <f>IFERROR(VLOOKUP(A35,soils2!$A$2:$C$152,2),"")</f>
        <v/>
      </c>
      <c r="C35" s="49"/>
      <c r="D35" s="49"/>
      <c r="E35" s="34" t="str">
        <f>IFERROR(VLOOKUP(A35,soils2!$A$2:$C$152,3),"")</f>
        <v/>
      </c>
      <c r="F35" s="49"/>
      <c r="G35" s="49"/>
      <c r="H35" s="33"/>
      <c r="I35" s="77" t="s">
        <v>66</v>
      </c>
      <c r="J35" s="77"/>
      <c r="K35" s="4" t="s">
        <v>67</v>
      </c>
      <c r="N35" s="33"/>
      <c r="O35" s="49" t="str">
        <f>IFERROR(VLOOKUP(N35,soils2!$A$2:$C$152,2),"")</f>
        <v/>
      </c>
      <c r="P35" s="49"/>
      <c r="Q35" s="49"/>
      <c r="R35" s="34" t="str">
        <f>IFERROR(VLOOKUP(N35,soils2!$A$2:$C$152,3),"")</f>
        <v/>
      </c>
      <c r="S35" s="49"/>
      <c r="T35" s="49"/>
      <c r="U35" s="33"/>
    </row>
    <row r="36" spans="1:21" ht="20.149999999999999" customHeight="1">
      <c r="A36" s="33"/>
      <c r="B36" s="49" t="str">
        <f>IFERROR(VLOOKUP(A36,soils2!$A$2:$C$152,2),"")</f>
        <v/>
      </c>
      <c r="C36" s="49"/>
      <c r="D36" s="49"/>
      <c r="E36" s="34" t="str">
        <f>IFERROR(VLOOKUP(A36,soils2!$A$2:$C$152,3),"")</f>
        <v/>
      </c>
      <c r="F36" s="49"/>
      <c r="G36" s="49"/>
      <c r="H36" s="33"/>
      <c r="I36" s="78">
        <v>1</v>
      </c>
      <c r="J36" s="20" t="s">
        <v>61</v>
      </c>
      <c r="K36" s="33">
        <f>SUMIF($E$34:$E$57,"1a",$H$34:$H$57)+SUMIF($R$33:$R$600,"1a",$U$33:$U$600)</f>
        <v>0</v>
      </c>
      <c r="N36" s="33"/>
      <c r="O36" s="49" t="str">
        <f>IFERROR(VLOOKUP(N36,soils2!$A$2:$C$152,2),"")</f>
        <v/>
      </c>
      <c r="P36" s="49"/>
      <c r="Q36" s="49"/>
      <c r="R36" s="34" t="str">
        <f>IFERROR(VLOOKUP(N36,soils2!$A$2:$C$152,3),"")</f>
        <v/>
      </c>
      <c r="S36" s="49"/>
      <c r="T36" s="49"/>
      <c r="U36" s="33"/>
    </row>
    <row r="37" spans="1:21" ht="20.149999999999999" customHeight="1">
      <c r="A37" s="33"/>
      <c r="B37" s="49" t="str">
        <f>IFERROR(VLOOKUP(A37,soils2!$A$2:$C$152,2),"")</f>
        <v/>
      </c>
      <c r="C37" s="49"/>
      <c r="D37" s="49"/>
      <c r="E37" s="34" t="str">
        <f>IFERROR(VLOOKUP(A37,soils2!$A$2:$C$152,3),"")</f>
        <v/>
      </c>
      <c r="F37" s="49"/>
      <c r="G37" s="49"/>
      <c r="H37" s="33"/>
      <c r="I37" s="79"/>
      <c r="J37" s="20" t="s">
        <v>62</v>
      </c>
      <c r="K37" s="33">
        <f>SUMIF($E$34:$E$57,"1b",$H$34:$H$57)+SUMIF($R$33:$R$600,"1b",$U$33:$U$600)</f>
        <v>0</v>
      </c>
      <c r="N37" s="33"/>
      <c r="O37" s="49" t="str">
        <f>IFERROR(VLOOKUP(N37,soils2!$A$2:$C$152,2),"")</f>
        <v/>
      </c>
      <c r="P37" s="49"/>
      <c r="Q37" s="49"/>
      <c r="R37" s="34" t="str">
        <f>IFERROR(VLOOKUP(N37,soils2!$A$2:$C$152,3),"")</f>
        <v/>
      </c>
      <c r="S37" s="49"/>
      <c r="T37" s="49"/>
      <c r="U37" s="33"/>
    </row>
    <row r="38" spans="1:21" ht="20.149999999999999" customHeight="1">
      <c r="A38" s="33"/>
      <c r="B38" s="49" t="str">
        <f>IFERROR(VLOOKUP(A38,soils2!$A$2:$C$152,2),"")</f>
        <v/>
      </c>
      <c r="C38" s="49"/>
      <c r="D38" s="49"/>
      <c r="E38" s="34" t="str">
        <f>IFERROR(VLOOKUP(A38,soils2!$A$2:$C$152,3),"")</f>
        <v/>
      </c>
      <c r="F38" s="49"/>
      <c r="G38" s="49"/>
      <c r="H38" s="33"/>
      <c r="I38" s="78">
        <v>2</v>
      </c>
      <c r="J38" s="20" t="s">
        <v>61</v>
      </c>
      <c r="K38" s="33">
        <f>SUMIF($E$34:$E$57,"2a",$H$34:$H$57)+SUMIF($R$33:$R$600,"2a",$U$33:$U$600)</f>
        <v>0</v>
      </c>
      <c r="N38" s="33"/>
      <c r="O38" s="49" t="str">
        <f>IFERROR(VLOOKUP(N38,soils2!$A$2:$C$152,2),"")</f>
        <v/>
      </c>
      <c r="P38" s="49"/>
      <c r="Q38" s="49"/>
      <c r="R38" s="34" t="str">
        <f>IFERROR(VLOOKUP(N38,soils2!$A$2:$C$152,3),"")</f>
        <v/>
      </c>
      <c r="S38" s="49"/>
      <c r="T38" s="49"/>
      <c r="U38" s="33"/>
    </row>
    <row r="39" spans="1:21" ht="20.149999999999999" customHeight="1">
      <c r="A39" s="33"/>
      <c r="B39" s="49" t="str">
        <f>IFERROR(VLOOKUP(A39,soils2!$A$2:$C$152,2),"")</f>
        <v/>
      </c>
      <c r="C39" s="49"/>
      <c r="D39" s="49"/>
      <c r="E39" s="34" t="str">
        <f>IFERROR(VLOOKUP(A39,soils2!$A$2:$C$152,3),"")</f>
        <v/>
      </c>
      <c r="F39" s="49"/>
      <c r="G39" s="49"/>
      <c r="H39" s="33"/>
      <c r="I39" s="79"/>
      <c r="J39" s="20" t="s">
        <v>62</v>
      </c>
      <c r="K39" s="33">
        <f>SUMIF($E$34:$E$57,"2b",$H$34:$H$57)+SUMIF($R$33:$R$600,"2b",$U$33:$U$600)</f>
        <v>1.68</v>
      </c>
      <c r="N39" s="33"/>
      <c r="O39" s="49" t="str">
        <f>IFERROR(VLOOKUP(N39,soils2!$A$2:$C$152,2),"")</f>
        <v/>
      </c>
      <c r="P39" s="49"/>
      <c r="Q39" s="49"/>
      <c r="R39" s="34" t="str">
        <f>IFERROR(VLOOKUP(N39,soils2!$A$2:$C$152,3),"")</f>
        <v/>
      </c>
      <c r="S39" s="49"/>
      <c r="T39" s="49"/>
      <c r="U39" s="33"/>
    </row>
    <row r="40" spans="1:21" ht="20.149999999999999" customHeight="1">
      <c r="A40" s="33"/>
      <c r="B40" s="49" t="str">
        <f>IFERROR(VLOOKUP(A40,soils2!$A$2:$C$152,2),"")</f>
        <v/>
      </c>
      <c r="C40" s="49"/>
      <c r="D40" s="49"/>
      <c r="E40" s="34" t="str">
        <f>IFERROR(VLOOKUP(A40,soils2!$A$2:$C$152,3),"")</f>
        <v/>
      </c>
      <c r="F40" s="49"/>
      <c r="G40" s="49"/>
      <c r="H40" s="33"/>
      <c r="I40" s="78">
        <v>3</v>
      </c>
      <c r="J40" s="20" t="s">
        <v>61</v>
      </c>
      <c r="K40" s="33">
        <f>SUMIF($E$34:$E$57,"3a",$H$34:$H$57)+SUMIF($R$33:$R$600,"3a",$U$33:$U$600)</f>
        <v>0</v>
      </c>
      <c r="N40" s="33"/>
      <c r="O40" s="49" t="str">
        <f>IFERROR(VLOOKUP(N40,soils2!$A$2:$C$152,2),"")</f>
        <v/>
      </c>
      <c r="P40" s="49"/>
      <c r="Q40" s="49"/>
      <c r="R40" s="34" t="str">
        <f>IFERROR(VLOOKUP(N40,soils2!$A$2:$C$152,3),"")</f>
        <v/>
      </c>
      <c r="S40" s="49"/>
      <c r="T40" s="49"/>
      <c r="U40" s="33"/>
    </row>
    <row r="41" spans="1:21" ht="20.149999999999999" customHeight="1">
      <c r="A41" s="33"/>
      <c r="B41" s="49" t="str">
        <f>IFERROR(VLOOKUP(A41,soils2!$A$2:$C$152,2),"")</f>
        <v/>
      </c>
      <c r="C41" s="49"/>
      <c r="D41" s="49"/>
      <c r="E41" s="34" t="str">
        <f>IFERROR(VLOOKUP(A41,soils2!$A$2:$C$152,3),"")</f>
        <v/>
      </c>
      <c r="F41" s="49"/>
      <c r="G41" s="49"/>
      <c r="H41" s="33"/>
      <c r="I41" s="79"/>
      <c r="J41" s="20" t="s">
        <v>62</v>
      </c>
      <c r="K41" s="33">
        <f>SUMIF($E$34:$E$57,"3b",$H$34:$H$57)+SUMIF($R$33:$R$600,"3b",$U$33:$U$600)</f>
        <v>0</v>
      </c>
      <c r="N41" s="33"/>
      <c r="O41" s="49" t="str">
        <f>IFERROR(VLOOKUP(N41,soils2!$A$2:$C$152,2),"")</f>
        <v/>
      </c>
      <c r="P41" s="49"/>
      <c r="Q41" s="49"/>
      <c r="R41" s="34" t="str">
        <f>IFERROR(VLOOKUP(N41,soils2!$A$2:$C$152,3),"")</f>
        <v/>
      </c>
      <c r="S41" s="49"/>
      <c r="T41" s="49"/>
      <c r="U41" s="33"/>
    </row>
    <row r="42" spans="1:21" ht="20.149999999999999" customHeight="1">
      <c r="A42" s="33"/>
      <c r="B42" s="49" t="str">
        <f>IFERROR(VLOOKUP(A42,soils2!$A$2:$C$152,2),"")</f>
        <v/>
      </c>
      <c r="C42" s="49"/>
      <c r="D42" s="49"/>
      <c r="E42" s="34" t="str">
        <f>IFERROR(VLOOKUP(A42,soils2!$A$2:$C$152,3),"")</f>
        <v/>
      </c>
      <c r="F42" s="49"/>
      <c r="G42" s="49"/>
      <c r="H42" s="33"/>
      <c r="I42" s="78">
        <v>4</v>
      </c>
      <c r="J42" s="20" t="s">
        <v>61</v>
      </c>
      <c r="K42" s="33">
        <f>SUMIF($E$34:$E$57,"4a",$H$34:$H$57)+SUMIF($R$33:$R$600,"4a",$U$33:$U$600)</f>
        <v>0</v>
      </c>
      <c r="N42" s="33"/>
      <c r="O42" s="49" t="str">
        <f>IFERROR(VLOOKUP(N42,soils2!$A$2:$C$152,2),"")</f>
        <v/>
      </c>
      <c r="P42" s="49"/>
      <c r="Q42" s="49"/>
      <c r="R42" s="34" t="str">
        <f>IFERROR(VLOOKUP(N42,soils2!$A$2:$C$152,3),"")</f>
        <v/>
      </c>
      <c r="S42" s="49"/>
      <c r="T42" s="49"/>
      <c r="U42" s="33"/>
    </row>
    <row r="43" spans="1:21" ht="20.149999999999999" customHeight="1">
      <c r="A43" s="33"/>
      <c r="B43" s="49" t="str">
        <f>IFERROR(VLOOKUP(A43,soils2!$A$2:$C$152,2),"")</f>
        <v/>
      </c>
      <c r="C43" s="49"/>
      <c r="D43" s="49"/>
      <c r="E43" s="34" t="str">
        <f>IFERROR(VLOOKUP(A43,soils2!$A$2:$C$152,3),"")</f>
        <v/>
      </c>
      <c r="F43" s="49"/>
      <c r="G43" s="49"/>
      <c r="H43" s="33"/>
      <c r="I43" s="79"/>
      <c r="J43" s="20" t="s">
        <v>62</v>
      </c>
      <c r="K43" s="33">
        <f>SUMIF($E$34:$E$57,"4b",$H$34:$H$57)+SUMIF($R$33:$R$600,"4b",$U$33:$U$600)</f>
        <v>0</v>
      </c>
      <c r="N43" s="33"/>
      <c r="O43" s="49" t="str">
        <f>IFERROR(VLOOKUP(N43,soils2!$A$2:$C$152,2),"")</f>
        <v/>
      </c>
      <c r="P43" s="49"/>
      <c r="Q43" s="49"/>
      <c r="R43" s="34" t="str">
        <f>IFERROR(VLOOKUP(N43,soils2!$A$2:$C$152,3),"")</f>
        <v/>
      </c>
      <c r="S43" s="49"/>
      <c r="T43" s="49"/>
      <c r="U43" s="33"/>
    </row>
    <row r="44" spans="1:21" ht="20.149999999999999" customHeight="1">
      <c r="A44" s="34"/>
      <c r="B44" s="49" t="str">
        <f>IFERROR(VLOOKUP(A44,soils2!$A$2:$C$152,2),"")</f>
        <v/>
      </c>
      <c r="C44" s="49"/>
      <c r="D44" s="49"/>
      <c r="E44" s="34" t="str">
        <f>IFERROR(VLOOKUP(A44,soils2!$A$2:$C$152,3),"")</f>
        <v/>
      </c>
      <c r="F44" s="49"/>
      <c r="G44" s="49"/>
      <c r="H44" s="33"/>
      <c r="I44" s="78">
        <v>5</v>
      </c>
      <c r="J44" s="20" t="s">
        <v>61</v>
      </c>
      <c r="K44" s="33">
        <f>SUMIF($E$34:$E$57,"5a",$H$34:$H$57)+SUMIF($R$33:$R$600,"5a",$U$33:$U$600)</f>
        <v>0</v>
      </c>
      <c r="N44" s="33"/>
      <c r="O44" s="49" t="str">
        <f>IFERROR(VLOOKUP(N44,soils2!$A$2:$C$152,2),"")</f>
        <v/>
      </c>
      <c r="P44" s="49"/>
      <c r="Q44" s="49"/>
      <c r="R44" s="34" t="str">
        <f>IFERROR(VLOOKUP(N44,soils2!$A$2:$C$152,3),"")</f>
        <v/>
      </c>
      <c r="S44" s="49"/>
      <c r="T44" s="49"/>
      <c r="U44" s="33"/>
    </row>
    <row r="45" spans="1:21" ht="20.149999999999999" customHeight="1">
      <c r="A45" s="34"/>
      <c r="B45" s="49" t="str">
        <f>IFERROR(VLOOKUP(A45,soils2!$A$2:$C$152,2),"")</f>
        <v/>
      </c>
      <c r="C45" s="49"/>
      <c r="D45" s="49"/>
      <c r="E45" s="34" t="str">
        <f>IFERROR(VLOOKUP(A45,soils2!$A$2:$C$152,3),"")</f>
        <v/>
      </c>
      <c r="F45" s="49"/>
      <c r="G45" s="49"/>
      <c r="H45" s="33"/>
      <c r="I45" s="79"/>
      <c r="J45" s="20" t="s">
        <v>62</v>
      </c>
      <c r="K45" s="33">
        <f>SUMIF($E$34:$E$57,"5b",$H$34:$H$57)+SUMIF($R$33:$R$600,"5b",$U$33:$U$600)</f>
        <v>0</v>
      </c>
      <c r="N45" s="33"/>
      <c r="O45" s="49" t="str">
        <f>IFERROR(VLOOKUP(N45,soils2!$A$2:$C$152,2),"")</f>
        <v/>
      </c>
      <c r="P45" s="49"/>
      <c r="Q45" s="49"/>
      <c r="R45" s="34" t="str">
        <f>IFERROR(VLOOKUP(N45,soils2!$A$2:$C$152,3),"")</f>
        <v/>
      </c>
      <c r="S45" s="49"/>
      <c r="T45" s="49"/>
      <c r="U45" s="33"/>
    </row>
    <row r="46" spans="1:21" ht="20.149999999999999" customHeight="1">
      <c r="A46" s="34"/>
      <c r="B46" s="49" t="str">
        <f>IFERROR(VLOOKUP(A46,soils2!$A$2:$C$152,2),"")</f>
        <v/>
      </c>
      <c r="C46" s="49"/>
      <c r="D46" s="49"/>
      <c r="E46" s="34" t="str">
        <f>IFERROR(VLOOKUP(A46,soils2!$A$2:$C$152,3),"")</f>
        <v/>
      </c>
      <c r="F46" s="49"/>
      <c r="G46" s="49"/>
      <c r="H46" s="33"/>
      <c r="I46" s="78">
        <v>6</v>
      </c>
      <c r="J46" s="20" t="s">
        <v>61</v>
      </c>
      <c r="K46" s="33">
        <f>SUMIF($E$34:$E$57,"6a",$H$34:$H$57)+SUMIF($R$33:$R$600,"6a",$U$33:$U$600)</f>
        <v>0</v>
      </c>
      <c r="N46" s="33"/>
      <c r="O46" s="49" t="str">
        <f>IFERROR(VLOOKUP(N46,soils2!$A$2:$C$152,2),"")</f>
        <v/>
      </c>
      <c r="P46" s="49"/>
      <c r="Q46" s="49"/>
      <c r="R46" s="34" t="str">
        <f>IFERROR(VLOOKUP(N46,soils2!$A$2:$C$152,3),"")</f>
        <v/>
      </c>
      <c r="S46" s="49"/>
      <c r="T46" s="49"/>
      <c r="U46" s="33"/>
    </row>
    <row r="47" spans="1:21" ht="20.149999999999999" customHeight="1">
      <c r="A47" s="34"/>
      <c r="B47" s="49" t="str">
        <f>IFERROR(VLOOKUP(A47,soils2!$A$2:$C$152,2),"")</f>
        <v/>
      </c>
      <c r="C47" s="49"/>
      <c r="D47" s="49"/>
      <c r="E47" s="34" t="str">
        <f>IFERROR(VLOOKUP(A47,soils2!$A$2:$C$152,3),"")</f>
        <v/>
      </c>
      <c r="F47" s="49"/>
      <c r="G47" s="49"/>
      <c r="H47" s="33"/>
      <c r="I47" s="79"/>
      <c r="J47" s="20" t="s">
        <v>62</v>
      </c>
      <c r="K47" s="33">
        <f>SUMIF($E$34:$E$57,"6b",$H$34:$H$57)+SUMIF($R$33:$R$600,"6b",$U$33:$U$600)</f>
        <v>0</v>
      </c>
      <c r="N47" s="33"/>
      <c r="O47" s="49" t="str">
        <f>IFERROR(VLOOKUP(N47,soils2!$A$2:$C$152,2),"")</f>
        <v/>
      </c>
      <c r="P47" s="49"/>
      <c r="Q47" s="49"/>
      <c r="R47" s="34" t="str">
        <f>IFERROR(VLOOKUP(N47,soils2!$A$2:$C$152,3),"")</f>
        <v/>
      </c>
      <c r="S47" s="49"/>
      <c r="T47" s="49"/>
      <c r="U47" s="33"/>
    </row>
    <row r="48" spans="1:21" ht="20.149999999999999" customHeight="1">
      <c r="A48" s="34"/>
      <c r="B48" s="49" t="str">
        <f>IFERROR(VLOOKUP(A48,soils2!$A$2:$C$152,2),"")</f>
        <v/>
      </c>
      <c r="C48" s="49"/>
      <c r="D48" s="49"/>
      <c r="E48" s="34" t="str">
        <f>IFERROR(VLOOKUP(A48,soils2!$A$2:$C$152,3),"")</f>
        <v/>
      </c>
      <c r="F48" s="49"/>
      <c r="G48" s="49"/>
      <c r="H48" s="33"/>
      <c r="I48" s="35">
        <v>7</v>
      </c>
      <c r="J48" s="11"/>
      <c r="K48" s="33">
        <f>SUMIF($E$34:$E$57,"7",$H$34:$H$57)+SUMIF($R$33:$R$600,"7",$U$33:$U$600)</f>
        <v>0</v>
      </c>
      <c r="N48" s="33"/>
      <c r="O48" s="49" t="str">
        <f>IFERROR(VLOOKUP(N48,soils2!$A$2:$C$152,2),"")</f>
        <v/>
      </c>
      <c r="P48" s="49"/>
      <c r="Q48" s="49"/>
      <c r="R48" s="34" t="str">
        <f>IFERROR(VLOOKUP(N48,soils2!$A$2:$C$152,3),"")</f>
        <v/>
      </c>
      <c r="S48" s="49"/>
      <c r="T48" s="49"/>
      <c r="U48" s="33"/>
    </row>
    <row r="49" spans="1:21" ht="20.149999999999999" customHeight="1">
      <c r="A49" s="34"/>
      <c r="B49" s="49" t="str">
        <f>IFERROR(VLOOKUP(A49,soils2!$A$2:$C$152,2),"")</f>
        <v/>
      </c>
      <c r="C49" s="49"/>
      <c r="D49" s="49"/>
      <c r="E49" s="34" t="str">
        <f>IFERROR(VLOOKUP(A49,soils2!$A$2:$C$152,3),"")</f>
        <v/>
      </c>
      <c r="F49" s="49"/>
      <c r="G49" s="49"/>
      <c r="H49" s="33"/>
      <c r="I49" s="35">
        <v>8</v>
      </c>
      <c r="J49" s="11"/>
      <c r="K49" s="33">
        <f>SUMIF($E$34:$E$57,"8",$H$34:$H$57)+SUMIF($R$33:$R$600,"8",$U$33:$U$600)</f>
        <v>0</v>
      </c>
      <c r="N49" s="33"/>
      <c r="O49" s="49" t="str">
        <f>IFERROR(VLOOKUP(N49,soils2!$A$2:$C$152,2),"")</f>
        <v/>
      </c>
      <c r="P49" s="49"/>
      <c r="Q49" s="49"/>
      <c r="R49" s="34" t="str">
        <f>IFERROR(VLOOKUP(N49,soils2!$A$2:$C$152,3),"")</f>
        <v/>
      </c>
      <c r="S49" s="49"/>
      <c r="T49" s="49"/>
      <c r="U49" s="33"/>
    </row>
    <row r="50" spans="1:21" ht="20.149999999999999" customHeight="1">
      <c r="A50" s="34"/>
      <c r="B50" s="49" t="str">
        <f>IFERROR(VLOOKUP(A50,soils2!$A$2:$C$152,2),"")</f>
        <v/>
      </c>
      <c r="C50" s="49"/>
      <c r="D50" s="49"/>
      <c r="E50" s="34" t="str">
        <f>IFERROR(VLOOKUP(A50,soils2!$A$2:$C$152,3),"")</f>
        <v/>
      </c>
      <c r="F50" s="49"/>
      <c r="G50" s="49"/>
      <c r="H50" s="33"/>
      <c r="I50" s="35">
        <v>9</v>
      </c>
      <c r="J50" s="11"/>
      <c r="K50" s="33">
        <f>SUMIF($E$34:$E$57,"9",$H$34:$H$57)+SUMIF($R$33:$R$600,"9",$U$33:$U$600)</f>
        <v>0</v>
      </c>
      <c r="N50" s="33"/>
      <c r="O50" s="49" t="str">
        <f>IFERROR(VLOOKUP(N50,soils2!$A$2:$C$152,2),"")</f>
        <v/>
      </c>
      <c r="P50" s="49"/>
      <c r="Q50" s="49"/>
      <c r="R50" s="34" t="str">
        <f>IFERROR(VLOOKUP(N50,soils2!$A$2:$C$152,3),"")</f>
        <v/>
      </c>
      <c r="S50" s="49"/>
      <c r="T50" s="49"/>
      <c r="U50" s="33"/>
    </row>
    <row r="51" spans="1:21" ht="20.149999999999999" customHeight="1">
      <c r="A51" s="34"/>
      <c r="B51" s="49" t="str">
        <f>IFERROR(VLOOKUP(A51,soils2!$A$2:$C$152,2),"")</f>
        <v/>
      </c>
      <c r="C51" s="49"/>
      <c r="D51" s="49"/>
      <c r="E51" s="34" t="str">
        <f>IFERROR(VLOOKUP(A51,soils2!$A$2:$C$152,3),"")</f>
        <v/>
      </c>
      <c r="F51" s="49"/>
      <c r="G51" s="49"/>
      <c r="H51" s="33"/>
      <c r="I51" s="35">
        <v>10</v>
      </c>
      <c r="J51" s="11"/>
      <c r="K51" s="33">
        <f>SUMIF($E$34:$E$57,"10",$H$34:$H$57)+SUMIF($R$33:$R$600,"10",$U$33:$U$600)</f>
        <v>0</v>
      </c>
      <c r="N51" s="33"/>
      <c r="O51" s="49" t="str">
        <f>IFERROR(VLOOKUP(N51,soils2!$A$2:$C$152,2),"")</f>
        <v/>
      </c>
      <c r="P51" s="49"/>
      <c r="Q51" s="49"/>
      <c r="R51" s="34" t="str">
        <f>IFERROR(VLOOKUP(N51,soils2!$A$2:$C$152,3),"")</f>
        <v/>
      </c>
      <c r="S51" s="49"/>
      <c r="T51" s="49"/>
      <c r="U51" s="33"/>
    </row>
    <row r="52" spans="1:21" ht="20.149999999999999" customHeight="1">
      <c r="A52" s="34"/>
      <c r="B52" s="49" t="str">
        <f>IFERROR(VLOOKUP(A52,soils2!$A$2:$C$152,2),"")</f>
        <v/>
      </c>
      <c r="C52" s="49"/>
      <c r="D52" s="49"/>
      <c r="E52" s="34" t="str">
        <f>IFERROR(VLOOKUP(A52,soils2!$A$2:$C$152,3),"")</f>
        <v/>
      </c>
      <c r="F52" s="49"/>
      <c r="G52" s="49"/>
      <c r="H52" s="33"/>
      <c r="I52" s="12" t="s">
        <v>78</v>
      </c>
      <c r="J52" s="12"/>
      <c r="K52" s="12"/>
      <c r="N52" s="33"/>
      <c r="O52" s="49" t="str">
        <f>IFERROR(VLOOKUP(N52,soils2!$A$2:$C$152,2),"")</f>
        <v/>
      </c>
      <c r="P52" s="49"/>
      <c r="Q52" s="49"/>
      <c r="R52" s="34" t="str">
        <f>IFERROR(VLOOKUP(N52,soils2!$A$2:$C$152,3),"")</f>
        <v/>
      </c>
      <c r="S52" s="49"/>
      <c r="T52" s="49"/>
      <c r="U52" s="33"/>
    </row>
    <row r="53" spans="1:21" ht="20.149999999999999" customHeight="1">
      <c r="A53" s="34"/>
      <c r="B53" s="49" t="str">
        <f>IFERROR(VLOOKUP(A53,soils2!$A$2:$C$152,2),"")</f>
        <v/>
      </c>
      <c r="C53" s="49"/>
      <c r="D53" s="49"/>
      <c r="E53" s="34" t="str">
        <f>IFERROR(VLOOKUP(A53,soils2!$A$2:$C$152,3),"")</f>
        <v/>
      </c>
      <c r="F53" s="49"/>
      <c r="G53" s="49"/>
      <c r="H53" s="33"/>
      <c r="I53" s="36" t="s">
        <v>66</v>
      </c>
      <c r="J53" s="23"/>
      <c r="K53" s="16" t="s">
        <v>67</v>
      </c>
      <c r="N53" s="33"/>
      <c r="O53" s="49" t="str">
        <f>IFERROR(VLOOKUP(N53,soils2!$A$2:$C$152,2),"")</f>
        <v/>
      </c>
      <c r="P53" s="49"/>
      <c r="Q53" s="49"/>
      <c r="R53" s="34" t="str">
        <f>IFERROR(VLOOKUP(N53,soils2!$A$2:$C$152,3),"")</f>
        <v/>
      </c>
      <c r="S53" s="49"/>
      <c r="T53" s="49"/>
      <c r="U53" s="33"/>
    </row>
    <row r="54" spans="1:21" ht="20.149999999999999" customHeight="1">
      <c r="A54" s="34"/>
      <c r="B54" s="49" t="str">
        <f>IFERROR(VLOOKUP(A54,soils2!$A$2:$C$152,2),"")</f>
        <v/>
      </c>
      <c r="C54" s="49"/>
      <c r="D54" s="49"/>
      <c r="E54" s="34" t="str">
        <f>IFERROR(VLOOKUP(A54,soils2!$A$2:$C$152,3),"")</f>
        <v/>
      </c>
      <c r="F54" s="49"/>
      <c r="G54" s="49"/>
      <c r="H54" s="33"/>
      <c r="I54" s="32" t="s">
        <v>79</v>
      </c>
      <c r="J54" s="11"/>
      <c r="K54" s="33">
        <f>SUMIF($E$34:$E$57,"A",$H$34:$H$57)+SUMIF($R$33:$R$600,"A",$U$33:$U$600)</f>
        <v>0</v>
      </c>
      <c r="N54" s="33"/>
      <c r="O54" s="49" t="str">
        <f>IFERROR(VLOOKUP(N54,soils2!$A$2:$C$152,2),"")</f>
        <v/>
      </c>
      <c r="P54" s="49"/>
      <c r="Q54" s="49"/>
      <c r="R54" s="34" t="str">
        <f>IFERROR(VLOOKUP(N54,soils2!$A$2:$C$152,3),"")</f>
        <v/>
      </c>
      <c r="S54" s="49"/>
      <c r="T54" s="49"/>
      <c r="U54" s="33"/>
    </row>
    <row r="55" spans="1:21" ht="20.149999999999999" customHeight="1">
      <c r="A55" s="34"/>
      <c r="B55" s="49" t="str">
        <f>IFERROR(VLOOKUP(A55,soils2!$A$2:$C$152,2),"")</f>
        <v/>
      </c>
      <c r="C55" s="49"/>
      <c r="D55" s="49"/>
      <c r="E55" s="34" t="str">
        <f>IFERROR(VLOOKUP(A55,soils2!$A$2:$C$152,3),"")</f>
        <v/>
      </c>
      <c r="F55" s="83"/>
      <c r="G55" s="83"/>
      <c r="H55" s="33"/>
      <c r="I55" s="32" t="s">
        <v>53</v>
      </c>
      <c r="J55" s="11"/>
      <c r="K55" s="33">
        <f>SUMIF($E$34:$E$57,"B",$H$34:$H$57)+SUMIF($R$33:$R$600,"B",$U$33:$U$600)</f>
        <v>0</v>
      </c>
      <c r="N55" s="33"/>
      <c r="O55" s="49" t="str">
        <f>IFERROR(VLOOKUP(N55,soils2!$A$2:$C$152,2),"")</f>
        <v/>
      </c>
      <c r="P55" s="49"/>
      <c r="Q55" s="49"/>
      <c r="R55" s="34" t="str">
        <f>IFERROR(VLOOKUP(N55,soils2!$A$2:$C$152,3),"")</f>
        <v/>
      </c>
      <c r="S55" s="49"/>
      <c r="T55" s="49"/>
      <c r="U55" s="33"/>
    </row>
    <row r="56" spans="1:21" ht="20.149999999999999" customHeight="1">
      <c r="A56" s="34"/>
      <c r="B56" s="49" t="str">
        <f>IFERROR(VLOOKUP(A56,soils2!$A$2:$C$152,2),"")</f>
        <v/>
      </c>
      <c r="C56" s="49"/>
      <c r="D56" s="49"/>
      <c r="E56" s="34" t="str">
        <f>IFERROR(VLOOKUP(A56,soils2!$A$2:$C$152,3),"")</f>
        <v/>
      </c>
      <c r="F56" s="49"/>
      <c r="G56" s="49"/>
      <c r="H56" s="33"/>
      <c r="I56" s="32" t="s">
        <v>54</v>
      </c>
      <c r="J56" s="11"/>
      <c r="K56" s="33">
        <f>SUMIF($E$34:$E$57,"C",$H$34:$H$57)+SUMIF($R$33:$R$600,"C",$U$33:$U$600)</f>
        <v>0</v>
      </c>
      <c r="N56" s="33"/>
      <c r="O56" s="49" t="str">
        <f>IFERROR(VLOOKUP(N56,soils2!$A$2:$C$152,2),"")</f>
        <v/>
      </c>
      <c r="P56" s="49"/>
      <c r="Q56" s="49"/>
      <c r="R56" s="34" t="str">
        <f>IFERROR(VLOOKUP(N56,soils2!$A$2:$C$152,3),"")</f>
        <v/>
      </c>
      <c r="S56" s="49"/>
      <c r="T56" s="49"/>
      <c r="U56" s="33"/>
    </row>
    <row r="57" spans="1:21" ht="20.149999999999999" customHeight="1">
      <c r="A57" s="34"/>
      <c r="B57" s="49" t="str">
        <f>IFERROR(VLOOKUP(A57,soils2!$A$2:$C$152,2),"")</f>
        <v/>
      </c>
      <c r="C57" s="49"/>
      <c r="D57" s="49"/>
      <c r="E57" s="34" t="str">
        <f>IFERROR(VLOOKUP(A57,soils2!$A$2:$C$152,3),"")</f>
        <v/>
      </c>
      <c r="F57" s="49"/>
      <c r="G57" s="49"/>
      <c r="H57" s="33"/>
      <c r="I57" s="32" t="s">
        <v>55</v>
      </c>
      <c r="J57" s="11"/>
      <c r="K57" s="33">
        <f>SUMIF($E$34:$E$57,"D",$H$34:$H$57)+SUMIF($R$33:$R$600,"D",$U$33:$U$600)</f>
        <v>0</v>
      </c>
      <c r="N57" s="33"/>
      <c r="O57" s="49" t="str">
        <f>IFERROR(VLOOKUP(N57,soils2!$A$2:$C$152,2),"")</f>
        <v/>
      </c>
      <c r="P57" s="49"/>
      <c r="Q57" s="49"/>
      <c r="R57" s="34" t="str">
        <f>IFERROR(VLOOKUP(N57,soils2!$A$2:$C$152,3),"")</f>
        <v/>
      </c>
      <c r="S57" s="49"/>
      <c r="T57" s="49"/>
      <c r="U57" s="33"/>
    </row>
    <row r="58" spans="1:21" ht="13">
      <c r="A58" s="74" t="s">
        <v>80</v>
      </c>
      <c r="B58" s="74"/>
      <c r="C58" s="74"/>
      <c r="D58" s="74"/>
      <c r="E58" s="10"/>
      <c r="F58" s="10"/>
      <c r="G58" s="10"/>
      <c r="H58" s="11"/>
      <c r="I58" s="13" t="s">
        <v>81</v>
      </c>
      <c r="J58" s="14"/>
      <c r="K58" s="37"/>
      <c r="N58" s="33"/>
      <c r="O58" s="49" t="str">
        <f>IFERROR(VLOOKUP(N58,soils2!$A$2:$C$152,2),"")</f>
        <v/>
      </c>
      <c r="P58" s="49"/>
      <c r="Q58" s="49"/>
      <c r="R58" s="34" t="str">
        <f>IFERROR(VLOOKUP(N58,soils2!$A$2:$C$152,3),"")</f>
        <v/>
      </c>
      <c r="S58" s="49"/>
      <c r="T58" s="49"/>
      <c r="U58" s="33"/>
    </row>
    <row r="59" spans="1:21" ht="13">
      <c r="A59" s="74" t="s">
        <v>82</v>
      </c>
      <c r="B59" s="74"/>
      <c r="C59" s="74"/>
      <c r="D59" s="74"/>
      <c r="E59" s="10"/>
      <c r="F59" s="10"/>
      <c r="G59" s="10"/>
      <c r="H59" s="11"/>
      <c r="I59" s="18" t="s">
        <v>83</v>
      </c>
      <c r="J59" s="19"/>
      <c r="K59" s="25">
        <f>SUM(K36:K51,K54:K57)</f>
        <v>1.68</v>
      </c>
      <c r="N59" s="33"/>
      <c r="O59" s="49" t="str">
        <f>IFERROR(VLOOKUP(N59,soils2!$A$2:$C$152,2),"")</f>
        <v/>
      </c>
      <c r="P59" s="49"/>
      <c r="Q59" s="49"/>
      <c r="R59" s="34" t="str">
        <f>IFERROR(VLOOKUP(N59,soils2!$A$2:$C$152,3),"")</f>
        <v/>
      </c>
      <c r="S59" s="49"/>
      <c r="T59" s="49"/>
      <c r="U59" s="33"/>
    </row>
    <row r="60" spans="1:21" ht="13">
      <c r="A60" s="1" t="s">
        <v>84</v>
      </c>
      <c r="B60" s="1"/>
      <c r="C60" s="1"/>
      <c r="D60" s="1"/>
      <c r="E60" s="1"/>
      <c r="F60" s="1"/>
      <c r="G60" s="1"/>
      <c r="H60" s="38" t="s">
        <v>85</v>
      </c>
      <c r="I60" s="80">
        <f ca="1">TODAY()</f>
        <v>45905</v>
      </c>
      <c r="J60" s="80"/>
      <c r="K60" s="1"/>
      <c r="N60" s="33"/>
      <c r="O60" s="49" t="str">
        <f>IFERROR(VLOOKUP(N60,soils2!$A$2:$C$152,2),"")</f>
        <v/>
      </c>
      <c r="P60" s="49"/>
      <c r="Q60" s="49"/>
      <c r="R60" s="34" t="str">
        <f>IFERROR(VLOOKUP(N60,soils2!$A$2:$C$152,3),"")</f>
        <v/>
      </c>
      <c r="S60" s="49"/>
      <c r="T60" s="49"/>
      <c r="U60" s="33"/>
    </row>
    <row r="61" spans="1:21" ht="13">
      <c r="A61" s="1"/>
      <c r="B61" s="1"/>
      <c r="C61" s="1"/>
      <c r="D61" s="1"/>
      <c r="E61" s="1"/>
      <c r="F61" s="1"/>
      <c r="G61" s="1"/>
      <c r="H61" s="38" t="s">
        <v>86</v>
      </c>
      <c r="I61" s="81">
        <f ca="1">NOW()</f>
        <v>45905.579898842596</v>
      </c>
      <c r="J61" s="81"/>
      <c r="K61" s="1"/>
      <c r="N61" s="33"/>
      <c r="O61" s="49" t="str">
        <f>IFERROR(VLOOKUP(N61,soils2!$A$2:$C$152,2),"")</f>
        <v/>
      </c>
      <c r="P61" s="49"/>
      <c r="Q61" s="49"/>
      <c r="R61" s="34" t="str">
        <f>IFERROR(VLOOKUP(N61,soils2!$A$2:$C$152,3),"")</f>
        <v/>
      </c>
      <c r="S61" s="49"/>
      <c r="T61" s="49"/>
      <c r="U61" s="33"/>
    </row>
    <row r="62" spans="1:21" ht="13">
      <c r="A62" s="1" t="s">
        <v>14</v>
      </c>
      <c r="B62" s="1"/>
      <c r="C62" s="1"/>
      <c r="D62" s="1"/>
      <c r="E62" s="1"/>
      <c r="F62" s="1" t="s">
        <v>87</v>
      </c>
      <c r="G62" s="1"/>
      <c r="H62" s="1"/>
      <c r="I62" s="1"/>
      <c r="J62" s="1"/>
      <c r="K62" s="1"/>
      <c r="N62" s="33"/>
      <c r="O62" s="49" t="str">
        <f>IFERROR(VLOOKUP(N62,soils2!$A$2:$C$152,2),"")</f>
        <v/>
      </c>
      <c r="P62" s="49"/>
      <c r="Q62" s="49"/>
      <c r="R62" s="34" t="str">
        <f>IFERROR(VLOOKUP(N62,soils2!$A$2:$C$152,3),"")</f>
        <v/>
      </c>
      <c r="S62" s="49"/>
      <c r="T62" s="49"/>
      <c r="U62" s="33"/>
    </row>
    <row r="63" spans="1:21" ht="21.5">
      <c r="A63" s="1" t="s">
        <v>88</v>
      </c>
      <c r="B63" s="19"/>
      <c r="C63" s="19"/>
      <c r="D63" s="19"/>
      <c r="E63" s="19"/>
      <c r="F63" s="1" t="s">
        <v>88</v>
      </c>
      <c r="G63" s="82"/>
      <c r="H63" s="82"/>
      <c r="I63" s="82"/>
      <c r="J63" s="82"/>
      <c r="K63" s="1"/>
      <c r="N63" s="33"/>
      <c r="O63" s="49" t="str">
        <f>IFERROR(VLOOKUP(N63,soils2!$A$2:$C$152,2),"")</f>
        <v/>
      </c>
      <c r="P63" s="49"/>
      <c r="Q63" s="49"/>
      <c r="R63" s="34" t="str">
        <f>IFERROR(VLOOKUP(N63,soils2!$A$2:$C$152,3),"")</f>
        <v/>
      </c>
      <c r="S63" s="49"/>
      <c r="T63" s="49"/>
      <c r="U63" s="33"/>
    </row>
    <row r="64" spans="1:21" ht="1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N64" s="33"/>
      <c r="O64" s="49" t="str">
        <f>IFERROR(VLOOKUP(N64,soils2!$A$2:$C$152,2),"")</f>
        <v/>
      </c>
      <c r="P64" s="49"/>
      <c r="Q64" s="49"/>
      <c r="R64" s="34" t="str">
        <f>IFERROR(VLOOKUP(N64,soils2!$A$2:$C$152,3),"")</f>
        <v/>
      </c>
      <c r="S64" s="49"/>
      <c r="T64" s="49"/>
      <c r="U64" s="33"/>
    </row>
    <row r="65" spans="1:21" ht="1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N65" s="33"/>
      <c r="O65" s="49" t="str">
        <f>IFERROR(VLOOKUP(N65,soils2!$A$2:$C$152,2),"")</f>
        <v/>
      </c>
      <c r="P65" s="49"/>
      <c r="Q65" s="49"/>
      <c r="R65" s="34" t="str">
        <f>IFERROR(VLOOKUP(N65,soils2!$A$2:$C$152,3),"")</f>
        <v/>
      </c>
      <c r="S65" s="49"/>
      <c r="T65" s="49"/>
      <c r="U65" s="33"/>
    </row>
    <row r="66" spans="1:21" ht="1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N66" s="33"/>
      <c r="O66" s="49" t="str">
        <f>IFERROR(VLOOKUP(N66,soils2!$A$2:$C$152,2),"")</f>
        <v/>
      </c>
      <c r="P66" s="49"/>
      <c r="Q66" s="49"/>
      <c r="R66" s="34" t="str">
        <f>IFERROR(VLOOKUP(N66,soils2!$A$2:$C$152,3),"")</f>
        <v/>
      </c>
      <c r="S66" s="49"/>
      <c r="T66" s="49"/>
      <c r="U66" s="33"/>
    </row>
    <row r="67" spans="1:21" ht="1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N67" s="33"/>
      <c r="O67" s="49" t="str">
        <f>IFERROR(VLOOKUP(N67,soils2!$A$2:$C$152,2),"")</f>
        <v/>
      </c>
      <c r="P67" s="49"/>
      <c r="Q67" s="49"/>
      <c r="R67" s="34" t="str">
        <f>IFERROR(VLOOKUP(N67,soils2!$A$2:$C$152,3),"")</f>
        <v/>
      </c>
      <c r="S67" s="49"/>
      <c r="T67" s="49"/>
      <c r="U67" s="33"/>
    </row>
    <row r="68" spans="1:21" ht="1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N68" s="33"/>
      <c r="O68" s="49" t="str">
        <f>IFERROR(VLOOKUP(N68,soils2!$A$2:$C$152,2),"")</f>
        <v/>
      </c>
      <c r="P68" s="49"/>
      <c r="Q68" s="49"/>
      <c r="R68" s="34" t="str">
        <f>IFERROR(VLOOKUP(N68,soils2!$A$2:$C$152,3),"")</f>
        <v/>
      </c>
      <c r="S68" s="49"/>
      <c r="T68" s="49"/>
      <c r="U68" s="33"/>
    </row>
    <row r="69" spans="1:21" ht="1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N69" s="33"/>
      <c r="O69" s="49" t="str">
        <f>IFERROR(VLOOKUP(N69,soils2!$A$2:$C$152,2),"")</f>
        <v/>
      </c>
      <c r="P69" s="49"/>
      <c r="Q69" s="49"/>
      <c r="R69" s="34" t="str">
        <f>IFERROR(VLOOKUP(N69,soils2!$A$2:$C$152,3),"")</f>
        <v/>
      </c>
      <c r="S69" s="49"/>
      <c r="T69" s="49"/>
      <c r="U69" s="33"/>
    </row>
    <row r="70" spans="1:21" ht="1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N70" s="33"/>
      <c r="O70" s="49" t="str">
        <f>IFERROR(VLOOKUP(N70,soils2!$A$2:$C$152,2),"")</f>
        <v/>
      </c>
      <c r="P70" s="49"/>
      <c r="Q70" s="49"/>
      <c r="R70" s="34" t="str">
        <f>IFERROR(VLOOKUP(N70,soils2!$A$2:$C$152,3),"")</f>
        <v/>
      </c>
      <c r="S70" s="49"/>
      <c r="T70" s="49"/>
      <c r="U70" s="33"/>
    </row>
    <row r="71" spans="1:21" ht="1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N71" s="33"/>
      <c r="O71" s="49" t="str">
        <f>IFERROR(VLOOKUP(N71,soils2!$A$2:$C$152,2),"")</f>
        <v/>
      </c>
      <c r="P71" s="49"/>
      <c r="Q71" s="49"/>
      <c r="R71" s="34" t="str">
        <f>IFERROR(VLOOKUP(N71,soils2!$A$2:$C$152,3),"")</f>
        <v/>
      </c>
      <c r="S71" s="49"/>
      <c r="T71" s="49"/>
      <c r="U71" s="33"/>
    </row>
    <row r="72" spans="1:21" ht="1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N72" s="33"/>
      <c r="O72" s="49" t="str">
        <f>IFERROR(VLOOKUP(N72,soils2!$A$2:$C$152,2),"")</f>
        <v/>
      </c>
      <c r="P72" s="49"/>
      <c r="Q72" s="49"/>
      <c r="R72" s="34" t="str">
        <f>IFERROR(VLOOKUP(N72,soils2!$A$2:$C$152,3),"")</f>
        <v/>
      </c>
      <c r="S72" s="49"/>
      <c r="T72" s="49"/>
      <c r="U72" s="33"/>
    </row>
    <row r="73" spans="1:21" ht="13">
      <c r="N73" s="33"/>
      <c r="O73" s="49" t="str">
        <f>IFERROR(VLOOKUP(N73,soils2!$A$2:$C$152,2),"")</f>
        <v/>
      </c>
      <c r="P73" s="49"/>
      <c r="Q73" s="49"/>
      <c r="R73" s="34" t="str">
        <f>IFERROR(VLOOKUP(N73,soils2!$A$2:$C$152,3),"")</f>
        <v/>
      </c>
      <c r="S73" s="49"/>
      <c r="T73" s="49"/>
      <c r="U73" s="33"/>
    </row>
    <row r="74" spans="1:21" ht="13">
      <c r="N74" s="33"/>
      <c r="O74" s="49" t="str">
        <f>IFERROR(VLOOKUP(N74,soils2!$A$2:$C$152,2),"")</f>
        <v/>
      </c>
      <c r="P74" s="49"/>
      <c r="Q74" s="49"/>
      <c r="R74" s="34" t="str">
        <f>IFERROR(VLOOKUP(N74,soils2!$A$2:$C$152,3),"")</f>
        <v/>
      </c>
      <c r="S74" s="49"/>
      <c r="T74" s="49"/>
      <c r="U74" s="33"/>
    </row>
    <row r="75" spans="1:21" ht="13">
      <c r="N75" s="33"/>
      <c r="O75" s="49" t="str">
        <f>IFERROR(VLOOKUP(N75,soils2!$A$2:$C$152,2),"")</f>
        <v/>
      </c>
      <c r="P75" s="49"/>
      <c r="Q75" s="49"/>
      <c r="R75" s="34" t="str">
        <f>IFERROR(VLOOKUP(N75,soils2!$A$2:$C$152,3),"")</f>
        <v/>
      </c>
      <c r="S75" s="49"/>
      <c r="T75" s="49"/>
      <c r="U75" s="33"/>
    </row>
    <row r="76" spans="1:21" ht="13">
      <c r="N76" s="33"/>
      <c r="O76" s="49" t="str">
        <f>IFERROR(VLOOKUP(N76,soils2!$A$2:$C$152,2),"")</f>
        <v/>
      </c>
      <c r="P76" s="49"/>
      <c r="Q76" s="49"/>
      <c r="R76" s="34" t="str">
        <f>IFERROR(VLOOKUP(N76,soils2!$A$2:$C$152,3),"")</f>
        <v/>
      </c>
      <c r="S76" s="49"/>
      <c r="T76" s="49"/>
      <c r="U76" s="33"/>
    </row>
    <row r="77" spans="1:21" ht="13">
      <c r="N77" s="33"/>
      <c r="O77" s="49" t="str">
        <f>IFERROR(VLOOKUP(N77,soils2!$A$2:$C$152,2),"")</f>
        <v/>
      </c>
      <c r="P77" s="49"/>
      <c r="Q77" s="49"/>
      <c r="R77" s="34" t="str">
        <f>IFERROR(VLOOKUP(N77,soils2!$A$2:$C$152,3),"")</f>
        <v/>
      </c>
      <c r="S77" s="49"/>
      <c r="T77" s="49"/>
      <c r="U77" s="33"/>
    </row>
    <row r="78" spans="1:21" ht="13">
      <c r="N78" s="33"/>
      <c r="O78" s="49" t="str">
        <f>IFERROR(VLOOKUP(N78,soils2!$A$2:$C$152,2),"")</f>
        <v/>
      </c>
      <c r="P78" s="49"/>
      <c r="Q78" s="49"/>
      <c r="R78" s="34" t="str">
        <f>IFERROR(VLOOKUP(N78,soils2!$A$2:$C$152,3),"")</f>
        <v/>
      </c>
      <c r="S78" s="49"/>
      <c r="T78" s="49"/>
      <c r="U78" s="33"/>
    </row>
    <row r="79" spans="1:21" ht="13">
      <c r="N79" s="33"/>
      <c r="O79" s="49" t="str">
        <f>IFERROR(VLOOKUP(N79,soils2!$A$2:$C$152,2),"")</f>
        <v/>
      </c>
      <c r="P79" s="49"/>
      <c r="Q79" s="49"/>
      <c r="R79" s="34" t="str">
        <f>IFERROR(VLOOKUP(N79,soils2!$A$2:$C$152,3),"")</f>
        <v/>
      </c>
      <c r="S79" s="49"/>
      <c r="T79" s="49"/>
      <c r="U79" s="33"/>
    </row>
    <row r="80" spans="1:21" ht="13">
      <c r="N80" s="33"/>
      <c r="O80" s="49" t="str">
        <f>IFERROR(VLOOKUP(N80,soils2!$A$2:$C$152,2),"")</f>
        <v/>
      </c>
      <c r="P80" s="49"/>
      <c r="Q80" s="49"/>
      <c r="R80" s="34" t="str">
        <f>IFERROR(VLOOKUP(N80,soils2!$A$2:$C$152,3),"")</f>
        <v/>
      </c>
      <c r="S80" s="49"/>
      <c r="T80" s="49"/>
      <c r="U80" s="33"/>
    </row>
    <row r="81" spans="14:21" ht="13">
      <c r="N81" s="33"/>
      <c r="O81" s="49" t="str">
        <f>IFERROR(VLOOKUP(N81,soils2!$A$2:$C$152,2),"")</f>
        <v/>
      </c>
      <c r="P81" s="49"/>
      <c r="Q81" s="49"/>
      <c r="R81" s="34" t="str">
        <f>IFERROR(VLOOKUP(N81,soils2!$A$2:$C$152,3),"")</f>
        <v/>
      </c>
      <c r="S81" s="49"/>
      <c r="T81" s="49"/>
      <c r="U81" s="33"/>
    </row>
    <row r="82" spans="14:21" ht="13">
      <c r="N82" s="33"/>
      <c r="O82" s="49" t="str">
        <f>IFERROR(VLOOKUP(N82,soils2!$A$2:$C$152,2),"")</f>
        <v/>
      </c>
      <c r="P82" s="49"/>
      <c r="Q82" s="49"/>
      <c r="R82" s="34" t="str">
        <f>IFERROR(VLOOKUP(N82,soils2!$A$2:$C$152,3),"")</f>
        <v/>
      </c>
      <c r="S82" s="49"/>
      <c r="T82" s="49"/>
      <c r="U82" s="33"/>
    </row>
    <row r="83" spans="14:21" ht="13">
      <c r="N83" s="33"/>
      <c r="O83" s="49" t="str">
        <f>IFERROR(VLOOKUP(N83,soils2!$A$2:$C$152,2),"")</f>
        <v/>
      </c>
      <c r="P83" s="49"/>
      <c r="Q83" s="49"/>
      <c r="R83" s="34" t="str">
        <f>IFERROR(VLOOKUP(N83,soils2!$A$2:$C$152,3),"")</f>
        <v/>
      </c>
      <c r="S83" s="49"/>
      <c r="T83" s="49"/>
      <c r="U83" s="33"/>
    </row>
    <row r="84" spans="14:21" ht="13">
      <c r="N84" s="33"/>
      <c r="O84" s="49" t="str">
        <f>IFERROR(VLOOKUP(N84,soils2!$A$2:$C$152,2),"")</f>
        <v/>
      </c>
      <c r="P84" s="49"/>
      <c r="Q84" s="49"/>
      <c r="R84" s="34" t="str">
        <f>IFERROR(VLOOKUP(N84,soils2!$A$2:$C$152,3),"")</f>
        <v/>
      </c>
      <c r="S84" s="49"/>
      <c r="T84" s="49"/>
      <c r="U84" s="33"/>
    </row>
    <row r="85" spans="14:21" ht="13">
      <c r="N85" s="33"/>
      <c r="O85" s="49" t="str">
        <f>IFERROR(VLOOKUP(N85,soils2!$A$2:$C$152,2),"")</f>
        <v/>
      </c>
      <c r="P85" s="49"/>
      <c r="Q85" s="49"/>
      <c r="R85" s="34" t="str">
        <f>IFERROR(VLOOKUP(N85,soils2!$A$2:$C$152,3),"")</f>
        <v/>
      </c>
      <c r="S85" s="49"/>
      <c r="T85" s="49"/>
      <c r="U85" s="33"/>
    </row>
    <row r="86" spans="14:21" ht="13">
      <c r="N86" s="33"/>
      <c r="O86" s="49" t="str">
        <f>IFERROR(VLOOKUP(N86,soils2!$A$2:$C$152,2),"")</f>
        <v/>
      </c>
      <c r="P86" s="49"/>
      <c r="Q86" s="49"/>
      <c r="R86" s="34" t="str">
        <f>IFERROR(VLOOKUP(N86,soils2!$A$2:$C$152,3),"")</f>
        <v/>
      </c>
      <c r="S86" s="49"/>
      <c r="T86" s="49"/>
      <c r="U86" s="33"/>
    </row>
    <row r="87" spans="14:21" ht="13">
      <c r="N87" s="33"/>
      <c r="O87" s="49" t="str">
        <f>IFERROR(VLOOKUP(N87,soils2!$A$2:$C$152,2),"")</f>
        <v/>
      </c>
      <c r="P87" s="49"/>
      <c r="Q87" s="49"/>
      <c r="R87" s="34" t="str">
        <f>IFERROR(VLOOKUP(N87,soils2!$A$2:$C$152,3),"")</f>
        <v/>
      </c>
      <c r="S87" s="49"/>
      <c r="T87" s="49"/>
      <c r="U87" s="33"/>
    </row>
    <row r="88" spans="14:21" ht="13">
      <c r="N88" s="33"/>
      <c r="O88" s="49" t="str">
        <f>IFERROR(VLOOKUP(N88,soils2!$A$2:$C$152,2),"")</f>
        <v/>
      </c>
      <c r="P88" s="49"/>
      <c r="Q88" s="49"/>
      <c r="R88" s="34" t="str">
        <f>IFERROR(VLOOKUP(N88,soils2!$A$2:$C$152,3),"")</f>
        <v/>
      </c>
      <c r="S88" s="49"/>
      <c r="T88" s="49"/>
      <c r="U88" s="33"/>
    </row>
    <row r="89" spans="14:21" ht="13">
      <c r="N89" s="33"/>
      <c r="O89" s="49" t="str">
        <f>IFERROR(VLOOKUP(N89,soils2!$A$2:$C$152,2),"")</f>
        <v/>
      </c>
      <c r="P89" s="49"/>
      <c r="Q89" s="49"/>
      <c r="R89" s="34" t="str">
        <f>IFERROR(VLOOKUP(N89,soils2!$A$2:$C$152,3),"")</f>
        <v/>
      </c>
      <c r="S89" s="49"/>
      <c r="T89" s="49"/>
      <c r="U89" s="33"/>
    </row>
    <row r="90" spans="14:21" ht="13">
      <c r="N90" s="33"/>
      <c r="O90" s="49" t="str">
        <f>IFERROR(VLOOKUP(N90,soils2!$A$2:$C$152,2),"")</f>
        <v/>
      </c>
      <c r="P90" s="49"/>
      <c r="Q90" s="49"/>
      <c r="R90" s="34" t="str">
        <f>IFERROR(VLOOKUP(N90,soils2!$A$2:$C$152,3),"")</f>
        <v/>
      </c>
      <c r="S90" s="49"/>
      <c r="T90" s="49"/>
      <c r="U90" s="33"/>
    </row>
    <row r="91" spans="14:21" ht="13">
      <c r="N91" s="33"/>
      <c r="O91" s="49" t="str">
        <f>IFERROR(VLOOKUP(N91,soils2!$A$2:$C$152,2),"")</f>
        <v/>
      </c>
      <c r="P91" s="49"/>
      <c r="Q91" s="49"/>
      <c r="R91" s="34" t="str">
        <f>IFERROR(VLOOKUP(N91,soils2!$A$2:$C$152,3),"")</f>
        <v/>
      </c>
      <c r="S91" s="49"/>
      <c r="T91" s="49"/>
      <c r="U91" s="33"/>
    </row>
    <row r="92" spans="14:21" ht="13">
      <c r="N92" s="33"/>
      <c r="O92" s="49" t="str">
        <f>IFERROR(VLOOKUP(N92,soils2!$A$2:$C$152,2),"")</f>
        <v/>
      </c>
      <c r="P92" s="49"/>
      <c r="Q92" s="49"/>
      <c r="R92" s="34" t="str">
        <f>IFERROR(VLOOKUP(N92,soils2!$A$2:$C$152,3),"")</f>
        <v/>
      </c>
      <c r="S92" s="49"/>
      <c r="T92" s="49"/>
      <c r="U92" s="33"/>
    </row>
    <row r="93" spans="14:21" ht="13">
      <c r="N93" s="33"/>
      <c r="O93" s="49" t="str">
        <f>IFERROR(VLOOKUP(N93,soils2!$A$2:$C$152,2),"")</f>
        <v/>
      </c>
      <c r="P93" s="49"/>
      <c r="Q93" s="49"/>
      <c r="R93" s="34" t="str">
        <f>IFERROR(VLOOKUP(N93,soils2!$A$2:$C$152,3),"")</f>
        <v/>
      </c>
      <c r="S93" s="49"/>
      <c r="T93" s="49"/>
      <c r="U93" s="33"/>
    </row>
    <row r="94" spans="14:21" ht="13">
      <c r="N94" s="33"/>
      <c r="O94" s="49" t="str">
        <f>IFERROR(VLOOKUP(N94,soils2!$A$2:$C$152,2),"")</f>
        <v/>
      </c>
      <c r="P94" s="49"/>
      <c r="Q94" s="49"/>
      <c r="R94" s="34" t="str">
        <f>IFERROR(VLOOKUP(N94,soils2!$A$2:$C$152,3),"")</f>
        <v/>
      </c>
      <c r="S94" s="49"/>
      <c r="T94" s="49"/>
      <c r="U94" s="33"/>
    </row>
    <row r="95" spans="14:21" ht="13">
      <c r="N95" s="33"/>
      <c r="O95" s="49" t="str">
        <f>IFERROR(VLOOKUP(N95,soils2!$A$2:$C$152,2),"")</f>
        <v/>
      </c>
      <c r="P95" s="49"/>
      <c r="Q95" s="49"/>
      <c r="R95" s="34" t="str">
        <f>IFERROR(VLOOKUP(N95,soils2!$A$2:$C$152,3),"")</f>
        <v/>
      </c>
      <c r="S95" s="49"/>
      <c r="T95" s="49"/>
      <c r="U95" s="33"/>
    </row>
    <row r="96" spans="14:21" ht="13">
      <c r="N96" s="33"/>
      <c r="O96" s="49" t="str">
        <f>IFERROR(VLOOKUP(N96,soils2!$A$2:$C$152,2),"")</f>
        <v/>
      </c>
      <c r="P96" s="49"/>
      <c r="Q96" s="49"/>
      <c r="R96" s="34" t="str">
        <f>IFERROR(VLOOKUP(N96,soils2!$A$2:$C$152,3),"")</f>
        <v/>
      </c>
      <c r="S96" s="49"/>
      <c r="T96" s="49"/>
      <c r="U96" s="33"/>
    </row>
    <row r="97" spans="14:21" ht="13">
      <c r="N97" s="33"/>
      <c r="O97" s="49" t="str">
        <f>IFERROR(VLOOKUP(N97,soils2!$A$2:$C$152,2),"")</f>
        <v/>
      </c>
      <c r="P97" s="49"/>
      <c r="Q97" s="49"/>
      <c r="R97" s="34" t="str">
        <f>IFERROR(VLOOKUP(N97,soils2!$A$2:$C$152,3),"")</f>
        <v/>
      </c>
      <c r="S97" s="49"/>
      <c r="T97" s="49"/>
      <c r="U97" s="33"/>
    </row>
    <row r="98" spans="14:21" ht="13">
      <c r="N98" s="33"/>
      <c r="O98" s="49" t="str">
        <f>IFERROR(VLOOKUP(N98,soils2!$A$2:$C$152,2),"")</f>
        <v/>
      </c>
      <c r="P98" s="49"/>
      <c r="Q98" s="49"/>
      <c r="R98" s="34" t="str">
        <f>IFERROR(VLOOKUP(N98,soils2!$A$2:$C$152,3),"")</f>
        <v/>
      </c>
      <c r="S98" s="49"/>
      <c r="T98" s="49"/>
      <c r="U98" s="33"/>
    </row>
    <row r="99" spans="14:21" ht="13">
      <c r="N99" s="33"/>
      <c r="O99" s="49" t="str">
        <f>IFERROR(VLOOKUP(N99,soils2!$A$2:$C$152,2),"")</f>
        <v/>
      </c>
      <c r="P99" s="49"/>
      <c r="Q99" s="49"/>
      <c r="R99" s="34" t="str">
        <f>IFERROR(VLOOKUP(N99,soils2!$A$2:$C$152,3),"")</f>
        <v/>
      </c>
      <c r="S99" s="49"/>
      <c r="T99" s="49"/>
      <c r="U99" s="33"/>
    </row>
    <row r="100" spans="14:21" ht="13">
      <c r="N100" s="33"/>
      <c r="O100" s="49" t="str">
        <f>IFERROR(VLOOKUP(N100,soils2!$A$2:$C$152,2),"")</f>
        <v/>
      </c>
      <c r="P100" s="49"/>
      <c r="Q100" s="49"/>
      <c r="R100" s="34" t="str">
        <f>IFERROR(VLOOKUP(N100,soils2!$A$2:$C$152,3),"")</f>
        <v/>
      </c>
      <c r="S100" s="49"/>
      <c r="T100" s="49"/>
      <c r="U100" s="33"/>
    </row>
    <row r="101" spans="14:21" ht="13">
      <c r="N101" s="33"/>
      <c r="O101" s="49" t="str">
        <f>IFERROR(VLOOKUP(N101,soils2!$A$2:$C$152,2),"")</f>
        <v/>
      </c>
      <c r="P101" s="49"/>
      <c r="Q101" s="49"/>
      <c r="R101" s="34" t="str">
        <f>IFERROR(VLOOKUP(N101,soils2!$A$2:$C$152,3),"")</f>
        <v/>
      </c>
      <c r="S101" s="49"/>
      <c r="T101" s="49"/>
      <c r="U101" s="33"/>
    </row>
    <row r="102" spans="14:21" ht="13">
      <c r="N102" s="33"/>
      <c r="O102" s="49" t="str">
        <f>IFERROR(VLOOKUP(N102,soils2!$A$2:$C$152,2),"")</f>
        <v/>
      </c>
      <c r="P102" s="49"/>
      <c r="Q102" s="49"/>
      <c r="R102" s="34" t="str">
        <f>IFERROR(VLOOKUP(N102,soils2!$A$2:$C$152,3),"")</f>
        <v/>
      </c>
      <c r="S102" s="49"/>
      <c r="T102" s="49"/>
      <c r="U102" s="33"/>
    </row>
    <row r="103" spans="14:21" ht="13">
      <c r="N103" s="33"/>
      <c r="O103" s="49" t="str">
        <f>IFERROR(VLOOKUP(N103,soils2!$A$2:$C$152,2),"")</f>
        <v/>
      </c>
      <c r="P103" s="49"/>
      <c r="Q103" s="49"/>
      <c r="R103" s="34" t="str">
        <f>IFERROR(VLOOKUP(N103,soils2!$A$2:$C$152,3),"")</f>
        <v/>
      </c>
      <c r="S103" s="49"/>
      <c r="T103" s="49"/>
      <c r="U103" s="33"/>
    </row>
    <row r="104" spans="14:21" ht="13">
      <c r="N104" s="33"/>
      <c r="O104" s="49" t="str">
        <f>IFERROR(VLOOKUP(N104,soils2!$A$2:$C$152,2),"")</f>
        <v/>
      </c>
      <c r="P104" s="49"/>
      <c r="Q104" s="49"/>
      <c r="R104" s="34" t="str">
        <f>IFERROR(VLOOKUP(N104,soils2!$A$2:$C$152,3),"")</f>
        <v/>
      </c>
      <c r="S104" s="49"/>
      <c r="T104" s="49"/>
      <c r="U104" s="33"/>
    </row>
    <row r="105" spans="14:21" ht="13">
      <c r="N105" s="33"/>
      <c r="O105" s="49" t="str">
        <f>IFERROR(VLOOKUP(N105,soils2!$A$2:$C$152,2),"")</f>
        <v/>
      </c>
      <c r="P105" s="49"/>
      <c r="Q105" s="49"/>
      <c r="R105" s="34" t="str">
        <f>IFERROR(VLOOKUP(N105,soils2!$A$2:$C$152,3),"")</f>
        <v/>
      </c>
      <c r="S105" s="49"/>
      <c r="T105" s="49"/>
      <c r="U105" s="33"/>
    </row>
    <row r="106" spans="14:21" ht="13">
      <c r="N106" s="33"/>
      <c r="O106" s="49" t="str">
        <f>IFERROR(VLOOKUP(N106,soils2!$A$2:$C$152,2),"")</f>
        <v/>
      </c>
      <c r="P106" s="49"/>
      <c r="Q106" s="49"/>
      <c r="R106" s="34" t="str">
        <f>IFERROR(VLOOKUP(N106,soils2!$A$2:$C$152,3),"")</f>
        <v/>
      </c>
      <c r="S106" s="49"/>
      <c r="T106" s="49"/>
      <c r="U106" s="33"/>
    </row>
    <row r="107" spans="14:21" ht="13">
      <c r="N107" s="33"/>
      <c r="O107" s="49" t="str">
        <f>IFERROR(VLOOKUP(N107,soils2!$A$2:$C$152,2),"")</f>
        <v/>
      </c>
      <c r="P107" s="49"/>
      <c r="Q107" s="49"/>
      <c r="R107" s="34" t="str">
        <f>IFERROR(VLOOKUP(N107,soils2!$A$2:$C$152,3),"")</f>
        <v/>
      </c>
      <c r="S107" s="49"/>
      <c r="T107" s="49"/>
      <c r="U107" s="33"/>
    </row>
    <row r="108" spans="14:21" ht="13">
      <c r="N108" s="33"/>
      <c r="O108" s="49" t="str">
        <f>IFERROR(VLOOKUP(N108,soils2!$A$2:$C$152,2),"")</f>
        <v/>
      </c>
      <c r="P108" s="49"/>
      <c r="Q108" s="49"/>
      <c r="R108" s="34" t="str">
        <f>IFERROR(VLOOKUP(N108,soils2!$A$2:$C$152,3),"")</f>
        <v/>
      </c>
      <c r="S108" s="49"/>
      <c r="T108" s="49"/>
      <c r="U108" s="33"/>
    </row>
    <row r="109" spans="14:21" ht="13">
      <c r="N109" s="33"/>
      <c r="O109" s="49" t="str">
        <f>IFERROR(VLOOKUP(N109,soils2!$A$2:$C$152,2),"")</f>
        <v/>
      </c>
      <c r="P109" s="49"/>
      <c r="Q109" s="49"/>
      <c r="R109" s="34" t="str">
        <f>IFERROR(VLOOKUP(N109,soils2!$A$2:$C$152,3),"")</f>
        <v/>
      </c>
      <c r="S109" s="49"/>
      <c r="T109" s="49"/>
      <c r="U109" s="33"/>
    </row>
    <row r="110" spans="14:21" ht="13">
      <c r="N110" s="33"/>
      <c r="O110" s="49" t="str">
        <f>IFERROR(VLOOKUP(N110,soils2!$A$2:$C$152,2),"")</f>
        <v/>
      </c>
      <c r="P110" s="49"/>
      <c r="Q110" s="49"/>
      <c r="R110" s="34" t="str">
        <f>IFERROR(VLOOKUP(N110,soils2!$A$2:$C$152,3),"")</f>
        <v/>
      </c>
      <c r="S110" s="49"/>
      <c r="T110" s="49"/>
      <c r="U110" s="33"/>
    </row>
    <row r="111" spans="14:21" ht="13">
      <c r="N111" s="33"/>
      <c r="O111" s="49" t="str">
        <f>IFERROR(VLOOKUP(N111,soils2!$A$2:$C$152,2),"")</f>
        <v/>
      </c>
      <c r="P111" s="49"/>
      <c r="Q111" s="49"/>
      <c r="R111" s="34" t="str">
        <f>IFERROR(VLOOKUP(N111,soils2!$A$2:$C$152,3),"")</f>
        <v/>
      </c>
      <c r="S111" s="49"/>
      <c r="T111" s="49"/>
      <c r="U111" s="33"/>
    </row>
    <row r="112" spans="14:21" ht="13">
      <c r="N112" s="33"/>
      <c r="O112" s="49" t="str">
        <f>IFERROR(VLOOKUP(N112,soils2!$A$2:$C$152,2),"")</f>
        <v/>
      </c>
      <c r="P112" s="49"/>
      <c r="Q112" s="49"/>
      <c r="R112" s="34" t="str">
        <f>IFERROR(VLOOKUP(N112,soils2!$A$2:$C$152,3),"")</f>
        <v/>
      </c>
      <c r="S112" s="49"/>
      <c r="T112" s="49"/>
      <c r="U112" s="33"/>
    </row>
    <row r="113" spans="14:21" ht="13">
      <c r="N113" s="33"/>
      <c r="O113" s="49" t="str">
        <f>IFERROR(VLOOKUP(N113,soils2!$A$2:$C$152,2),"")</f>
        <v/>
      </c>
      <c r="P113" s="49"/>
      <c r="Q113" s="49"/>
      <c r="R113" s="34" t="str">
        <f>IFERROR(VLOOKUP(N113,soils2!$A$2:$C$152,3),"")</f>
        <v/>
      </c>
      <c r="S113" s="49"/>
      <c r="T113" s="49"/>
      <c r="U113" s="33"/>
    </row>
    <row r="114" spans="14:21" ht="13">
      <c r="N114" s="33"/>
      <c r="O114" s="49" t="str">
        <f>IFERROR(VLOOKUP(N114,soils2!$A$2:$C$152,2),"")</f>
        <v/>
      </c>
      <c r="P114" s="49"/>
      <c r="Q114" s="49"/>
      <c r="R114" s="34" t="str">
        <f>IFERROR(VLOOKUP(N114,soils2!$A$2:$C$152,3),"")</f>
        <v/>
      </c>
      <c r="S114" s="49"/>
      <c r="T114" s="49"/>
      <c r="U114" s="33"/>
    </row>
    <row r="115" spans="14:21" ht="13">
      <c r="N115" s="33"/>
      <c r="O115" s="49" t="str">
        <f>IFERROR(VLOOKUP(N115,soils2!$A$2:$C$152,2),"")</f>
        <v/>
      </c>
      <c r="P115" s="49"/>
      <c r="Q115" s="49"/>
      <c r="R115" s="34" t="str">
        <f>IFERROR(VLOOKUP(N115,soils2!$A$2:$C$152,3),"")</f>
        <v/>
      </c>
      <c r="S115" s="49"/>
      <c r="T115" s="49"/>
      <c r="U115" s="33"/>
    </row>
    <row r="116" spans="14:21" ht="13">
      <c r="N116" s="33"/>
      <c r="O116" s="49" t="str">
        <f>IFERROR(VLOOKUP(N116,soils2!$A$2:$C$152,2),"")</f>
        <v/>
      </c>
      <c r="P116" s="49"/>
      <c r="Q116" s="49"/>
      <c r="R116" s="34" t="str">
        <f>IFERROR(VLOOKUP(N116,soils2!$A$2:$C$152,3),"")</f>
        <v/>
      </c>
      <c r="S116" s="49"/>
      <c r="T116" s="49"/>
      <c r="U116" s="33"/>
    </row>
    <row r="117" spans="14:21" ht="13">
      <c r="N117" s="33"/>
      <c r="O117" s="49" t="str">
        <f>IFERROR(VLOOKUP(N117,soils2!$A$2:$C$152,2),"")</f>
        <v/>
      </c>
      <c r="P117" s="49"/>
      <c r="Q117" s="49"/>
      <c r="R117" s="34" t="str">
        <f>IFERROR(VLOOKUP(N117,soils2!$A$2:$C$152,3),"")</f>
        <v/>
      </c>
      <c r="S117" s="49"/>
      <c r="T117" s="49"/>
      <c r="U117" s="33"/>
    </row>
    <row r="118" spans="14:21" ht="13">
      <c r="N118" s="33"/>
      <c r="O118" s="49" t="str">
        <f>IFERROR(VLOOKUP(N118,soils2!$A$2:$C$152,2),"")</f>
        <v/>
      </c>
      <c r="P118" s="49"/>
      <c r="Q118" s="49"/>
      <c r="R118" s="34" t="str">
        <f>IFERROR(VLOOKUP(N118,soils2!$A$2:$C$152,3),"")</f>
        <v/>
      </c>
      <c r="S118" s="49"/>
      <c r="T118" s="49"/>
      <c r="U118" s="33"/>
    </row>
    <row r="119" spans="14:21" ht="13">
      <c r="N119" s="33"/>
      <c r="O119" s="49" t="str">
        <f>IFERROR(VLOOKUP(N119,soils2!$A$2:$C$152,2),"")</f>
        <v/>
      </c>
      <c r="P119" s="49"/>
      <c r="Q119" s="49"/>
      <c r="R119" s="34" t="str">
        <f>IFERROR(VLOOKUP(N119,soils2!$A$2:$C$152,3),"")</f>
        <v/>
      </c>
      <c r="S119" s="49"/>
      <c r="T119" s="49"/>
      <c r="U119" s="33"/>
    </row>
    <row r="120" spans="14:21" ht="13">
      <c r="N120" s="33"/>
      <c r="O120" s="49" t="str">
        <f>IFERROR(VLOOKUP(N120,soils2!$A$2:$C$152,2),"")</f>
        <v/>
      </c>
      <c r="P120" s="49"/>
      <c r="Q120" s="49"/>
      <c r="R120" s="34" t="str">
        <f>IFERROR(VLOOKUP(N120,soils2!$A$2:$C$152,3),"")</f>
        <v/>
      </c>
      <c r="S120" s="49"/>
      <c r="T120" s="49"/>
      <c r="U120" s="33"/>
    </row>
    <row r="121" spans="14:21" ht="13">
      <c r="N121" s="33"/>
      <c r="O121" s="49" t="str">
        <f>IFERROR(VLOOKUP(N121,soils2!$A$2:$C$152,2),"")</f>
        <v/>
      </c>
      <c r="P121" s="49"/>
      <c r="Q121" s="49"/>
      <c r="R121" s="34" t="str">
        <f>IFERROR(VLOOKUP(N121,soils2!$A$2:$C$152,3),"")</f>
        <v/>
      </c>
      <c r="S121" s="49"/>
      <c r="T121" s="49"/>
      <c r="U121" s="33"/>
    </row>
    <row r="122" spans="14:21" ht="13">
      <c r="N122" s="33"/>
      <c r="O122" s="49" t="str">
        <f>IFERROR(VLOOKUP(N122,soils2!$A$2:$C$152,2),"")</f>
        <v/>
      </c>
      <c r="P122" s="49"/>
      <c r="Q122" s="49"/>
      <c r="R122" s="34" t="str">
        <f>IFERROR(VLOOKUP(N122,soils2!$A$2:$C$152,3),"")</f>
        <v/>
      </c>
      <c r="S122" s="49"/>
      <c r="T122" s="49"/>
      <c r="U122" s="33"/>
    </row>
    <row r="123" spans="14:21" ht="13">
      <c r="N123" s="33"/>
      <c r="O123" s="49" t="str">
        <f>IFERROR(VLOOKUP(N123,soils2!$A$2:$C$152,2),"")</f>
        <v/>
      </c>
      <c r="P123" s="49"/>
      <c r="Q123" s="49"/>
      <c r="R123" s="34" t="str">
        <f>IFERROR(VLOOKUP(N123,soils2!$A$2:$C$152,3),"")</f>
        <v/>
      </c>
      <c r="S123" s="49"/>
      <c r="T123" s="49"/>
      <c r="U123" s="33"/>
    </row>
    <row r="124" spans="14:21" ht="13">
      <c r="N124" s="33"/>
      <c r="O124" s="49" t="str">
        <f>IFERROR(VLOOKUP(N124,soils2!$A$2:$C$152,2),"")</f>
        <v/>
      </c>
      <c r="P124" s="49"/>
      <c r="Q124" s="49"/>
      <c r="R124" s="34" t="str">
        <f>IFERROR(VLOOKUP(N124,soils2!$A$2:$C$152,3),"")</f>
        <v/>
      </c>
      <c r="S124" s="49"/>
      <c r="T124" s="49"/>
      <c r="U124" s="33"/>
    </row>
    <row r="125" spans="14:21" ht="13">
      <c r="N125" s="33"/>
      <c r="O125" s="49" t="str">
        <f>IFERROR(VLOOKUP(N125,soils2!$A$2:$C$152,2),"")</f>
        <v/>
      </c>
      <c r="P125" s="49"/>
      <c r="Q125" s="49"/>
      <c r="R125" s="34" t="str">
        <f>IFERROR(VLOOKUP(N125,soils2!$A$2:$C$152,3),"")</f>
        <v/>
      </c>
      <c r="S125" s="49"/>
      <c r="T125" s="49"/>
      <c r="U125" s="33"/>
    </row>
    <row r="126" spans="14:21" ht="13">
      <c r="N126" s="33"/>
      <c r="O126" s="49" t="str">
        <f>IFERROR(VLOOKUP(N126,soils2!$A$2:$C$152,2),"")</f>
        <v/>
      </c>
      <c r="P126" s="49"/>
      <c r="Q126" s="49"/>
      <c r="R126" s="34" t="str">
        <f>IFERROR(VLOOKUP(N126,soils2!$A$2:$C$152,3),"")</f>
        <v/>
      </c>
      <c r="S126" s="49"/>
      <c r="T126" s="49"/>
      <c r="U126" s="33"/>
    </row>
    <row r="127" spans="14:21" ht="13">
      <c r="N127" s="33"/>
      <c r="O127" s="49" t="str">
        <f>IFERROR(VLOOKUP(N127,soils2!$A$2:$C$152,2),"")</f>
        <v/>
      </c>
      <c r="P127" s="49"/>
      <c r="Q127" s="49"/>
      <c r="R127" s="34" t="str">
        <f>IFERROR(VLOOKUP(N127,soils2!$A$2:$C$152,3),"")</f>
        <v/>
      </c>
      <c r="S127" s="49"/>
      <c r="T127" s="49"/>
      <c r="U127" s="33"/>
    </row>
    <row r="128" spans="14:21" ht="13">
      <c r="N128" s="33"/>
      <c r="O128" s="49" t="str">
        <f>IFERROR(VLOOKUP(N128,soils2!$A$2:$C$152,2),"")</f>
        <v/>
      </c>
      <c r="P128" s="49"/>
      <c r="Q128" s="49"/>
      <c r="R128" s="34" t="str">
        <f>IFERROR(VLOOKUP(N128,soils2!$A$2:$C$152,3),"")</f>
        <v/>
      </c>
      <c r="S128" s="49"/>
      <c r="T128" s="49"/>
      <c r="U128" s="33"/>
    </row>
    <row r="129" spans="14:21" ht="13">
      <c r="N129" s="33"/>
      <c r="O129" s="49" t="str">
        <f>IFERROR(VLOOKUP(N129,soils2!$A$2:$C$152,2),"")</f>
        <v/>
      </c>
      <c r="P129" s="49"/>
      <c r="Q129" s="49"/>
      <c r="R129" s="34" t="str">
        <f>IFERROR(VLOOKUP(N129,soils2!$A$2:$C$152,3),"")</f>
        <v/>
      </c>
      <c r="S129" s="49"/>
      <c r="T129" s="49"/>
      <c r="U129" s="33"/>
    </row>
    <row r="130" spans="14:21" ht="13">
      <c r="N130" s="33"/>
      <c r="O130" s="49" t="str">
        <f>IFERROR(VLOOKUP(N130,soils2!$A$2:$C$152,2),"")</f>
        <v/>
      </c>
      <c r="P130" s="49"/>
      <c r="Q130" s="49"/>
      <c r="R130" s="34" t="str">
        <f>IFERROR(VLOOKUP(N130,soils2!$A$2:$C$152,3),"")</f>
        <v/>
      </c>
      <c r="S130" s="49"/>
      <c r="T130" s="49"/>
      <c r="U130" s="33"/>
    </row>
    <row r="131" spans="14:21" ht="13">
      <c r="N131" s="33"/>
      <c r="O131" s="49" t="str">
        <f>IFERROR(VLOOKUP(N131,soils2!$A$2:$C$152,2),"")</f>
        <v/>
      </c>
      <c r="P131" s="49"/>
      <c r="Q131" s="49"/>
      <c r="R131" s="34" t="str">
        <f>IFERROR(VLOOKUP(N131,soils2!$A$2:$C$152,3),"")</f>
        <v/>
      </c>
      <c r="S131" s="49"/>
      <c r="T131" s="49"/>
      <c r="U131" s="33"/>
    </row>
    <row r="132" spans="14:21" ht="13">
      <c r="N132" s="33"/>
      <c r="O132" s="49" t="str">
        <f>IFERROR(VLOOKUP(N132,soils2!$A$2:$C$152,2),"")</f>
        <v/>
      </c>
      <c r="P132" s="49"/>
      <c r="Q132" s="49"/>
      <c r="R132" s="34" t="str">
        <f>IFERROR(VLOOKUP(N132,soils2!$A$2:$C$152,3),"")</f>
        <v/>
      </c>
      <c r="S132" s="49"/>
      <c r="T132" s="49"/>
      <c r="U132" s="33"/>
    </row>
    <row r="133" spans="14:21" ht="13">
      <c r="N133" s="33"/>
      <c r="O133" s="49" t="str">
        <f>IFERROR(VLOOKUP(N133,soils2!$A$2:$C$152,2),"")</f>
        <v/>
      </c>
      <c r="P133" s="49"/>
      <c r="Q133" s="49"/>
      <c r="R133" s="34" t="str">
        <f>IFERROR(VLOOKUP(N133,soils2!$A$2:$C$152,3),"")</f>
        <v/>
      </c>
      <c r="S133" s="49"/>
      <c r="T133" s="49"/>
      <c r="U133" s="33"/>
    </row>
    <row r="134" spans="14:21" ht="13">
      <c r="N134" s="33"/>
      <c r="O134" s="49" t="str">
        <f>IFERROR(VLOOKUP(N134,soils2!$A$2:$C$152,2),"")</f>
        <v/>
      </c>
      <c r="P134" s="49"/>
      <c r="Q134" s="49"/>
      <c r="R134" s="34" t="str">
        <f>IFERROR(VLOOKUP(N134,soils2!$A$2:$C$152,3),"")</f>
        <v/>
      </c>
      <c r="S134" s="49"/>
      <c r="T134" s="49"/>
      <c r="U134" s="33"/>
    </row>
    <row r="135" spans="14:21" ht="13">
      <c r="N135" s="33"/>
      <c r="O135" s="49" t="str">
        <f>IFERROR(VLOOKUP(N135,soils2!$A$2:$C$152,2),"")</f>
        <v/>
      </c>
      <c r="P135" s="49"/>
      <c r="Q135" s="49"/>
      <c r="R135" s="34" t="str">
        <f>IFERROR(VLOOKUP(N135,soils2!$A$2:$C$152,3),"")</f>
        <v/>
      </c>
      <c r="S135" s="49"/>
      <c r="T135" s="49"/>
      <c r="U135" s="33"/>
    </row>
    <row r="136" spans="14:21" ht="13">
      <c r="N136" s="33"/>
      <c r="O136" s="49" t="str">
        <f>IFERROR(VLOOKUP(N136,soils2!$A$2:$C$152,2),"")</f>
        <v/>
      </c>
      <c r="P136" s="49"/>
      <c r="Q136" s="49"/>
      <c r="R136" s="34" t="str">
        <f>IFERROR(VLOOKUP(N136,soils2!$A$2:$C$152,3),"")</f>
        <v/>
      </c>
      <c r="S136" s="49"/>
      <c r="T136" s="49"/>
      <c r="U136" s="33"/>
    </row>
    <row r="137" spans="14:21" ht="13">
      <c r="N137" s="33"/>
      <c r="O137" s="49" t="str">
        <f>IFERROR(VLOOKUP(N137,soils2!$A$2:$C$152,2),"")</f>
        <v/>
      </c>
      <c r="P137" s="49"/>
      <c r="Q137" s="49"/>
      <c r="R137" s="34" t="str">
        <f>IFERROR(VLOOKUP(N137,soils2!$A$2:$C$152,3),"")</f>
        <v/>
      </c>
      <c r="S137" s="49"/>
      <c r="T137" s="49"/>
      <c r="U137" s="33"/>
    </row>
    <row r="138" spans="14:21" ht="13">
      <c r="N138" s="33"/>
      <c r="O138" s="49" t="str">
        <f>IFERROR(VLOOKUP(N138,soils2!$A$2:$C$152,2),"")</f>
        <v/>
      </c>
      <c r="P138" s="49"/>
      <c r="Q138" s="49"/>
      <c r="R138" s="34" t="str">
        <f>IFERROR(VLOOKUP(N138,soils2!$A$2:$C$152,3),"")</f>
        <v/>
      </c>
      <c r="S138" s="49"/>
      <c r="T138" s="49"/>
      <c r="U138" s="33"/>
    </row>
    <row r="139" spans="14:21" ht="13">
      <c r="N139" s="33"/>
      <c r="O139" s="49" t="str">
        <f>IFERROR(VLOOKUP(N139,soils2!$A$2:$C$152,2),"")</f>
        <v/>
      </c>
      <c r="P139" s="49"/>
      <c r="Q139" s="49"/>
      <c r="R139" s="34" t="str">
        <f>IFERROR(VLOOKUP(N139,soils2!$A$2:$C$152,3),"")</f>
        <v/>
      </c>
      <c r="S139" s="49"/>
      <c r="T139" s="49"/>
      <c r="U139" s="33"/>
    </row>
    <row r="140" spans="14:21" ht="13">
      <c r="N140" s="33"/>
      <c r="O140" s="49" t="str">
        <f>IFERROR(VLOOKUP(N140,soils2!$A$2:$C$152,2),"")</f>
        <v/>
      </c>
      <c r="P140" s="49"/>
      <c r="Q140" s="49"/>
      <c r="R140" s="34" t="str">
        <f>IFERROR(VLOOKUP(N140,soils2!$A$2:$C$152,3),"")</f>
        <v/>
      </c>
      <c r="S140" s="49"/>
      <c r="T140" s="49"/>
      <c r="U140" s="33"/>
    </row>
    <row r="141" spans="14:21" ht="13">
      <c r="N141" s="33"/>
      <c r="O141" s="49" t="str">
        <f>IFERROR(VLOOKUP(N141,soils2!$A$2:$C$152,2),"")</f>
        <v/>
      </c>
      <c r="P141" s="49"/>
      <c r="Q141" s="49"/>
      <c r="R141" s="34" t="str">
        <f>IFERROR(VLOOKUP(N141,soils2!$A$2:$C$152,3),"")</f>
        <v/>
      </c>
      <c r="S141" s="49"/>
      <c r="T141" s="49"/>
      <c r="U141" s="33"/>
    </row>
    <row r="142" spans="14:21" ht="13">
      <c r="N142" s="33"/>
      <c r="O142" s="49" t="str">
        <f>IFERROR(VLOOKUP(N142,soils2!$A$2:$C$152,2),"")</f>
        <v/>
      </c>
      <c r="P142" s="49"/>
      <c r="Q142" s="49"/>
      <c r="R142" s="34" t="str">
        <f>IFERROR(VLOOKUP(N142,soils2!$A$2:$C$152,3),"")</f>
        <v/>
      </c>
      <c r="S142" s="49"/>
      <c r="T142" s="49"/>
      <c r="U142" s="33"/>
    </row>
    <row r="143" spans="14:21" ht="13">
      <c r="N143" s="33"/>
      <c r="O143" s="49" t="str">
        <f>IFERROR(VLOOKUP(N143,soils2!$A$2:$C$152,2),"")</f>
        <v/>
      </c>
      <c r="P143" s="49"/>
      <c r="Q143" s="49"/>
      <c r="R143" s="34" t="str">
        <f>IFERROR(VLOOKUP(N143,soils2!$A$2:$C$152,3),"")</f>
        <v/>
      </c>
      <c r="S143" s="49"/>
      <c r="T143" s="49"/>
      <c r="U143" s="33"/>
    </row>
    <row r="144" spans="14:21" ht="13">
      <c r="N144" s="33"/>
      <c r="O144" s="49" t="str">
        <f>IFERROR(VLOOKUP(N144,soils2!$A$2:$C$152,2),"")</f>
        <v/>
      </c>
      <c r="P144" s="49"/>
      <c r="Q144" s="49"/>
      <c r="R144" s="34" t="str">
        <f>IFERROR(VLOOKUP(N144,soils2!$A$2:$C$152,3),"")</f>
        <v/>
      </c>
      <c r="S144" s="49"/>
      <c r="T144" s="49"/>
      <c r="U144" s="33"/>
    </row>
    <row r="145" spans="14:21" ht="13">
      <c r="N145" s="33"/>
      <c r="O145" s="49" t="str">
        <f>IFERROR(VLOOKUP(N145,soils2!$A$2:$C$152,2),"")</f>
        <v/>
      </c>
      <c r="P145" s="49"/>
      <c r="Q145" s="49"/>
      <c r="R145" s="34" t="str">
        <f>IFERROR(VLOOKUP(N145,soils2!$A$2:$C$152,3),"")</f>
        <v/>
      </c>
      <c r="S145" s="49"/>
      <c r="T145" s="49"/>
      <c r="U145" s="33"/>
    </row>
    <row r="146" spans="14:21" ht="13">
      <c r="N146" s="33"/>
      <c r="O146" s="49" t="str">
        <f>IFERROR(VLOOKUP(N146,soils2!$A$2:$C$152,2),"")</f>
        <v/>
      </c>
      <c r="P146" s="49"/>
      <c r="Q146" s="49"/>
      <c r="R146" s="34" t="str">
        <f>IFERROR(VLOOKUP(N146,soils2!$A$2:$C$152,3),"")</f>
        <v/>
      </c>
      <c r="S146" s="49"/>
      <c r="T146" s="49"/>
      <c r="U146" s="33"/>
    </row>
    <row r="147" spans="14:21" ht="13">
      <c r="N147" s="33"/>
      <c r="O147" s="49" t="str">
        <f>IFERROR(VLOOKUP(N147,soils2!$A$2:$C$152,2),"")</f>
        <v/>
      </c>
      <c r="P147" s="49"/>
      <c r="Q147" s="49"/>
      <c r="R147" s="34" t="str">
        <f>IFERROR(VLOOKUP(N147,soils2!$A$2:$C$152,3),"")</f>
        <v/>
      </c>
      <c r="S147" s="49"/>
      <c r="T147" s="49"/>
      <c r="U147" s="33"/>
    </row>
    <row r="148" spans="14:21" ht="13">
      <c r="N148" s="33"/>
      <c r="O148" s="49" t="str">
        <f>IFERROR(VLOOKUP(N148,soils2!$A$2:$C$152,2),"")</f>
        <v/>
      </c>
      <c r="P148" s="49"/>
      <c r="Q148" s="49"/>
      <c r="R148" s="34" t="str">
        <f>IFERROR(VLOOKUP(N148,soils2!$A$2:$C$152,3),"")</f>
        <v/>
      </c>
      <c r="S148" s="49"/>
      <c r="T148" s="49"/>
      <c r="U148" s="33"/>
    </row>
    <row r="149" spans="14:21" ht="13">
      <c r="N149" s="33"/>
      <c r="O149" s="49" t="str">
        <f>IFERROR(VLOOKUP(N149,soils2!$A$2:$C$152,2),"")</f>
        <v/>
      </c>
      <c r="P149" s="49"/>
      <c r="Q149" s="49"/>
      <c r="R149" s="34" t="str">
        <f>IFERROR(VLOOKUP(N149,soils2!$A$2:$C$152,3),"")</f>
        <v/>
      </c>
      <c r="S149" s="49"/>
      <c r="T149" s="49"/>
      <c r="U149" s="33"/>
    </row>
    <row r="150" spans="14:21" ht="13">
      <c r="N150" s="33"/>
      <c r="O150" s="49" t="str">
        <f>IFERROR(VLOOKUP(N150,soils2!$A$2:$C$152,2),"")</f>
        <v/>
      </c>
      <c r="P150" s="49"/>
      <c r="Q150" s="49"/>
      <c r="R150" s="34" t="str">
        <f>IFERROR(VLOOKUP(N150,soils2!$A$2:$C$152,3),"")</f>
        <v/>
      </c>
      <c r="S150" s="49"/>
      <c r="T150" s="49"/>
      <c r="U150" s="33"/>
    </row>
    <row r="151" spans="14:21" ht="13">
      <c r="N151" s="33"/>
      <c r="O151" s="49" t="str">
        <f>IFERROR(VLOOKUP(N151,soils2!$A$2:$C$152,2),"")</f>
        <v/>
      </c>
      <c r="P151" s="49"/>
      <c r="Q151" s="49"/>
      <c r="R151" s="34" t="str">
        <f>IFERROR(VLOOKUP(N151,soils2!$A$2:$C$152,3),"")</f>
        <v/>
      </c>
      <c r="S151" s="49"/>
      <c r="T151" s="49"/>
      <c r="U151" s="33"/>
    </row>
    <row r="152" spans="14:21" ht="13">
      <c r="N152" s="33"/>
      <c r="O152" s="49" t="str">
        <f>IFERROR(VLOOKUP(N152,soils2!$A$2:$C$152,2),"")</f>
        <v/>
      </c>
      <c r="P152" s="49"/>
      <c r="Q152" s="49"/>
      <c r="R152" s="34" t="str">
        <f>IFERROR(VLOOKUP(N152,soils2!$A$2:$C$152,3),"")</f>
        <v/>
      </c>
      <c r="S152" s="49"/>
      <c r="T152" s="49"/>
      <c r="U152" s="33"/>
    </row>
    <row r="153" spans="14:21" ht="13">
      <c r="N153" s="33"/>
      <c r="O153" s="49" t="str">
        <f>IFERROR(VLOOKUP(N153,soils2!$A$2:$C$152,2),"")</f>
        <v/>
      </c>
      <c r="P153" s="49"/>
      <c r="Q153" s="49"/>
      <c r="R153" s="34" t="str">
        <f>IFERROR(VLOOKUP(N153,soils2!$A$2:$C$152,3),"")</f>
        <v/>
      </c>
      <c r="S153" s="49"/>
      <c r="T153" s="49"/>
      <c r="U153" s="33"/>
    </row>
    <row r="154" spans="14:21" ht="13">
      <c r="N154" s="33"/>
      <c r="O154" s="49" t="str">
        <f>IFERROR(VLOOKUP(N154,soils2!$A$2:$C$152,2),"")</f>
        <v/>
      </c>
      <c r="P154" s="49"/>
      <c r="Q154" s="49"/>
      <c r="R154" s="34" t="str">
        <f>IFERROR(VLOOKUP(N154,soils2!$A$2:$C$152,3),"")</f>
        <v/>
      </c>
      <c r="S154" s="49"/>
      <c r="T154" s="49"/>
      <c r="U154" s="33"/>
    </row>
    <row r="155" spans="14:21" ht="13">
      <c r="N155" s="33"/>
      <c r="O155" s="49" t="str">
        <f>IFERROR(VLOOKUP(N155,soils2!$A$2:$C$152,2),"")</f>
        <v/>
      </c>
      <c r="P155" s="49"/>
      <c r="Q155" s="49"/>
      <c r="R155" s="34" t="str">
        <f>IFERROR(VLOOKUP(N155,soils2!$A$2:$C$152,3),"")</f>
        <v/>
      </c>
      <c r="S155" s="49"/>
      <c r="T155" s="49"/>
      <c r="U155" s="33"/>
    </row>
    <row r="156" spans="14:21" ht="13">
      <c r="N156" s="33"/>
      <c r="O156" s="49" t="str">
        <f>IFERROR(VLOOKUP(N156,soils2!$A$2:$C$152,2),"")</f>
        <v/>
      </c>
      <c r="P156" s="49"/>
      <c r="Q156" s="49"/>
      <c r="R156" s="34" t="str">
        <f>IFERROR(VLOOKUP(N156,soils2!$A$2:$C$152,3),"")</f>
        <v/>
      </c>
      <c r="S156" s="49"/>
      <c r="T156" s="49"/>
      <c r="U156" s="33"/>
    </row>
    <row r="157" spans="14:21" ht="13">
      <c r="N157" s="33"/>
      <c r="O157" s="49" t="str">
        <f>IFERROR(VLOOKUP(N157,soils2!$A$2:$C$152,2),"")</f>
        <v/>
      </c>
      <c r="P157" s="49"/>
      <c r="Q157" s="49"/>
      <c r="R157" s="34" t="str">
        <f>IFERROR(VLOOKUP(N157,soils2!$A$2:$C$152,3),"")</f>
        <v/>
      </c>
      <c r="S157" s="49"/>
      <c r="T157" s="49"/>
      <c r="U157" s="33"/>
    </row>
    <row r="158" spans="14:21" ht="13">
      <c r="N158" s="33"/>
      <c r="O158" s="49" t="str">
        <f>IFERROR(VLOOKUP(N158,soils2!$A$2:$C$152,2),"")</f>
        <v/>
      </c>
      <c r="P158" s="49"/>
      <c r="Q158" s="49"/>
      <c r="R158" s="34" t="str">
        <f>IFERROR(VLOOKUP(N158,soils2!$A$2:$C$152,3),"")</f>
        <v/>
      </c>
      <c r="S158" s="49"/>
      <c r="T158" s="49"/>
      <c r="U158" s="33"/>
    </row>
    <row r="159" spans="14:21" ht="13">
      <c r="N159" s="33"/>
      <c r="O159" s="49" t="str">
        <f>IFERROR(VLOOKUP(N159,soils2!$A$2:$C$152,2),"")</f>
        <v/>
      </c>
      <c r="P159" s="49"/>
      <c r="Q159" s="49"/>
      <c r="R159" s="34" t="str">
        <f>IFERROR(VLOOKUP(N159,soils2!$A$2:$C$152,3),"")</f>
        <v/>
      </c>
      <c r="S159" s="49"/>
      <c r="T159" s="49"/>
      <c r="U159" s="33"/>
    </row>
    <row r="160" spans="14:21" ht="13">
      <c r="N160" s="33"/>
      <c r="O160" s="49" t="str">
        <f>IFERROR(VLOOKUP(N160,soils2!$A$2:$C$152,2),"")</f>
        <v/>
      </c>
      <c r="P160" s="49"/>
      <c r="Q160" s="49"/>
      <c r="R160" s="34" t="str">
        <f>IFERROR(VLOOKUP(N160,soils2!$A$2:$C$152,3),"")</f>
        <v/>
      </c>
      <c r="S160" s="49"/>
      <c r="T160" s="49"/>
      <c r="U160" s="33"/>
    </row>
    <row r="161" spans="14:21" ht="13">
      <c r="N161" s="33"/>
      <c r="O161" s="49" t="str">
        <f>IFERROR(VLOOKUP(N161,soils2!$A$2:$C$152,2),"")</f>
        <v/>
      </c>
      <c r="P161" s="49"/>
      <c r="Q161" s="49"/>
      <c r="R161" s="34" t="str">
        <f>IFERROR(VLOOKUP(N161,soils2!$A$2:$C$152,3),"")</f>
        <v/>
      </c>
      <c r="S161" s="49"/>
      <c r="T161" s="49"/>
      <c r="U161" s="33"/>
    </row>
    <row r="162" spans="14:21" ht="13">
      <c r="N162" s="33"/>
      <c r="O162" s="49" t="str">
        <f>IFERROR(VLOOKUP(N162,soils2!$A$2:$C$152,2),"")</f>
        <v/>
      </c>
      <c r="P162" s="49"/>
      <c r="Q162" s="49"/>
      <c r="R162" s="34" t="str">
        <f>IFERROR(VLOOKUP(N162,soils2!$A$2:$C$152,3),"")</f>
        <v/>
      </c>
      <c r="S162" s="49"/>
      <c r="T162" s="49"/>
      <c r="U162" s="33"/>
    </row>
    <row r="163" spans="14:21" ht="13">
      <c r="N163" s="33"/>
      <c r="O163" s="49" t="str">
        <f>IFERROR(VLOOKUP(N163,soils2!$A$2:$C$152,2),"")</f>
        <v/>
      </c>
      <c r="P163" s="49"/>
      <c r="Q163" s="49"/>
      <c r="R163" s="34" t="str">
        <f>IFERROR(VLOOKUP(N163,soils2!$A$2:$C$152,3),"")</f>
        <v/>
      </c>
      <c r="S163" s="49"/>
      <c r="T163" s="49"/>
      <c r="U163" s="33"/>
    </row>
    <row r="164" spans="14:21" ht="13">
      <c r="N164" s="33"/>
      <c r="O164" s="49" t="str">
        <f>IFERROR(VLOOKUP(N164,soils2!$A$2:$C$152,2),"")</f>
        <v/>
      </c>
      <c r="P164" s="49"/>
      <c r="Q164" s="49"/>
      <c r="R164" s="34" t="str">
        <f>IFERROR(VLOOKUP(N164,soils2!$A$2:$C$152,3),"")</f>
        <v/>
      </c>
      <c r="S164" s="49"/>
      <c r="T164" s="49"/>
      <c r="U164" s="33"/>
    </row>
    <row r="165" spans="14:21" ht="13">
      <c r="N165" s="33"/>
      <c r="O165" s="49" t="str">
        <f>IFERROR(VLOOKUP(N165,soils2!$A$2:$C$152,2),"")</f>
        <v/>
      </c>
      <c r="P165" s="49"/>
      <c r="Q165" s="49"/>
      <c r="R165" s="34" t="str">
        <f>IFERROR(VLOOKUP(N165,soils2!$A$2:$C$152,3),"")</f>
        <v/>
      </c>
      <c r="S165" s="49"/>
      <c r="T165" s="49"/>
      <c r="U165" s="33"/>
    </row>
    <row r="166" spans="14:21" ht="13">
      <c r="N166" s="33"/>
      <c r="O166" s="49" t="str">
        <f>IFERROR(VLOOKUP(N166,soils2!$A$2:$C$152,2),"")</f>
        <v/>
      </c>
      <c r="P166" s="49"/>
      <c r="Q166" s="49"/>
      <c r="R166" s="34" t="str">
        <f>IFERROR(VLOOKUP(N166,soils2!$A$2:$C$152,3),"")</f>
        <v/>
      </c>
      <c r="S166" s="49"/>
      <c r="T166" s="49"/>
      <c r="U166" s="33"/>
    </row>
    <row r="167" spans="14:21" ht="13">
      <c r="N167" s="33"/>
      <c r="O167" s="49" t="str">
        <f>IFERROR(VLOOKUP(N167,soils2!$A$2:$C$152,2),"")</f>
        <v/>
      </c>
      <c r="P167" s="49"/>
      <c r="Q167" s="49"/>
      <c r="R167" s="34" t="str">
        <f>IFERROR(VLOOKUP(N167,soils2!$A$2:$C$152,3),"")</f>
        <v/>
      </c>
      <c r="S167" s="49"/>
      <c r="T167" s="49"/>
      <c r="U167" s="33"/>
    </row>
    <row r="168" spans="14:21" ht="13">
      <c r="N168" s="33"/>
      <c r="O168" s="49" t="str">
        <f>IFERROR(VLOOKUP(N168,soils2!$A$2:$C$152,2),"")</f>
        <v/>
      </c>
      <c r="P168" s="49"/>
      <c r="Q168" s="49"/>
      <c r="R168" s="34" t="str">
        <f>IFERROR(VLOOKUP(N168,soils2!$A$2:$C$152,3),"")</f>
        <v/>
      </c>
      <c r="S168" s="49"/>
      <c r="T168" s="49"/>
      <c r="U168" s="33"/>
    </row>
    <row r="169" spans="14:21" ht="13">
      <c r="N169" s="33"/>
      <c r="O169" s="49" t="str">
        <f>IFERROR(VLOOKUP(N169,soils2!$A$2:$C$152,2),"")</f>
        <v/>
      </c>
      <c r="P169" s="49"/>
      <c r="Q169" s="49"/>
      <c r="R169" s="34" t="str">
        <f>IFERROR(VLOOKUP(N169,soils2!$A$2:$C$152,3),"")</f>
        <v/>
      </c>
      <c r="S169" s="49"/>
      <c r="T169" s="49"/>
      <c r="U169" s="33"/>
    </row>
    <row r="170" spans="14:21" ht="13">
      <c r="N170" s="33"/>
      <c r="O170" s="49" t="str">
        <f>IFERROR(VLOOKUP(N170,soils2!$A$2:$C$152,2),"")</f>
        <v/>
      </c>
      <c r="P170" s="49"/>
      <c r="Q170" s="49"/>
      <c r="R170" s="34" t="str">
        <f>IFERROR(VLOOKUP(N170,soils2!$A$2:$C$152,3),"")</f>
        <v/>
      </c>
      <c r="S170" s="49"/>
      <c r="T170" s="49"/>
      <c r="U170" s="33"/>
    </row>
    <row r="171" spans="14:21" ht="13">
      <c r="N171" s="33"/>
      <c r="O171" s="49" t="str">
        <f>IFERROR(VLOOKUP(N171,soils2!$A$2:$C$152,2),"")</f>
        <v/>
      </c>
      <c r="P171" s="49"/>
      <c r="Q171" s="49"/>
      <c r="R171" s="34" t="str">
        <f>IFERROR(VLOOKUP(N171,soils2!$A$2:$C$152,3),"")</f>
        <v/>
      </c>
      <c r="S171" s="49"/>
      <c r="T171" s="49"/>
      <c r="U171" s="33"/>
    </row>
    <row r="172" spans="14:21" ht="13">
      <c r="N172" s="33"/>
      <c r="O172" s="49" t="str">
        <f>IFERROR(VLOOKUP(N172,soils2!$A$2:$C$152,2),"")</f>
        <v/>
      </c>
      <c r="P172" s="49"/>
      <c r="Q172" s="49"/>
      <c r="R172" s="34" t="str">
        <f>IFERROR(VLOOKUP(N172,soils2!$A$2:$C$152,3),"")</f>
        <v/>
      </c>
      <c r="S172" s="49"/>
      <c r="T172" s="49"/>
      <c r="U172" s="33"/>
    </row>
    <row r="173" spans="14:21" ht="13">
      <c r="N173" s="33"/>
      <c r="O173" s="49" t="str">
        <f>IFERROR(VLOOKUP(N173,soils2!$A$2:$C$152,2),"")</f>
        <v/>
      </c>
      <c r="P173" s="49"/>
      <c r="Q173" s="49"/>
      <c r="R173" s="34" t="str">
        <f>IFERROR(VLOOKUP(N173,soils2!$A$2:$C$152,3),"")</f>
        <v/>
      </c>
      <c r="S173" s="49"/>
      <c r="T173" s="49"/>
      <c r="U173" s="33"/>
    </row>
    <row r="174" spans="14:21" ht="13">
      <c r="N174" s="33"/>
      <c r="O174" s="49" t="str">
        <f>IFERROR(VLOOKUP(N174,soils2!$A$2:$C$152,2),"")</f>
        <v/>
      </c>
      <c r="P174" s="49"/>
      <c r="Q174" s="49"/>
      <c r="R174" s="34" t="str">
        <f>IFERROR(VLOOKUP(N174,soils2!$A$2:$C$152,3),"")</f>
        <v/>
      </c>
      <c r="S174" s="49"/>
      <c r="T174" s="49"/>
      <c r="U174" s="33"/>
    </row>
    <row r="175" spans="14:21" ht="13">
      <c r="N175" s="33"/>
      <c r="O175" s="49" t="str">
        <f>IFERROR(VLOOKUP(N175,soils2!$A$2:$C$152,2),"")</f>
        <v/>
      </c>
      <c r="P175" s="49"/>
      <c r="Q175" s="49"/>
      <c r="R175" s="34" t="str">
        <f>IFERROR(VLOOKUP(N175,soils2!$A$2:$C$152,3),"")</f>
        <v/>
      </c>
      <c r="S175" s="49"/>
      <c r="T175" s="49"/>
      <c r="U175" s="33"/>
    </row>
    <row r="176" spans="14:21" ht="13">
      <c r="N176" s="33"/>
      <c r="O176" s="49" t="str">
        <f>IFERROR(VLOOKUP(N176,soils2!$A$2:$C$152,2),"")</f>
        <v/>
      </c>
      <c r="P176" s="49"/>
      <c r="Q176" s="49"/>
      <c r="R176" s="34" t="str">
        <f>IFERROR(VLOOKUP(N176,soils2!$A$2:$C$152,3),"")</f>
        <v/>
      </c>
      <c r="S176" s="49"/>
      <c r="T176" s="49"/>
      <c r="U176" s="33"/>
    </row>
    <row r="177" spans="14:21" ht="13">
      <c r="N177" s="33"/>
      <c r="O177" s="49" t="str">
        <f>IFERROR(VLOOKUP(N177,soils2!$A$2:$C$152,2),"")</f>
        <v/>
      </c>
      <c r="P177" s="49"/>
      <c r="Q177" s="49"/>
      <c r="R177" s="34" t="str">
        <f>IFERROR(VLOOKUP(N177,soils2!$A$2:$C$152,3),"")</f>
        <v/>
      </c>
      <c r="S177" s="49"/>
      <c r="T177" s="49"/>
      <c r="U177" s="33"/>
    </row>
    <row r="178" spans="14:21" ht="13">
      <c r="N178" s="33"/>
      <c r="O178" s="49" t="str">
        <f>IFERROR(VLOOKUP(N178,soils2!$A$2:$C$152,2),"")</f>
        <v/>
      </c>
      <c r="P178" s="49"/>
      <c r="Q178" s="49"/>
      <c r="R178" s="34" t="str">
        <f>IFERROR(VLOOKUP(N178,soils2!$A$2:$C$152,3),"")</f>
        <v/>
      </c>
      <c r="S178" s="49"/>
      <c r="T178" s="49"/>
      <c r="U178" s="33"/>
    </row>
    <row r="179" spans="14:21" ht="13">
      <c r="N179" s="33"/>
      <c r="O179" s="49" t="str">
        <f>IFERROR(VLOOKUP(N179,soils2!$A$2:$C$152,2),"")</f>
        <v/>
      </c>
      <c r="P179" s="49"/>
      <c r="Q179" s="49"/>
      <c r="R179" s="34" t="str">
        <f>IFERROR(VLOOKUP(N179,soils2!$A$2:$C$152,3),"")</f>
        <v/>
      </c>
      <c r="S179" s="49"/>
      <c r="T179" s="49"/>
      <c r="U179" s="33"/>
    </row>
    <row r="180" spans="14:21" ht="13">
      <c r="N180" s="33"/>
      <c r="O180" s="49" t="str">
        <f>IFERROR(VLOOKUP(N180,soils2!$A$2:$C$152,2),"")</f>
        <v/>
      </c>
      <c r="P180" s="49"/>
      <c r="Q180" s="49"/>
      <c r="R180" s="34" t="str">
        <f>IFERROR(VLOOKUP(N180,soils2!$A$2:$C$152,3),"")</f>
        <v/>
      </c>
      <c r="S180" s="49"/>
      <c r="T180" s="49"/>
      <c r="U180" s="33"/>
    </row>
    <row r="181" spans="14:21" ht="13">
      <c r="N181" s="33"/>
      <c r="O181" s="49" t="str">
        <f>IFERROR(VLOOKUP(N181,soils2!$A$2:$C$152,2),"")</f>
        <v/>
      </c>
      <c r="P181" s="49"/>
      <c r="Q181" s="49"/>
      <c r="R181" s="34" t="str">
        <f>IFERROR(VLOOKUP(N181,soils2!$A$2:$C$152,3),"")</f>
        <v/>
      </c>
      <c r="S181" s="49"/>
      <c r="T181" s="49"/>
      <c r="U181" s="33"/>
    </row>
    <row r="182" spans="14:21" ht="13">
      <c r="N182" s="33"/>
      <c r="O182" s="49" t="str">
        <f>IFERROR(VLOOKUP(N182,soils2!$A$2:$C$152,2),"")</f>
        <v/>
      </c>
      <c r="P182" s="49"/>
      <c r="Q182" s="49"/>
      <c r="R182" s="34" t="str">
        <f>IFERROR(VLOOKUP(N182,soils2!$A$2:$C$152,3),"")</f>
        <v/>
      </c>
      <c r="S182" s="49"/>
      <c r="T182" s="49"/>
      <c r="U182" s="33"/>
    </row>
    <row r="183" spans="14:21" ht="13">
      <c r="N183" s="33"/>
      <c r="O183" s="49" t="str">
        <f>IFERROR(VLOOKUP(N183,soils2!$A$2:$C$152,2),"")</f>
        <v/>
      </c>
      <c r="P183" s="49"/>
      <c r="Q183" s="49"/>
      <c r="R183" s="34" t="str">
        <f>IFERROR(VLOOKUP(N183,soils2!$A$2:$C$152,3),"")</f>
        <v/>
      </c>
      <c r="S183" s="49"/>
      <c r="T183" s="49"/>
      <c r="U183" s="33"/>
    </row>
    <row r="184" spans="14:21" ht="13">
      <c r="N184" s="33"/>
      <c r="O184" s="49" t="str">
        <f>IFERROR(VLOOKUP(N184,soils2!$A$2:$C$152,2),"")</f>
        <v/>
      </c>
      <c r="P184" s="49"/>
      <c r="Q184" s="49"/>
      <c r="R184" s="34" t="str">
        <f>IFERROR(VLOOKUP(N184,soils2!$A$2:$C$152,3),"")</f>
        <v/>
      </c>
      <c r="S184" s="49"/>
      <c r="T184" s="49"/>
      <c r="U184" s="33"/>
    </row>
    <row r="185" spans="14:21" ht="13">
      <c r="N185" s="33"/>
      <c r="O185" s="49" t="str">
        <f>IFERROR(VLOOKUP(N185,soils2!$A$2:$C$152,2),"")</f>
        <v/>
      </c>
      <c r="P185" s="49"/>
      <c r="Q185" s="49"/>
      <c r="R185" s="34" t="str">
        <f>IFERROR(VLOOKUP(N185,soils2!$A$2:$C$152,3),"")</f>
        <v/>
      </c>
      <c r="S185" s="49"/>
      <c r="T185" s="49"/>
      <c r="U185" s="33"/>
    </row>
    <row r="186" spans="14:21" ht="13">
      <c r="N186" s="33"/>
      <c r="O186" s="49" t="str">
        <f>IFERROR(VLOOKUP(N186,soils2!$A$2:$C$152,2),"")</f>
        <v/>
      </c>
      <c r="P186" s="49"/>
      <c r="Q186" s="49"/>
      <c r="R186" s="34" t="str">
        <f>IFERROR(VLOOKUP(N186,soils2!$A$2:$C$152,3),"")</f>
        <v/>
      </c>
      <c r="S186" s="49"/>
      <c r="T186" s="49"/>
      <c r="U186" s="33"/>
    </row>
    <row r="187" spans="14:21" ht="13">
      <c r="N187" s="33"/>
      <c r="O187" s="49" t="str">
        <f>IFERROR(VLOOKUP(N187,soils2!$A$2:$C$152,2),"")</f>
        <v/>
      </c>
      <c r="P187" s="49"/>
      <c r="Q187" s="49"/>
      <c r="R187" s="34" t="str">
        <f>IFERROR(VLOOKUP(N187,soils2!$A$2:$C$152,3),"")</f>
        <v/>
      </c>
      <c r="S187" s="49"/>
      <c r="T187" s="49"/>
      <c r="U187" s="33"/>
    </row>
    <row r="188" spans="14:21" ht="13">
      <c r="N188" s="33"/>
      <c r="O188" s="49" t="str">
        <f>IFERROR(VLOOKUP(N188,soils2!$A$2:$C$152,2),"")</f>
        <v/>
      </c>
      <c r="P188" s="49"/>
      <c r="Q188" s="49"/>
      <c r="R188" s="34" t="str">
        <f>IFERROR(VLOOKUP(N188,soils2!$A$2:$C$152,3),"")</f>
        <v/>
      </c>
      <c r="S188" s="49"/>
      <c r="T188" s="49"/>
      <c r="U188" s="33"/>
    </row>
    <row r="189" spans="14:21" ht="13">
      <c r="N189" s="33"/>
      <c r="O189" s="49" t="str">
        <f>IFERROR(VLOOKUP(N189,soils2!$A$2:$C$152,2),"")</f>
        <v/>
      </c>
      <c r="P189" s="49"/>
      <c r="Q189" s="49"/>
      <c r="R189" s="34" t="str">
        <f>IFERROR(VLOOKUP(N189,soils2!$A$2:$C$152,3),"")</f>
        <v/>
      </c>
      <c r="S189" s="49"/>
      <c r="T189" s="49"/>
      <c r="U189" s="33"/>
    </row>
    <row r="190" spans="14:21" ht="13">
      <c r="N190" s="33"/>
      <c r="O190" s="49" t="str">
        <f>IFERROR(VLOOKUP(N190,soils2!$A$2:$C$152,2),"")</f>
        <v/>
      </c>
      <c r="P190" s="49"/>
      <c r="Q190" s="49"/>
      <c r="R190" s="34" t="str">
        <f>IFERROR(VLOOKUP(N190,soils2!$A$2:$C$152,3),"")</f>
        <v/>
      </c>
      <c r="S190" s="49"/>
      <c r="T190" s="49"/>
      <c r="U190" s="33"/>
    </row>
    <row r="191" spans="14:21" ht="13">
      <c r="N191" s="33"/>
      <c r="O191" s="49" t="str">
        <f>IFERROR(VLOOKUP(N191,soils2!$A$2:$C$152,2),"")</f>
        <v/>
      </c>
      <c r="P191" s="49"/>
      <c r="Q191" s="49"/>
      <c r="R191" s="34" t="str">
        <f>IFERROR(VLOOKUP(N191,soils2!$A$2:$C$152,3),"")</f>
        <v/>
      </c>
      <c r="S191" s="49"/>
      <c r="T191" s="49"/>
      <c r="U191" s="33"/>
    </row>
    <row r="192" spans="14:21" ht="13">
      <c r="N192" s="33"/>
      <c r="O192" s="49" t="str">
        <f>IFERROR(VLOOKUP(N192,soils2!$A$2:$C$152,2),"")</f>
        <v/>
      </c>
      <c r="P192" s="49"/>
      <c r="Q192" s="49"/>
      <c r="R192" s="34" t="str">
        <f>IFERROR(VLOOKUP(N192,soils2!$A$2:$C$152,3),"")</f>
        <v/>
      </c>
      <c r="S192" s="49"/>
      <c r="T192" s="49"/>
      <c r="U192" s="33"/>
    </row>
    <row r="193" spans="14:21" ht="13">
      <c r="N193" s="33"/>
      <c r="O193" s="49" t="str">
        <f>IFERROR(VLOOKUP(N193,soils2!$A$2:$C$152,2),"")</f>
        <v/>
      </c>
      <c r="P193" s="49"/>
      <c r="Q193" s="49"/>
      <c r="R193" s="34" t="str">
        <f>IFERROR(VLOOKUP(N193,soils2!$A$2:$C$152,3),"")</f>
        <v/>
      </c>
      <c r="S193" s="49"/>
      <c r="T193" s="49"/>
      <c r="U193" s="33"/>
    </row>
    <row r="194" spans="14:21" ht="13">
      <c r="N194" s="33"/>
      <c r="O194" s="49" t="str">
        <f>IFERROR(VLOOKUP(N194,soils2!$A$2:$C$152,2),"")</f>
        <v/>
      </c>
      <c r="P194" s="49"/>
      <c r="Q194" s="49"/>
      <c r="R194" s="34" t="str">
        <f>IFERROR(VLOOKUP(N194,soils2!$A$2:$C$152,3),"")</f>
        <v/>
      </c>
      <c r="S194" s="49"/>
      <c r="T194" s="49"/>
      <c r="U194" s="33"/>
    </row>
    <row r="195" spans="14:21" ht="13">
      <c r="N195" s="33"/>
      <c r="O195" s="49" t="str">
        <f>IFERROR(VLOOKUP(N195,soils2!$A$2:$C$152,2),"")</f>
        <v/>
      </c>
      <c r="P195" s="49"/>
      <c r="Q195" s="49"/>
      <c r="R195" s="34" t="str">
        <f>IFERROR(VLOOKUP(N195,soils2!$A$2:$C$152,3),"")</f>
        <v/>
      </c>
      <c r="S195" s="49"/>
      <c r="T195" s="49"/>
      <c r="U195" s="33"/>
    </row>
    <row r="196" spans="14:21" ht="13">
      <c r="N196" s="33"/>
      <c r="O196" s="49" t="str">
        <f>IFERROR(VLOOKUP(N196,soils2!$A$2:$C$152,2),"")</f>
        <v/>
      </c>
      <c r="P196" s="49"/>
      <c r="Q196" s="49"/>
      <c r="R196" s="34" t="str">
        <f>IFERROR(VLOOKUP(N196,soils2!$A$2:$C$152,3),"")</f>
        <v/>
      </c>
      <c r="S196" s="49"/>
      <c r="T196" s="49"/>
      <c r="U196" s="33"/>
    </row>
    <row r="197" spans="14:21" ht="13">
      <c r="N197" s="33"/>
      <c r="O197" s="49" t="str">
        <f>IFERROR(VLOOKUP(N197,soils2!$A$2:$C$152,2),"")</f>
        <v/>
      </c>
      <c r="P197" s="49"/>
      <c r="Q197" s="49"/>
      <c r="R197" s="34" t="str">
        <f>IFERROR(VLOOKUP(N197,soils2!$A$2:$C$152,3),"")</f>
        <v/>
      </c>
      <c r="S197" s="49"/>
      <c r="T197" s="49"/>
      <c r="U197" s="33"/>
    </row>
    <row r="198" spans="14:21" ht="13">
      <c r="N198" s="33"/>
      <c r="O198" s="49" t="str">
        <f>IFERROR(VLOOKUP(N198,soils2!$A$2:$C$152,2),"")</f>
        <v/>
      </c>
      <c r="P198" s="49"/>
      <c r="Q198" s="49"/>
      <c r="R198" s="34" t="str">
        <f>IFERROR(VLOOKUP(N198,soils2!$A$2:$C$152,3),"")</f>
        <v/>
      </c>
      <c r="S198" s="49"/>
      <c r="T198" s="49"/>
      <c r="U198" s="33"/>
    </row>
    <row r="199" spans="14:21" ht="13">
      <c r="N199" s="33"/>
      <c r="O199" s="49" t="str">
        <f>IFERROR(VLOOKUP(N199,soils2!$A$2:$C$152,2),"")</f>
        <v/>
      </c>
      <c r="P199" s="49"/>
      <c r="Q199" s="49"/>
      <c r="R199" s="34" t="str">
        <f>IFERROR(VLOOKUP(N199,soils2!$A$2:$C$152,3),"")</f>
        <v/>
      </c>
      <c r="S199" s="49"/>
      <c r="T199" s="49"/>
      <c r="U199" s="33"/>
    </row>
    <row r="200" spans="14:21" ht="13">
      <c r="N200" s="33"/>
      <c r="O200" s="49" t="str">
        <f>IFERROR(VLOOKUP(N200,soils2!$A$2:$C$152,2),"")</f>
        <v/>
      </c>
      <c r="P200" s="49"/>
      <c r="Q200" s="49"/>
      <c r="R200" s="34" t="str">
        <f>IFERROR(VLOOKUP(N200,soils2!$A$2:$C$152,3),"")</f>
        <v/>
      </c>
      <c r="S200" s="49"/>
      <c r="T200" s="49"/>
      <c r="U200" s="33"/>
    </row>
    <row r="201" spans="14:21" ht="13">
      <c r="N201" s="33"/>
      <c r="O201" s="49" t="str">
        <f>IFERROR(VLOOKUP(N201,soils2!$A$2:$C$152,2),"")</f>
        <v/>
      </c>
      <c r="P201" s="49"/>
      <c r="Q201" s="49"/>
      <c r="R201" s="34" t="str">
        <f>IFERROR(VLOOKUP(N201,soils2!$A$2:$C$152,3),"")</f>
        <v/>
      </c>
      <c r="S201" s="49"/>
      <c r="T201" s="49"/>
      <c r="U201" s="33"/>
    </row>
    <row r="202" spans="14:21" ht="13">
      <c r="N202" s="33"/>
      <c r="O202" s="49" t="str">
        <f>IFERROR(VLOOKUP(N202,soils2!$A$2:$C$152,2),"")</f>
        <v/>
      </c>
      <c r="P202" s="49"/>
      <c r="Q202" s="49"/>
      <c r="R202" s="34" t="str">
        <f>IFERROR(VLOOKUP(N202,soils2!$A$2:$C$152,3),"")</f>
        <v/>
      </c>
      <c r="S202" s="49"/>
      <c r="T202" s="49"/>
      <c r="U202" s="33"/>
    </row>
    <row r="203" spans="14:21" ht="13">
      <c r="N203" s="33"/>
      <c r="O203" s="49" t="str">
        <f>IFERROR(VLOOKUP(N203,soils2!$A$2:$C$152,2),"")</f>
        <v/>
      </c>
      <c r="P203" s="49"/>
      <c r="Q203" s="49"/>
      <c r="R203" s="34" t="str">
        <f>IFERROR(VLOOKUP(N203,soils2!$A$2:$C$152,3),"")</f>
        <v/>
      </c>
      <c r="S203" s="49"/>
      <c r="T203" s="49"/>
      <c r="U203" s="33"/>
    </row>
    <row r="204" spans="14:21" ht="13">
      <c r="N204" s="33"/>
      <c r="O204" s="49" t="str">
        <f>IFERROR(VLOOKUP(N204,soils2!$A$2:$C$152,2),"")</f>
        <v/>
      </c>
      <c r="P204" s="49"/>
      <c r="Q204" s="49"/>
      <c r="R204" s="34" t="str">
        <f>IFERROR(VLOOKUP(N204,soils2!$A$2:$C$152,3),"")</f>
        <v/>
      </c>
      <c r="S204" s="49"/>
      <c r="T204" s="49"/>
      <c r="U204" s="33"/>
    </row>
    <row r="205" spans="14:21" ht="13">
      <c r="N205" s="33"/>
      <c r="O205" s="49" t="str">
        <f>IFERROR(VLOOKUP(N205,soils2!$A$2:$C$152,2),"")</f>
        <v/>
      </c>
      <c r="P205" s="49"/>
      <c r="Q205" s="49"/>
      <c r="R205" s="34" t="str">
        <f>IFERROR(VLOOKUP(N205,soils2!$A$2:$C$152,3),"")</f>
        <v/>
      </c>
      <c r="S205" s="49"/>
      <c r="T205" s="49"/>
      <c r="U205" s="33"/>
    </row>
    <row r="206" spans="14:21" ht="13">
      <c r="N206" s="33"/>
      <c r="O206" s="49" t="str">
        <f>IFERROR(VLOOKUP(N206,soils2!$A$2:$C$152,2),"")</f>
        <v/>
      </c>
      <c r="P206" s="49"/>
      <c r="Q206" s="49"/>
      <c r="R206" s="34" t="str">
        <f>IFERROR(VLOOKUP(N206,soils2!$A$2:$C$152,3),"")</f>
        <v/>
      </c>
      <c r="S206" s="49"/>
      <c r="T206" s="49"/>
      <c r="U206" s="33"/>
    </row>
    <row r="207" spans="14:21" ht="13">
      <c r="N207" s="33"/>
      <c r="O207" s="49" t="str">
        <f>IFERROR(VLOOKUP(N207,soils2!$A$2:$C$152,2),"")</f>
        <v/>
      </c>
      <c r="P207" s="49"/>
      <c r="Q207" s="49"/>
      <c r="R207" s="34" t="str">
        <f>IFERROR(VLOOKUP(N207,soils2!$A$2:$C$152,3),"")</f>
        <v/>
      </c>
      <c r="S207" s="49"/>
      <c r="T207" s="49"/>
      <c r="U207" s="33"/>
    </row>
    <row r="208" spans="14:21" ht="13">
      <c r="N208" s="33"/>
      <c r="O208" s="49" t="str">
        <f>IFERROR(VLOOKUP(N208,soils2!$A$2:$C$152,2),"")</f>
        <v/>
      </c>
      <c r="P208" s="49"/>
      <c r="Q208" s="49"/>
      <c r="R208" s="34" t="str">
        <f>IFERROR(VLOOKUP(N208,soils2!$A$2:$C$152,3),"")</f>
        <v/>
      </c>
      <c r="S208" s="49"/>
      <c r="T208" s="49"/>
      <c r="U208" s="33"/>
    </row>
    <row r="209" spans="14:21" ht="13">
      <c r="N209" s="33"/>
      <c r="O209" s="49" t="str">
        <f>IFERROR(VLOOKUP(N209,soils2!$A$2:$C$152,2),"")</f>
        <v/>
      </c>
      <c r="P209" s="49"/>
      <c r="Q209" s="49"/>
      <c r="R209" s="34" t="str">
        <f>IFERROR(VLOOKUP(N209,soils2!$A$2:$C$152,3),"")</f>
        <v/>
      </c>
      <c r="S209" s="49"/>
      <c r="T209" s="49"/>
      <c r="U209" s="33"/>
    </row>
    <row r="210" spans="14:21" ht="13">
      <c r="N210" s="33"/>
      <c r="O210" s="49" t="str">
        <f>IFERROR(VLOOKUP(N210,soils2!$A$2:$C$152,2),"")</f>
        <v/>
      </c>
      <c r="P210" s="49"/>
      <c r="Q210" s="49"/>
      <c r="R210" s="34" t="str">
        <f>IFERROR(VLOOKUP(N210,soils2!$A$2:$C$152,3),"")</f>
        <v/>
      </c>
      <c r="S210" s="49"/>
      <c r="T210" s="49"/>
      <c r="U210" s="33"/>
    </row>
    <row r="211" spans="14:21" ht="13">
      <c r="N211" s="33"/>
      <c r="O211" s="49" t="str">
        <f>IFERROR(VLOOKUP(N211,soils2!$A$2:$C$152,2),"")</f>
        <v/>
      </c>
      <c r="P211" s="49"/>
      <c r="Q211" s="49"/>
      <c r="R211" s="34" t="str">
        <f>IFERROR(VLOOKUP(N211,soils2!$A$2:$C$152,3),"")</f>
        <v/>
      </c>
      <c r="S211" s="49"/>
      <c r="T211" s="49"/>
      <c r="U211" s="33"/>
    </row>
    <row r="212" spans="14:21" ht="13">
      <c r="N212" s="33"/>
      <c r="O212" s="49" t="str">
        <f>IFERROR(VLOOKUP(N212,soils2!$A$2:$C$152,2),"")</f>
        <v/>
      </c>
      <c r="P212" s="49"/>
      <c r="Q212" s="49"/>
      <c r="R212" s="34" t="str">
        <f>IFERROR(VLOOKUP(N212,soils2!$A$2:$C$152,3),"")</f>
        <v/>
      </c>
      <c r="S212" s="49"/>
      <c r="T212" s="49"/>
      <c r="U212" s="33"/>
    </row>
    <row r="213" spans="14:21" ht="13">
      <c r="N213" s="33"/>
      <c r="O213" s="49" t="str">
        <f>IFERROR(VLOOKUP(N213,soils2!$A$2:$C$152,2),"")</f>
        <v/>
      </c>
      <c r="P213" s="49"/>
      <c r="Q213" s="49"/>
      <c r="R213" s="34" t="str">
        <f>IFERROR(VLOOKUP(N213,soils2!$A$2:$C$152,3),"")</f>
        <v/>
      </c>
      <c r="S213" s="49"/>
      <c r="T213" s="49"/>
      <c r="U213" s="33"/>
    </row>
    <row r="214" spans="14:21" ht="13">
      <c r="N214" s="33"/>
      <c r="O214" s="49" t="str">
        <f>IFERROR(VLOOKUP(N214,soils2!$A$2:$C$152,2),"")</f>
        <v/>
      </c>
      <c r="P214" s="49"/>
      <c r="Q214" s="49"/>
      <c r="R214" s="34" t="str">
        <f>IFERROR(VLOOKUP(N214,soils2!$A$2:$C$152,3),"")</f>
        <v/>
      </c>
      <c r="S214" s="49"/>
      <c r="T214" s="49"/>
      <c r="U214" s="33"/>
    </row>
    <row r="215" spans="14:21" ht="13">
      <c r="N215" s="33"/>
      <c r="O215" s="49" t="str">
        <f>IFERROR(VLOOKUP(N215,soils2!$A$2:$C$152,2),"")</f>
        <v/>
      </c>
      <c r="P215" s="49"/>
      <c r="Q215" s="49"/>
      <c r="R215" s="34" t="str">
        <f>IFERROR(VLOOKUP(N215,soils2!$A$2:$C$152,3),"")</f>
        <v/>
      </c>
      <c r="S215" s="49"/>
      <c r="T215" s="49"/>
      <c r="U215" s="33"/>
    </row>
    <row r="216" spans="14:21" ht="13">
      <c r="N216" s="33"/>
      <c r="O216" s="49" t="str">
        <f>IFERROR(VLOOKUP(N216,soils2!$A$2:$C$152,2),"")</f>
        <v/>
      </c>
      <c r="P216" s="49"/>
      <c r="Q216" s="49"/>
      <c r="R216" s="34" t="str">
        <f>IFERROR(VLOOKUP(N216,soils2!$A$2:$C$152,3),"")</f>
        <v/>
      </c>
      <c r="S216" s="49"/>
      <c r="T216" s="49"/>
      <c r="U216" s="33"/>
    </row>
    <row r="217" spans="14:21" ht="13">
      <c r="N217" s="33"/>
      <c r="O217" s="49" t="str">
        <f>IFERROR(VLOOKUP(N217,soils2!$A$2:$C$152,2),"")</f>
        <v/>
      </c>
      <c r="P217" s="49"/>
      <c r="Q217" s="49"/>
      <c r="R217" s="34" t="str">
        <f>IFERROR(VLOOKUP(N217,soils2!$A$2:$C$152,3),"")</f>
        <v/>
      </c>
      <c r="S217" s="49"/>
      <c r="T217" s="49"/>
      <c r="U217" s="33"/>
    </row>
    <row r="218" spans="14:21" ht="13">
      <c r="N218" s="33"/>
      <c r="O218" s="49" t="str">
        <f>IFERROR(VLOOKUP(N218,soils2!$A$2:$C$152,2),"")</f>
        <v/>
      </c>
      <c r="P218" s="49"/>
      <c r="Q218" s="49"/>
      <c r="R218" s="34" t="str">
        <f>IFERROR(VLOOKUP(N218,soils2!$A$2:$C$152,3),"")</f>
        <v/>
      </c>
      <c r="S218" s="49"/>
      <c r="T218" s="49"/>
      <c r="U218" s="33"/>
    </row>
    <row r="219" spans="14:21" ht="13">
      <c r="N219" s="33"/>
      <c r="O219" s="49" t="str">
        <f>IFERROR(VLOOKUP(N219,soils2!$A$2:$C$152,2),"")</f>
        <v/>
      </c>
      <c r="P219" s="49"/>
      <c r="Q219" s="49"/>
      <c r="R219" s="34" t="str">
        <f>IFERROR(VLOOKUP(N219,soils2!$A$2:$C$152,3),"")</f>
        <v/>
      </c>
      <c r="S219" s="49"/>
      <c r="T219" s="49"/>
      <c r="U219" s="33"/>
    </row>
    <row r="220" spans="14:21" ht="13">
      <c r="N220" s="33"/>
      <c r="O220" s="49" t="str">
        <f>IFERROR(VLOOKUP(N220,soils2!$A$2:$C$152,2),"")</f>
        <v/>
      </c>
      <c r="P220" s="49"/>
      <c r="Q220" s="49"/>
      <c r="R220" s="34" t="str">
        <f>IFERROR(VLOOKUP(N220,soils2!$A$2:$C$152,3),"")</f>
        <v/>
      </c>
      <c r="S220" s="49"/>
      <c r="T220" s="49"/>
      <c r="U220" s="33"/>
    </row>
    <row r="221" spans="14:21" ht="13">
      <c r="N221" s="33"/>
      <c r="O221" s="49" t="str">
        <f>IFERROR(VLOOKUP(N221,soils2!$A$2:$C$152,2),"")</f>
        <v/>
      </c>
      <c r="P221" s="49"/>
      <c r="Q221" s="49"/>
      <c r="R221" s="34" t="str">
        <f>IFERROR(VLOOKUP(N221,soils2!$A$2:$C$152,3),"")</f>
        <v/>
      </c>
      <c r="S221" s="49"/>
      <c r="T221" s="49"/>
      <c r="U221" s="33"/>
    </row>
    <row r="222" spans="14:21" ht="13">
      <c r="N222" s="33"/>
      <c r="O222" s="49" t="str">
        <f>IFERROR(VLOOKUP(N222,soils2!$A$2:$C$152,2),"")</f>
        <v/>
      </c>
      <c r="P222" s="49"/>
      <c r="Q222" s="49"/>
      <c r="R222" s="34" t="str">
        <f>IFERROR(VLOOKUP(N222,soils2!$A$2:$C$152,3),"")</f>
        <v/>
      </c>
      <c r="S222" s="49"/>
      <c r="T222" s="49"/>
      <c r="U222" s="33"/>
    </row>
    <row r="223" spans="14:21" ht="13">
      <c r="N223" s="33"/>
      <c r="O223" s="49" t="str">
        <f>IFERROR(VLOOKUP(N223,soils2!$A$2:$C$152,2),"")</f>
        <v/>
      </c>
      <c r="P223" s="49"/>
      <c r="Q223" s="49"/>
      <c r="R223" s="34" t="str">
        <f>IFERROR(VLOOKUP(N223,soils2!$A$2:$C$152,3),"")</f>
        <v/>
      </c>
      <c r="S223" s="49"/>
      <c r="T223" s="49"/>
      <c r="U223" s="33"/>
    </row>
    <row r="224" spans="14:21" ht="13">
      <c r="N224" s="33"/>
      <c r="O224" s="49" t="str">
        <f>IFERROR(VLOOKUP(N224,soils2!$A$2:$C$152,2),"")</f>
        <v/>
      </c>
      <c r="P224" s="49"/>
      <c r="Q224" s="49"/>
      <c r="R224" s="34" t="str">
        <f>IFERROR(VLOOKUP(N224,soils2!$A$2:$C$152,3),"")</f>
        <v/>
      </c>
      <c r="S224" s="49"/>
      <c r="T224" s="49"/>
      <c r="U224" s="33"/>
    </row>
    <row r="225" spans="14:21" ht="13">
      <c r="N225" s="33"/>
      <c r="O225" s="49" t="str">
        <f>IFERROR(VLOOKUP(N225,soils2!$A$2:$C$152,2),"")</f>
        <v/>
      </c>
      <c r="P225" s="49"/>
      <c r="Q225" s="49"/>
      <c r="R225" s="34" t="str">
        <f>IFERROR(VLOOKUP(N225,soils2!$A$2:$C$152,3),"")</f>
        <v/>
      </c>
      <c r="S225" s="49"/>
      <c r="T225" s="49"/>
      <c r="U225" s="33"/>
    </row>
    <row r="226" spans="14:21" ht="13">
      <c r="N226" s="33"/>
      <c r="O226" s="49" t="str">
        <f>IFERROR(VLOOKUP(N226,soils2!$A$2:$C$152,2),"")</f>
        <v/>
      </c>
      <c r="P226" s="49"/>
      <c r="Q226" s="49"/>
      <c r="R226" s="34" t="str">
        <f>IFERROR(VLOOKUP(N226,soils2!$A$2:$C$152,3),"")</f>
        <v/>
      </c>
      <c r="S226" s="49"/>
      <c r="T226" s="49"/>
      <c r="U226" s="33"/>
    </row>
    <row r="227" spans="14:21" ht="13">
      <c r="N227" s="33"/>
      <c r="O227" s="49" t="str">
        <f>IFERROR(VLOOKUP(N227,soils2!$A$2:$C$152,2),"")</f>
        <v/>
      </c>
      <c r="P227" s="49"/>
      <c r="Q227" s="49"/>
      <c r="R227" s="34" t="str">
        <f>IFERROR(VLOOKUP(N227,soils2!$A$2:$C$152,3),"")</f>
        <v/>
      </c>
      <c r="S227" s="49"/>
      <c r="T227" s="49"/>
      <c r="U227" s="33"/>
    </row>
    <row r="228" spans="14:21" ht="13">
      <c r="N228" s="33"/>
      <c r="O228" s="49" t="str">
        <f>IFERROR(VLOOKUP(N228,soils2!$A$2:$C$152,2),"")</f>
        <v/>
      </c>
      <c r="P228" s="49"/>
      <c r="Q228" s="49"/>
      <c r="R228" s="34" t="str">
        <f>IFERROR(VLOOKUP(N228,soils2!$A$2:$C$152,3),"")</f>
        <v/>
      </c>
      <c r="S228" s="49"/>
      <c r="T228" s="49"/>
      <c r="U228" s="33"/>
    </row>
    <row r="229" spans="14:21" ht="13">
      <c r="N229" s="33"/>
      <c r="O229" s="49" t="str">
        <f>IFERROR(VLOOKUP(N229,soils2!$A$2:$C$152,2),"")</f>
        <v/>
      </c>
      <c r="P229" s="49"/>
      <c r="Q229" s="49"/>
      <c r="R229" s="34" t="str">
        <f>IFERROR(VLOOKUP(N229,soils2!$A$2:$C$152,3),"")</f>
        <v/>
      </c>
      <c r="S229" s="49"/>
      <c r="T229" s="49"/>
      <c r="U229" s="33"/>
    </row>
    <row r="230" spans="14:21" ht="13">
      <c r="N230" s="33"/>
      <c r="O230" s="49" t="str">
        <f>IFERROR(VLOOKUP(N230,soils2!$A$2:$C$152,2),"")</f>
        <v/>
      </c>
      <c r="P230" s="49"/>
      <c r="Q230" s="49"/>
      <c r="R230" s="34" t="str">
        <f>IFERROR(VLOOKUP(N230,soils2!$A$2:$C$152,3),"")</f>
        <v/>
      </c>
      <c r="S230" s="49"/>
      <c r="T230" s="49"/>
      <c r="U230" s="33"/>
    </row>
    <row r="231" spans="14:21" ht="13">
      <c r="N231" s="33"/>
      <c r="O231" s="49" t="str">
        <f>IFERROR(VLOOKUP(N231,soils2!$A$2:$C$152,2),"")</f>
        <v/>
      </c>
      <c r="P231" s="49"/>
      <c r="Q231" s="49"/>
      <c r="R231" s="34" t="str">
        <f>IFERROR(VLOOKUP(N231,soils2!$A$2:$C$152,3),"")</f>
        <v/>
      </c>
      <c r="S231" s="49"/>
      <c r="T231" s="49"/>
      <c r="U231" s="33"/>
    </row>
    <row r="232" spans="14:21" ht="13">
      <c r="N232" s="33"/>
      <c r="O232" s="49" t="str">
        <f>IFERROR(VLOOKUP(N232,soils2!$A$2:$C$152,2),"")</f>
        <v/>
      </c>
      <c r="P232" s="49"/>
      <c r="Q232" s="49"/>
      <c r="R232" s="34" t="str">
        <f>IFERROR(VLOOKUP(N232,soils2!$A$2:$C$152,3),"")</f>
        <v/>
      </c>
      <c r="S232" s="49"/>
      <c r="T232" s="49"/>
      <c r="U232" s="33"/>
    </row>
    <row r="233" spans="14:21" ht="13">
      <c r="N233" s="33"/>
      <c r="O233" s="49" t="str">
        <f>IFERROR(VLOOKUP(N233,soils2!$A$2:$C$152,2),"")</f>
        <v/>
      </c>
      <c r="P233" s="49"/>
      <c r="Q233" s="49"/>
      <c r="R233" s="34" t="str">
        <f>IFERROR(VLOOKUP(N233,soils2!$A$2:$C$152,3),"")</f>
        <v/>
      </c>
      <c r="S233" s="49"/>
      <c r="T233" s="49"/>
      <c r="U233" s="33"/>
    </row>
    <row r="234" spans="14:21" ht="13">
      <c r="N234" s="33"/>
      <c r="O234" s="49" t="str">
        <f>IFERROR(VLOOKUP(N234,soils2!$A$2:$C$152,2),"")</f>
        <v/>
      </c>
      <c r="P234" s="49"/>
      <c r="Q234" s="49"/>
      <c r="R234" s="34" t="str">
        <f>IFERROR(VLOOKUP(N234,soils2!$A$2:$C$152,3),"")</f>
        <v/>
      </c>
      <c r="S234" s="49"/>
      <c r="T234" s="49"/>
      <c r="U234" s="33"/>
    </row>
    <row r="235" spans="14:21" ht="13">
      <c r="N235" s="33"/>
      <c r="O235" s="49" t="str">
        <f>IFERROR(VLOOKUP(N235,soils2!$A$2:$C$152,2),"")</f>
        <v/>
      </c>
      <c r="P235" s="49"/>
      <c r="Q235" s="49"/>
      <c r="R235" s="34" t="str">
        <f>IFERROR(VLOOKUP(N235,soils2!$A$2:$C$152,3),"")</f>
        <v/>
      </c>
      <c r="S235" s="49"/>
      <c r="T235" s="49"/>
      <c r="U235" s="33"/>
    </row>
    <row r="236" spans="14:21" ht="13">
      <c r="N236" s="33"/>
      <c r="O236" s="49" t="str">
        <f>IFERROR(VLOOKUP(N236,soils2!$A$2:$C$152,2),"")</f>
        <v/>
      </c>
      <c r="P236" s="49"/>
      <c r="Q236" s="49"/>
      <c r="R236" s="34" t="str">
        <f>IFERROR(VLOOKUP(N236,soils2!$A$2:$C$152,3),"")</f>
        <v/>
      </c>
      <c r="S236" s="49"/>
      <c r="T236" s="49"/>
      <c r="U236" s="33"/>
    </row>
    <row r="237" spans="14:21" ht="13">
      <c r="N237" s="33"/>
      <c r="O237" s="49" t="str">
        <f>IFERROR(VLOOKUP(N237,soils2!$A$2:$C$152,2),"")</f>
        <v/>
      </c>
      <c r="P237" s="49"/>
      <c r="Q237" s="49"/>
      <c r="R237" s="34" t="str">
        <f>IFERROR(VLOOKUP(N237,soils2!$A$2:$C$152,3),"")</f>
        <v/>
      </c>
      <c r="S237" s="49"/>
      <c r="T237" s="49"/>
      <c r="U237" s="33"/>
    </row>
    <row r="238" spans="14:21" ht="13">
      <c r="N238" s="33"/>
      <c r="O238" s="49" t="str">
        <f>IFERROR(VLOOKUP(N238,soils2!$A$2:$C$152,2),"")</f>
        <v/>
      </c>
      <c r="P238" s="49"/>
      <c r="Q238" s="49"/>
      <c r="R238" s="34" t="str">
        <f>IFERROR(VLOOKUP(N238,soils2!$A$2:$C$152,3),"")</f>
        <v/>
      </c>
      <c r="S238" s="49"/>
      <c r="T238" s="49"/>
      <c r="U238" s="33"/>
    </row>
    <row r="239" spans="14:21" ht="13">
      <c r="N239" s="33"/>
      <c r="O239" s="49" t="str">
        <f>IFERROR(VLOOKUP(N239,soils2!$A$2:$C$152,2),"")</f>
        <v/>
      </c>
      <c r="P239" s="49"/>
      <c r="Q239" s="49"/>
      <c r="R239" s="34" t="str">
        <f>IFERROR(VLOOKUP(N239,soils2!$A$2:$C$152,3),"")</f>
        <v/>
      </c>
      <c r="S239" s="49"/>
      <c r="T239" s="49"/>
      <c r="U239" s="33"/>
    </row>
    <row r="240" spans="14:21" ht="13">
      <c r="N240" s="33"/>
      <c r="O240" s="49" t="str">
        <f>IFERROR(VLOOKUP(N240,soils2!$A$2:$C$152,2),"")</f>
        <v/>
      </c>
      <c r="P240" s="49"/>
      <c r="Q240" s="49"/>
      <c r="R240" s="34" t="str">
        <f>IFERROR(VLOOKUP(N240,soils2!$A$2:$C$152,3),"")</f>
        <v/>
      </c>
      <c r="S240" s="49"/>
      <c r="T240" s="49"/>
      <c r="U240" s="33"/>
    </row>
    <row r="241" spans="14:21" ht="13">
      <c r="N241" s="33"/>
      <c r="O241" s="49" t="str">
        <f>IFERROR(VLOOKUP(N241,soils2!$A$2:$C$152,2),"")</f>
        <v/>
      </c>
      <c r="P241" s="49"/>
      <c r="Q241" s="49"/>
      <c r="R241" s="34" t="str">
        <f>IFERROR(VLOOKUP(N241,soils2!$A$2:$C$152,3),"")</f>
        <v/>
      </c>
      <c r="S241" s="49"/>
      <c r="T241" s="49"/>
      <c r="U241" s="33"/>
    </row>
    <row r="242" spans="14:21" ht="13">
      <c r="N242" s="33"/>
      <c r="O242" s="49" t="str">
        <f>IFERROR(VLOOKUP(N242,soils2!$A$2:$C$152,2),"")</f>
        <v/>
      </c>
      <c r="P242" s="49"/>
      <c r="Q242" s="49"/>
      <c r="R242" s="34" t="str">
        <f>IFERROR(VLOOKUP(N242,soils2!$A$2:$C$152,3),"")</f>
        <v/>
      </c>
      <c r="S242" s="49"/>
      <c r="T242" s="49"/>
      <c r="U242" s="33"/>
    </row>
    <row r="243" spans="14:21" ht="13">
      <c r="N243" s="33"/>
      <c r="O243" s="49" t="str">
        <f>IFERROR(VLOOKUP(N243,soils2!$A$2:$C$152,2),"")</f>
        <v/>
      </c>
      <c r="P243" s="49"/>
      <c r="Q243" s="49"/>
      <c r="R243" s="34" t="str">
        <f>IFERROR(VLOOKUP(N243,soils2!$A$2:$C$152,3),"")</f>
        <v/>
      </c>
      <c r="S243" s="49"/>
      <c r="T243" s="49"/>
      <c r="U243" s="33"/>
    </row>
    <row r="244" spans="14:21" ht="13">
      <c r="N244" s="33"/>
      <c r="O244" s="49" t="str">
        <f>IFERROR(VLOOKUP(N244,soils2!$A$2:$C$152,2),"")</f>
        <v/>
      </c>
      <c r="P244" s="49"/>
      <c r="Q244" s="49"/>
      <c r="R244" s="34" t="str">
        <f>IFERROR(VLOOKUP(N244,soils2!$A$2:$C$152,3),"")</f>
        <v/>
      </c>
      <c r="S244" s="49"/>
      <c r="T244" s="49"/>
      <c r="U244" s="33"/>
    </row>
    <row r="245" spans="14:21" ht="13">
      <c r="N245" s="33"/>
      <c r="O245" s="49" t="str">
        <f>IFERROR(VLOOKUP(N245,soils2!$A$2:$C$152,2),"")</f>
        <v/>
      </c>
      <c r="P245" s="49"/>
      <c r="Q245" s="49"/>
      <c r="R245" s="34" t="str">
        <f>IFERROR(VLOOKUP(N245,soils2!$A$2:$C$152,3),"")</f>
        <v/>
      </c>
      <c r="S245" s="49"/>
      <c r="T245" s="49"/>
      <c r="U245" s="33"/>
    </row>
    <row r="246" spans="14:21" ht="13">
      <c r="N246" s="33"/>
      <c r="O246" s="49" t="str">
        <f>IFERROR(VLOOKUP(N246,soils2!$A$2:$C$152,2),"")</f>
        <v/>
      </c>
      <c r="P246" s="49"/>
      <c r="Q246" s="49"/>
      <c r="R246" s="34" t="str">
        <f>IFERROR(VLOOKUP(N246,soils2!$A$2:$C$152,3),"")</f>
        <v/>
      </c>
      <c r="S246" s="49"/>
      <c r="T246" s="49"/>
      <c r="U246" s="33"/>
    </row>
    <row r="247" spans="14:21" ht="13">
      <c r="N247" s="33"/>
      <c r="O247" s="49" t="str">
        <f>IFERROR(VLOOKUP(N247,soils2!$A$2:$C$152,2),"")</f>
        <v/>
      </c>
      <c r="P247" s="49"/>
      <c r="Q247" s="49"/>
      <c r="R247" s="34" t="str">
        <f>IFERROR(VLOOKUP(N247,soils2!$A$2:$C$152,3),"")</f>
        <v/>
      </c>
      <c r="S247" s="49"/>
      <c r="T247" s="49"/>
      <c r="U247" s="33"/>
    </row>
    <row r="248" spans="14:21" ht="13">
      <c r="N248" s="33"/>
      <c r="O248" s="49" t="str">
        <f>IFERROR(VLOOKUP(N248,soils2!$A$2:$C$152,2),"")</f>
        <v/>
      </c>
      <c r="P248" s="49"/>
      <c r="Q248" s="49"/>
      <c r="R248" s="34" t="str">
        <f>IFERROR(VLOOKUP(N248,soils2!$A$2:$C$152,3),"")</f>
        <v/>
      </c>
      <c r="S248" s="49"/>
      <c r="T248" s="49"/>
      <c r="U248" s="33"/>
    </row>
    <row r="249" spans="14:21" ht="13">
      <c r="N249" s="33"/>
      <c r="O249" s="49" t="str">
        <f>IFERROR(VLOOKUP(N249,soils2!$A$2:$C$152,2),"")</f>
        <v/>
      </c>
      <c r="P249" s="49"/>
      <c r="Q249" s="49"/>
      <c r="R249" s="34" t="str">
        <f>IFERROR(VLOOKUP(N249,soils2!$A$2:$C$152,3),"")</f>
        <v/>
      </c>
      <c r="S249" s="49"/>
      <c r="T249" s="49"/>
      <c r="U249" s="33"/>
    </row>
    <row r="250" spans="14:21" ht="13">
      <c r="N250" s="33"/>
      <c r="O250" s="49" t="str">
        <f>IFERROR(VLOOKUP(N250,soils2!$A$2:$C$152,2),"")</f>
        <v/>
      </c>
      <c r="P250" s="49"/>
      <c r="Q250" s="49"/>
      <c r="R250" s="34" t="str">
        <f>IFERROR(VLOOKUP(N250,soils2!$A$2:$C$152,3),"")</f>
        <v/>
      </c>
      <c r="S250" s="49"/>
      <c r="T250" s="49"/>
      <c r="U250" s="33"/>
    </row>
    <row r="251" spans="14:21" ht="13">
      <c r="N251" s="33"/>
      <c r="O251" s="49" t="str">
        <f>IFERROR(VLOOKUP(N251,soils2!$A$2:$C$152,2),"")</f>
        <v/>
      </c>
      <c r="P251" s="49"/>
      <c r="Q251" s="49"/>
      <c r="R251" s="34" t="str">
        <f>IFERROR(VLOOKUP(N251,soils2!$A$2:$C$152,3),"")</f>
        <v/>
      </c>
      <c r="S251" s="49"/>
      <c r="T251" s="49"/>
      <c r="U251" s="33"/>
    </row>
    <row r="252" spans="14:21" ht="13">
      <c r="N252" s="33"/>
      <c r="O252" s="49" t="str">
        <f>IFERROR(VLOOKUP(N252,soils2!$A$2:$C$152,2),"")</f>
        <v/>
      </c>
      <c r="P252" s="49"/>
      <c r="Q252" s="49"/>
      <c r="R252" s="34" t="str">
        <f>IFERROR(VLOOKUP(N252,soils2!$A$2:$C$152,3),"")</f>
        <v/>
      </c>
      <c r="S252" s="49"/>
      <c r="T252" s="49"/>
      <c r="U252" s="33"/>
    </row>
    <row r="253" spans="14:21" ht="13">
      <c r="N253" s="33"/>
      <c r="O253" s="49" t="str">
        <f>IFERROR(VLOOKUP(N253,soils2!$A$2:$C$152,2),"")</f>
        <v/>
      </c>
      <c r="P253" s="49"/>
      <c r="Q253" s="49"/>
      <c r="R253" s="34" t="str">
        <f>IFERROR(VLOOKUP(N253,soils2!$A$2:$C$152,3),"")</f>
        <v/>
      </c>
      <c r="S253" s="49"/>
      <c r="T253" s="49"/>
      <c r="U253" s="33"/>
    </row>
    <row r="254" spans="14:21" ht="13">
      <c r="N254" s="33"/>
      <c r="O254" s="49" t="str">
        <f>IFERROR(VLOOKUP(N254,soils2!$A$2:$C$152,2),"")</f>
        <v/>
      </c>
      <c r="P254" s="49"/>
      <c r="Q254" s="49"/>
      <c r="R254" s="34" t="str">
        <f>IFERROR(VLOOKUP(N254,soils2!$A$2:$C$152,3),"")</f>
        <v/>
      </c>
      <c r="S254" s="49"/>
      <c r="T254" s="49"/>
      <c r="U254" s="33"/>
    </row>
    <row r="255" spans="14:21" ht="13">
      <c r="N255" s="33"/>
      <c r="O255" s="49" t="str">
        <f>IFERROR(VLOOKUP(N255,soils2!$A$2:$C$152,2),"")</f>
        <v/>
      </c>
      <c r="P255" s="49"/>
      <c r="Q255" s="49"/>
      <c r="R255" s="34" t="str">
        <f>IFERROR(VLOOKUP(N255,soils2!$A$2:$C$152,3),"")</f>
        <v/>
      </c>
      <c r="S255" s="49"/>
      <c r="T255" s="49"/>
      <c r="U255" s="33"/>
    </row>
    <row r="256" spans="14:21" ht="13">
      <c r="N256" s="33"/>
      <c r="O256" s="49" t="str">
        <f>IFERROR(VLOOKUP(N256,soils2!$A$2:$C$152,2),"")</f>
        <v/>
      </c>
      <c r="P256" s="49"/>
      <c r="Q256" s="49"/>
      <c r="R256" s="34" t="str">
        <f>IFERROR(VLOOKUP(N256,soils2!$A$2:$C$152,3),"")</f>
        <v/>
      </c>
      <c r="S256" s="49"/>
      <c r="T256" s="49"/>
      <c r="U256" s="33"/>
    </row>
    <row r="257" spans="14:21" ht="13">
      <c r="N257" s="33"/>
      <c r="O257" s="49" t="str">
        <f>IFERROR(VLOOKUP(N257,soils2!$A$2:$C$152,2),"")</f>
        <v/>
      </c>
      <c r="P257" s="49"/>
      <c r="Q257" s="49"/>
      <c r="R257" s="34" t="str">
        <f>IFERROR(VLOOKUP(N257,soils2!$A$2:$C$152,3),"")</f>
        <v/>
      </c>
      <c r="S257" s="49"/>
      <c r="T257" s="49"/>
      <c r="U257" s="33"/>
    </row>
    <row r="258" spans="14:21" ht="13">
      <c r="N258" s="33"/>
      <c r="O258" s="49" t="str">
        <f>IFERROR(VLOOKUP(N258,soils2!$A$2:$C$152,2),"")</f>
        <v/>
      </c>
      <c r="P258" s="49"/>
      <c r="Q258" s="49"/>
      <c r="R258" s="34" t="str">
        <f>IFERROR(VLOOKUP(N258,soils2!$A$2:$C$152,3),"")</f>
        <v/>
      </c>
      <c r="S258" s="49"/>
      <c r="T258" s="49"/>
      <c r="U258" s="33"/>
    </row>
    <row r="259" spans="14:21" ht="13">
      <c r="N259" s="33"/>
      <c r="O259" s="49" t="str">
        <f>IFERROR(VLOOKUP(N259,soils2!$A$2:$C$152,2),"")</f>
        <v/>
      </c>
      <c r="P259" s="49"/>
      <c r="Q259" s="49"/>
      <c r="R259" s="34" t="str">
        <f>IFERROR(VLOOKUP(N259,soils2!$A$2:$C$152,3),"")</f>
        <v/>
      </c>
      <c r="S259" s="49"/>
      <c r="T259" s="49"/>
      <c r="U259" s="33"/>
    </row>
    <row r="260" spans="14:21" ht="13">
      <c r="N260" s="33"/>
      <c r="O260" s="49" t="str">
        <f>IFERROR(VLOOKUP(N260,soils2!$A$2:$C$152,2),"")</f>
        <v/>
      </c>
      <c r="P260" s="49"/>
      <c r="Q260" s="49"/>
      <c r="R260" s="34" t="str">
        <f>IFERROR(VLOOKUP(N260,soils2!$A$2:$C$152,3),"")</f>
        <v/>
      </c>
      <c r="S260" s="49"/>
      <c r="T260" s="49"/>
      <c r="U260" s="33"/>
    </row>
    <row r="261" spans="14:21" ht="13">
      <c r="N261" s="33"/>
      <c r="O261" s="49" t="str">
        <f>IFERROR(VLOOKUP(N261,soils2!$A$2:$C$152,2),"")</f>
        <v/>
      </c>
      <c r="P261" s="49"/>
      <c r="Q261" s="49"/>
      <c r="R261" s="34" t="str">
        <f>IFERROR(VLOOKUP(N261,soils2!$A$2:$C$152,3),"")</f>
        <v/>
      </c>
      <c r="S261" s="49"/>
      <c r="T261" s="49"/>
      <c r="U261" s="33"/>
    </row>
    <row r="262" spans="14:21" ht="13">
      <c r="N262" s="33"/>
      <c r="O262" s="49" t="str">
        <f>IFERROR(VLOOKUP(N262,soils2!$A$2:$C$152,2),"")</f>
        <v/>
      </c>
      <c r="P262" s="49"/>
      <c r="Q262" s="49"/>
      <c r="R262" s="34" t="str">
        <f>IFERROR(VLOOKUP(N262,soils2!$A$2:$C$152,3),"")</f>
        <v/>
      </c>
      <c r="S262" s="49"/>
      <c r="T262" s="49"/>
      <c r="U262" s="33"/>
    </row>
    <row r="263" spans="14:21" ht="13">
      <c r="N263" s="33"/>
      <c r="O263" s="49" t="str">
        <f>IFERROR(VLOOKUP(N263,soils2!$A$2:$C$152,2),"")</f>
        <v/>
      </c>
      <c r="P263" s="49"/>
      <c r="Q263" s="49"/>
      <c r="R263" s="34" t="str">
        <f>IFERROR(VLOOKUP(N263,soils2!$A$2:$C$152,3),"")</f>
        <v/>
      </c>
      <c r="S263" s="49"/>
      <c r="T263" s="49"/>
      <c r="U263" s="33"/>
    </row>
    <row r="264" spans="14:21" ht="13">
      <c r="N264" s="33"/>
      <c r="O264" s="49" t="str">
        <f>IFERROR(VLOOKUP(N264,soils2!$A$2:$C$152,2),"")</f>
        <v/>
      </c>
      <c r="P264" s="49"/>
      <c r="Q264" s="49"/>
      <c r="R264" s="34" t="str">
        <f>IFERROR(VLOOKUP(N264,soils2!$A$2:$C$152,3),"")</f>
        <v/>
      </c>
      <c r="S264" s="49"/>
      <c r="T264" s="49"/>
      <c r="U264" s="33"/>
    </row>
    <row r="265" spans="14:21" ht="13">
      <c r="N265" s="33"/>
      <c r="O265" s="49" t="str">
        <f>IFERROR(VLOOKUP(N265,soils2!$A$2:$C$152,2),"")</f>
        <v/>
      </c>
      <c r="P265" s="49"/>
      <c r="Q265" s="49"/>
      <c r="R265" s="34" t="str">
        <f>IFERROR(VLOOKUP(N265,soils2!$A$2:$C$152,3),"")</f>
        <v/>
      </c>
      <c r="S265" s="49"/>
      <c r="T265" s="49"/>
      <c r="U265" s="33"/>
    </row>
    <row r="266" spans="14:21" ht="13">
      <c r="N266" s="33"/>
      <c r="O266" s="49" t="str">
        <f>IFERROR(VLOOKUP(N266,soils2!$A$2:$C$152,2),"")</f>
        <v/>
      </c>
      <c r="P266" s="49"/>
      <c r="Q266" s="49"/>
      <c r="R266" s="34" t="str">
        <f>IFERROR(VLOOKUP(N266,soils2!$A$2:$C$152,3),"")</f>
        <v/>
      </c>
      <c r="S266" s="49"/>
      <c r="T266" s="49"/>
      <c r="U266" s="33"/>
    </row>
    <row r="267" spans="14:21" ht="13">
      <c r="N267" s="33"/>
      <c r="O267" s="49" t="str">
        <f>IFERROR(VLOOKUP(N267,soils2!$A$2:$C$152,2),"")</f>
        <v/>
      </c>
      <c r="P267" s="49"/>
      <c r="Q267" s="49"/>
      <c r="R267" s="34" t="str">
        <f>IFERROR(VLOOKUP(N267,soils2!$A$2:$C$152,3),"")</f>
        <v/>
      </c>
      <c r="S267" s="49"/>
      <c r="T267" s="49"/>
      <c r="U267" s="33"/>
    </row>
    <row r="268" spans="14:21" ht="13">
      <c r="N268" s="33"/>
      <c r="O268" s="49" t="str">
        <f>IFERROR(VLOOKUP(N268,soils2!$A$2:$C$152,2),"")</f>
        <v/>
      </c>
      <c r="P268" s="49"/>
      <c r="Q268" s="49"/>
      <c r="R268" s="34" t="str">
        <f>IFERROR(VLOOKUP(N268,soils2!$A$2:$C$152,3),"")</f>
        <v/>
      </c>
      <c r="S268" s="49"/>
      <c r="T268" s="49"/>
      <c r="U268" s="33"/>
    </row>
    <row r="269" spans="14:21" ht="13">
      <c r="N269" s="33"/>
      <c r="O269" s="49" t="str">
        <f>IFERROR(VLOOKUP(N269,soils2!$A$2:$C$152,2),"")</f>
        <v/>
      </c>
      <c r="P269" s="49"/>
      <c r="Q269" s="49"/>
      <c r="R269" s="34" t="str">
        <f>IFERROR(VLOOKUP(N269,soils2!$A$2:$C$152,3),"")</f>
        <v/>
      </c>
      <c r="S269" s="49"/>
      <c r="T269" s="49"/>
      <c r="U269" s="33"/>
    </row>
    <row r="270" spans="14:21" ht="13">
      <c r="N270" s="33"/>
      <c r="O270" s="49" t="str">
        <f>IFERROR(VLOOKUP(N270,soils2!$A$2:$C$152,2),"")</f>
        <v/>
      </c>
      <c r="P270" s="49"/>
      <c r="Q270" s="49"/>
      <c r="R270" s="34" t="str">
        <f>IFERROR(VLOOKUP(N270,soils2!$A$2:$C$152,3),"")</f>
        <v/>
      </c>
      <c r="S270" s="49"/>
      <c r="T270" s="49"/>
      <c r="U270" s="33"/>
    </row>
    <row r="271" spans="14:21" ht="13">
      <c r="N271" s="33"/>
      <c r="O271" s="49" t="str">
        <f>IFERROR(VLOOKUP(N271,soils2!$A$2:$C$152,2),"")</f>
        <v/>
      </c>
      <c r="P271" s="49"/>
      <c r="Q271" s="49"/>
      <c r="R271" s="34" t="str">
        <f>IFERROR(VLOOKUP(N271,soils2!$A$2:$C$152,3),"")</f>
        <v/>
      </c>
      <c r="S271" s="49"/>
      <c r="T271" s="49"/>
      <c r="U271" s="33"/>
    </row>
    <row r="272" spans="14:21" ht="13">
      <c r="N272" s="33"/>
      <c r="O272" s="49" t="str">
        <f>IFERROR(VLOOKUP(N272,soils2!$A$2:$C$152,2),"")</f>
        <v/>
      </c>
      <c r="P272" s="49"/>
      <c r="Q272" s="49"/>
      <c r="R272" s="34" t="str">
        <f>IFERROR(VLOOKUP(N272,soils2!$A$2:$C$152,3),"")</f>
        <v/>
      </c>
      <c r="S272" s="49"/>
      <c r="T272" s="49"/>
      <c r="U272" s="33"/>
    </row>
    <row r="273" spans="14:21" ht="13">
      <c r="N273" s="33"/>
      <c r="O273" s="49" t="str">
        <f>IFERROR(VLOOKUP(N273,soils2!$A$2:$C$152,2),"")</f>
        <v/>
      </c>
      <c r="P273" s="49"/>
      <c r="Q273" s="49"/>
      <c r="R273" s="34" t="str">
        <f>IFERROR(VLOOKUP(N273,soils2!$A$2:$C$152,3),"")</f>
        <v/>
      </c>
      <c r="S273" s="49"/>
      <c r="T273" s="49"/>
      <c r="U273" s="33"/>
    </row>
    <row r="274" spans="14:21" ht="13">
      <c r="N274" s="33"/>
      <c r="O274" s="49" t="str">
        <f>IFERROR(VLOOKUP(N274,soils2!$A$2:$C$152,2),"")</f>
        <v/>
      </c>
      <c r="P274" s="49"/>
      <c r="Q274" s="49"/>
      <c r="R274" s="34" t="str">
        <f>IFERROR(VLOOKUP(N274,soils2!$A$2:$C$152,3),"")</f>
        <v/>
      </c>
      <c r="S274" s="49"/>
      <c r="T274" s="49"/>
      <c r="U274" s="33"/>
    </row>
    <row r="275" spans="14:21" ht="13">
      <c r="N275" s="33"/>
      <c r="O275" s="49" t="str">
        <f>IFERROR(VLOOKUP(N275,soils2!$A$2:$C$152,2),"")</f>
        <v/>
      </c>
      <c r="P275" s="49"/>
      <c r="Q275" s="49"/>
      <c r="R275" s="34" t="str">
        <f>IFERROR(VLOOKUP(N275,soils2!$A$2:$C$152,3),"")</f>
        <v/>
      </c>
      <c r="S275" s="49"/>
      <c r="T275" s="49"/>
      <c r="U275" s="33"/>
    </row>
    <row r="276" spans="14:21" ht="13">
      <c r="N276" s="33"/>
      <c r="O276" s="49" t="str">
        <f>IFERROR(VLOOKUP(N276,soils2!$A$2:$C$152,2),"")</f>
        <v/>
      </c>
      <c r="P276" s="49"/>
      <c r="Q276" s="49"/>
      <c r="R276" s="34" t="str">
        <f>IFERROR(VLOOKUP(N276,soils2!$A$2:$C$152,3),"")</f>
        <v/>
      </c>
      <c r="S276" s="49"/>
      <c r="T276" s="49"/>
      <c r="U276" s="33"/>
    </row>
    <row r="277" spans="14:21" ht="13">
      <c r="N277" s="33"/>
      <c r="O277" s="49" t="str">
        <f>IFERROR(VLOOKUP(N277,soils2!$A$2:$C$152,2),"")</f>
        <v/>
      </c>
      <c r="P277" s="49"/>
      <c r="Q277" s="49"/>
      <c r="R277" s="34" t="str">
        <f>IFERROR(VLOOKUP(N277,soils2!$A$2:$C$152,3),"")</f>
        <v/>
      </c>
      <c r="S277" s="49"/>
      <c r="T277" s="49"/>
      <c r="U277" s="33"/>
    </row>
    <row r="278" spans="14:21" ht="13">
      <c r="N278" s="33"/>
      <c r="O278" s="49" t="str">
        <f>IFERROR(VLOOKUP(N278,soils2!$A$2:$C$152,2),"")</f>
        <v/>
      </c>
      <c r="P278" s="49"/>
      <c r="Q278" s="49"/>
      <c r="R278" s="34" t="str">
        <f>IFERROR(VLOOKUP(N278,soils2!$A$2:$C$152,3),"")</f>
        <v/>
      </c>
      <c r="S278" s="49"/>
      <c r="T278" s="49"/>
      <c r="U278" s="33"/>
    </row>
    <row r="279" spans="14:21" ht="13">
      <c r="N279" s="33"/>
      <c r="O279" s="49" t="str">
        <f>IFERROR(VLOOKUP(N279,soils2!$A$2:$C$152,2),"")</f>
        <v/>
      </c>
      <c r="P279" s="49"/>
      <c r="Q279" s="49"/>
      <c r="R279" s="34" t="str">
        <f>IFERROR(VLOOKUP(N279,soils2!$A$2:$C$152,3),"")</f>
        <v/>
      </c>
      <c r="S279" s="49"/>
      <c r="T279" s="49"/>
      <c r="U279" s="33"/>
    </row>
    <row r="280" spans="14:21" ht="13">
      <c r="N280" s="33"/>
      <c r="O280" s="49" t="str">
        <f>IFERROR(VLOOKUP(N280,soils2!$A$2:$C$152,2),"")</f>
        <v/>
      </c>
      <c r="P280" s="49"/>
      <c r="Q280" s="49"/>
      <c r="R280" s="34" t="str">
        <f>IFERROR(VLOOKUP(N280,soils2!$A$2:$C$152,3),"")</f>
        <v/>
      </c>
      <c r="S280" s="49"/>
      <c r="T280" s="49"/>
      <c r="U280" s="33"/>
    </row>
    <row r="281" spans="14:21" ht="13">
      <c r="N281" s="33"/>
      <c r="O281" s="49" t="str">
        <f>IFERROR(VLOOKUP(N281,soils2!$A$2:$C$152,2),"")</f>
        <v/>
      </c>
      <c r="P281" s="49"/>
      <c r="Q281" s="49"/>
      <c r="R281" s="34" t="str">
        <f>IFERROR(VLOOKUP(N281,soils2!$A$2:$C$152,3),"")</f>
        <v/>
      </c>
      <c r="S281" s="49"/>
      <c r="T281" s="49"/>
      <c r="U281" s="33"/>
    </row>
    <row r="282" spans="14:21" ht="13">
      <c r="N282" s="33"/>
      <c r="O282" s="49" t="str">
        <f>IFERROR(VLOOKUP(N282,soils2!$A$2:$C$152,2),"")</f>
        <v/>
      </c>
      <c r="P282" s="49"/>
      <c r="Q282" s="49"/>
      <c r="R282" s="34" t="str">
        <f>IFERROR(VLOOKUP(N282,soils2!$A$2:$C$152,3),"")</f>
        <v/>
      </c>
      <c r="S282" s="49"/>
      <c r="T282" s="49"/>
      <c r="U282" s="33"/>
    </row>
    <row r="283" spans="14:21" ht="13">
      <c r="N283" s="33"/>
      <c r="O283" s="49" t="str">
        <f>IFERROR(VLOOKUP(N283,soils2!$A$2:$C$152,2),"")</f>
        <v/>
      </c>
      <c r="P283" s="49"/>
      <c r="Q283" s="49"/>
      <c r="R283" s="34" t="str">
        <f>IFERROR(VLOOKUP(N283,soils2!$A$2:$C$152,3),"")</f>
        <v/>
      </c>
      <c r="S283" s="49"/>
      <c r="T283" s="49"/>
      <c r="U283" s="33"/>
    </row>
    <row r="284" spans="14:21" ht="13">
      <c r="N284" s="33"/>
      <c r="O284" s="49" t="str">
        <f>IFERROR(VLOOKUP(N284,soils2!$A$2:$C$152,2),"")</f>
        <v/>
      </c>
      <c r="P284" s="49"/>
      <c r="Q284" s="49"/>
      <c r="R284" s="34" t="str">
        <f>IFERROR(VLOOKUP(N284,soils2!$A$2:$C$152,3),"")</f>
        <v/>
      </c>
      <c r="S284" s="49"/>
      <c r="T284" s="49"/>
      <c r="U284" s="33"/>
    </row>
    <row r="285" spans="14:21" ht="13">
      <c r="N285" s="33"/>
      <c r="O285" s="49" t="str">
        <f>IFERROR(VLOOKUP(N285,soils2!$A$2:$C$152,2),"")</f>
        <v/>
      </c>
      <c r="P285" s="49"/>
      <c r="Q285" s="49"/>
      <c r="R285" s="34" t="str">
        <f>IFERROR(VLOOKUP(N285,soils2!$A$2:$C$152,3),"")</f>
        <v/>
      </c>
      <c r="S285" s="49"/>
      <c r="T285" s="49"/>
      <c r="U285" s="33"/>
    </row>
    <row r="286" spans="14:21" ht="13">
      <c r="N286" s="33"/>
      <c r="O286" s="49" t="str">
        <f>IFERROR(VLOOKUP(N286,soils2!$A$2:$C$152,2),"")</f>
        <v/>
      </c>
      <c r="P286" s="49"/>
      <c r="Q286" s="49"/>
      <c r="R286" s="34" t="str">
        <f>IFERROR(VLOOKUP(N286,soils2!$A$2:$C$152,3),"")</f>
        <v/>
      </c>
      <c r="S286" s="49"/>
      <c r="T286" s="49"/>
      <c r="U286" s="33"/>
    </row>
    <row r="287" spans="14:21" ht="13">
      <c r="N287" s="33"/>
      <c r="O287" s="49" t="str">
        <f>IFERROR(VLOOKUP(N287,soils2!$A$2:$C$152,2),"")</f>
        <v/>
      </c>
      <c r="P287" s="49"/>
      <c r="Q287" s="49"/>
      <c r="R287" s="34" t="str">
        <f>IFERROR(VLOOKUP(N287,soils2!$A$2:$C$152,3),"")</f>
        <v/>
      </c>
      <c r="S287" s="49"/>
      <c r="T287" s="49"/>
      <c r="U287" s="33"/>
    </row>
    <row r="288" spans="14:21" ht="13">
      <c r="N288" s="33"/>
      <c r="O288" s="49" t="str">
        <f>IFERROR(VLOOKUP(N288,soils2!$A$2:$C$152,2),"")</f>
        <v/>
      </c>
      <c r="P288" s="49"/>
      <c r="Q288" s="49"/>
      <c r="R288" s="34" t="str">
        <f>IFERROR(VLOOKUP(N288,soils2!$A$2:$C$152,3),"")</f>
        <v/>
      </c>
      <c r="S288" s="49"/>
      <c r="T288" s="49"/>
      <c r="U288" s="33"/>
    </row>
    <row r="289" spans="14:21" ht="13">
      <c r="N289" s="33"/>
      <c r="O289" s="49" t="str">
        <f>IFERROR(VLOOKUP(N289,soils2!$A$2:$C$152,2),"")</f>
        <v/>
      </c>
      <c r="P289" s="49"/>
      <c r="Q289" s="49"/>
      <c r="R289" s="34" t="str">
        <f>IFERROR(VLOOKUP(N289,soils2!$A$2:$C$152,3),"")</f>
        <v/>
      </c>
      <c r="S289" s="49"/>
      <c r="T289" s="49"/>
      <c r="U289" s="33"/>
    </row>
    <row r="290" spans="14:21" ht="13">
      <c r="N290" s="33"/>
      <c r="O290" s="49" t="str">
        <f>IFERROR(VLOOKUP(N290,soils2!$A$2:$C$152,2),"")</f>
        <v/>
      </c>
      <c r="P290" s="49"/>
      <c r="Q290" s="49"/>
      <c r="R290" s="34" t="str">
        <f>IFERROR(VLOOKUP(N290,soils2!$A$2:$C$152,3),"")</f>
        <v/>
      </c>
      <c r="S290" s="49"/>
      <c r="T290" s="49"/>
      <c r="U290" s="33"/>
    </row>
    <row r="291" spans="14:21" ht="13">
      <c r="N291" s="33"/>
      <c r="O291" s="49" t="str">
        <f>IFERROR(VLOOKUP(N291,soils2!$A$2:$C$152,2),"")</f>
        <v/>
      </c>
      <c r="P291" s="49"/>
      <c r="Q291" s="49"/>
      <c r="R291" s="34" t="str">
        <f>IFERROR(VLOOKUP(N291,soils2!$A$2:$C$152,3),"")</f>
        <v/>
      </c>
      <c r="S291" s="49"/>
      <c r="T291" s="49"/>
      <c r="U291" s="33"/>
    </row>
    <row r="292" spans="14:21" ht="13">
      <c r="N292" s="33"/>
      <c r="O292" s="49" t="str">
        <f>IFERROR(VLOOKUP(N292,soils2!$A$2:$C$152,2),"")</f>
        <v/>
      </c>
      <c r="P292" s="49"/>
      <c r="Q292" s="49"/>
      <c r="R292" s="34" t="str">
        <f>IFERROR(VLOOKUP(N292,soils2!$A$2:$C$152,3),"")</f>
        <v/>
      </c>
      <c r="S292" s="49"/>
      <c r="T292" s="49"/>
      <c r="U292" s="33"/>
    </row>
    <row r="293" spans="14:21" ht="13">
      <c r="N293" s="33"/>
      <c r="O293" s="49" t="str">
        <f>IFERROR(VLOOKUP(N293,soils2!$A$2:$C$152,2),"")</f>
        <v/>
      </c>
      <c r="P293" s="49"/>
      <c r="Q293" s="49"/>
      <c r="R293" s="34" t="str">
        <f>IFERROR(VLOOKUP(N293,soils2!$A$2:$C$152,3),"")</f>
        <v/>
      </c>
      <c r="S293" s="49"/>
      <c r="T293" s="49"/>
      <c r="U293" s="33"/>
    </row>
    <row r="294" spans="14:21" ht="13">
      <c r="N294" s="33"/>
      <c r="O294" s="49" t="str">
        <f>IFERROR(VLOOKUP(N294,soils2!$A$2:$C$152,2),"")</f>
        <v/>
      </c>
      <c r="P294" s="49"/>
      <c r="Q294" s="49"/>
      <c r="R294" s="34" t="str">
        <f>IFERROR(VLOOKUP(N294,soils2!$A$2:$C$152,3),"")</f>
        <v/>
      </c>
      <c r="S294" s="49"/>
      <c r="T294" s="49"/>
      <c r="U294" s="33"/>
    </row>
    <row r="295" spans="14:21" ht="13">
      <c r="N295" s="33"/>
      <c r="O295" s="49" t="str">
        <f>IFERROR(VLOOKUP(N295,soils2!$A$2:$C$152,2),"")</f>
        <v/>
      </c>
      <c r="P295" s="49"/>
      <c r="Q295" s="49"/>
      <c r="R295" s="34" t="str">
        <f>IFERROR(VLOOKUP(N295,soils2!$A$2:$C$152,3),"")</f>
        <v/>
      </c>
      <c r="S295" s="49"/>
      <c r="T295" s="49"/>
      <c r="U295" s="33"/>
    </row>
    <row r="296" spans="14:21" ht="13">
      <c r="N296" s="33"/>
      <c r="O296" s="49" t="str">
        <f>IFERROR(VLOOKUP(N296,soils2!$A$2:$C$152,2),"")</f>
        <v/>
      </c>
      <c r="P296" s="49"/>
      <c r="Q296" s="49"/>
      <c r="R296" s="34" t="str">
        <f>IFERROR(VLOOKUP(N296,soils2!$A$2:$C$152,3),"")</f>
        <v/>
      </c>
      <c r="S296" s="49"/>
      <c r="T296" s="49"/>
      <c r="U296" s="33"/>
    </row>
    <row r="297" spans="14:21" ht="13">
      <c r="N297" s="33"/>
      <c r="O297" s="49" t="str">
        <f>IFERROR(VLOOKUP(N297,soils2!$A$2:$C$152,2),"")</f>
        <v/>
      </c>
      <c r="P297" s="49"/>
      <c r="Q297" s="49"/>
      <c r="R297" s="34" t="str">
        <f>IFERROR(VLOOKUP(N297,soils2!$A$2:$C$152,3),"")</f>
        <v/>
      </c>
      <c r="S297" s="49"/>
      <c r="T297" s="49"/>
      <c r="U297" s="33"/>
    </row>
    <row r="298" spans="14:21" ht="13">
      <c r="N298" s="33"/>
      <c r="O298" s="49" t="str">
        <f>IFERROR(VLOOKUP(N298,soils2!$A$2:$C$152,2),"")</f>
        <v/>
      </c>
      <c r="P298" s="49"/>
      <c r="Q298" s="49"/>
      <c r="R298" s="34" t="str">
        <f>IFERROR(VLOOKUP(N298,soils2!$A$2:$C$152,3),"")</f>
        <v/>
      </c>
      <c r="S298" s="49"/>
      <c r="T298" s="49"/>
      <c r="U298" s="33"/>
    </row>
    <row r="299" spans="14:21" ht="13">
      <c r="N299" s="33"/>
      <c r="O299" s="49" t="str">
        <f>IFERROR(VLOOKUP(N299,soils2!$A$2:$C$152,2),"")</f>
        <v/>
      </c>
      <c r="P299" s="49"/>
      <c r="Q299" s="49"/>
      <c r="R299" s="34" t="str">
        <f>IFERROR(VLOOKUP(N299,soils2!$A$2:$C$152,3),"")</f>
        <v/>
      </c>
      <c r="S299" s="49"/>
      <c r="T299" s="49"/>
      <c r="U299" s="33"/>
    </row>
    <row r="300" spans="14:21" ht="13">
      <c r="N300" s="33"/>
      <c r="O300" s="49" t="str">
        <f>IFERROR(VLOOKUP(N300,soils2!$A$2:$C$152,2),"")</f>
        <v/>
      </c>
      <c r="P300" s="49"/>
      <c r="Q300" s="49"/>
      <c r="R300" s="34" t="str">
        <f>IFERROR(VLOOKUP(N300,soils2!$A$2:$C$152,3),"")</f>
        <v/>
      </c>
      <c r="S300" s="49"/>
      <c r="T300" s="49"/>
      <c r="U300" s="33"/>
    </row>
    <row r="301" spans="14:21" ht="13">
      <c r="N301" s="33"/>
      <c r="O301" s="49" t="str">
        <f>IFERROR(VLOOKUP(N301,soils2!$A$2:$C$152,2),"")</f>
        <v/>
      </c>
      <c r="P301" s="49"/>
      <c r="Q301" s="49"/>
      <c r="R301" s="34" t="str">
        <f>IFERROR(VLOOKUP(N301,soils2!$A$2:$C$152,3),"")</f>
        <v/>
      </c>
      <c r="S301" s="49"/>
      <c r="T301" s="49"/>
      <c r="U301" s="33"/>
    </row>
    <row r="302" spans="14:21" ht="13">
      <c r="N302" s="33"/>
      <c r="O302" s="49" t="str">
        <f>IFERROR(VLOOKUP(N302,soils2!$A$2:$C$152,2),"")</f>
        <v/>
      </c>
      <c r="P302" s="49"/>
      <c r="Q302" s="49"/>
      <c r="R302" s="34" t="str">
        <f>IFERROR(VLOOKUP(N302,soils2!$A$2:$C$152,3),"")</f>
        <v/>
      </c>
      <c r="S302" s="49"/>
      <c r="T302" s="49"/>
      <c r="U302" s="33"/>
    </row>
    <row r="303" spans="14:21" ht="13">
      <c r="N303" s="33"/>
      <c r="O303" s="49" t="str">
        <f>IFERROR(VLOOKUP(N303,soils2!$A$2:$C$152,2),"")</f>
        <v/>
      </c>
      <c r="P303" s="49"/>
      <c r="Q303" s="49"/>
      <c r="R303" s="34" t="str">
        <f>IFERROR(VLOOKUP(N303,soils2!$A$2:$C$152,3),"")</f>
        <v/>
      </c>
      <c r="S303" s="49"/>
      <c r="T303" s="49"/>
      <c r="U303" s="33"/>
    </row>
    <row r="304" spans="14:21" ht="13">
      <c r="N304" s="33"/>
      <c r="O304" s="49" t="str">
        <f>IFERROR(VLOOKUP(N304,soils2!$A$2:$C$152,2),"")</f>
        <v/>
      </c>
      <c r="P304" s="49"/>
      <c r="Q304" s="49"/>
      <c r="R304" s="34" t="str">
        <f>IFERROR(VLOOKUP(N304,soils2!$A$2:$C$152,3),"")</f>
        <v/>
      </c>
      <c r="S304" s="49"/>
      <c r="T304" s="49"/>
      <c r="U304" s="33"/>
    </row>
    <row r="305" spans="14:21" ht="13">
      <c r="N305" s="33"/>
      <c r="O305" s="49" t="str">
        <f>IFERROR(VLOOKUP(N305,soils2!$A$2:$C$152,2),"")</f>
        <v/>
      </c>
      <c r="P305" s="49"/>
      <c r="Q305" s="49"/>
      <c r="R305" s="34" t="str">
        <f>IFERROR(VLOOKUP(N305,soils2!$A$2:$C$152,3),"")</f>
        <v/>
      </c>
      <c r="S305" s="49"/>
      <c r="T305" s="49"/>
      <c r="U305" s="33"/>
    </row>
    <row r="306" spans="14:21" ht="13">
      <c r="N306" s="33"/>
      <c r="O306" s="49" t="str">
        <f>IFERROR(VLOOKUP(N306,soils2!$A$2:$C$152,2),"")</f>
        <v/>
      </c>
      <c r="P306" s="49"/>
      <c r="Q306" s="49"/>
      <c r="R306" s="34" t="str">
        <f>IFERROR(VLOOKUP(N306,soils2!$A$2:$C$152,3),"")</f>
        <v/>
      </c>
      <c r="S306" s="49"/>
      <c r="T306" s="49"/>
      <c r="U306" s="33"/>
    </row>
    <row r="307" spans="14:21" ht="13">
      <c r="N307" s="33"/>
      <c r="O307" s="49" t="str">
        <f>IFERROR(VLOOKUP(N307,soils2!$A$2:$C$152,2),"")</f>
        <v/>
      </c>
      <c r="P307" s="49"/>
      <c r="Q307" s="49"/>
      <c r="R307" s="34" t="str">
        <f>IFERROR(VLOOKUP(N307,soils2!$A$2:$C$152,3),"")</f>
        <v/>
      </c>
      <c r="S307" s="49"/>
      <c r="T307" s="49"/>
      <c r="U307" s="33"/>
    </row>
    <row r="308" spans="14:21" ht="13">
      <c r="N308" s="33"/>
      <c r="O308" s="49" t="str">
        <f>IFERROR(VLOOKUP(N308,soils2!$A$2:$C$152,2),"")</f>
        <v/>
      </c>
      <c r="P308" s="49"/>
      <c r="Q308" s="49"/>
      <c r="R308" s="34" t="str">
        <f>IFERROR(VLOOKUP(N308,soils2!$A$2:$C$152,3),"")</f>
        <v/>
      </c>
      <c r="S308" s="49"/>
      <c r="T308" s="49"/>
      <c r="U308" s="33"/>
    </row>
    <row r="309" spans="14:21" ht="13">
      <c r="N309" s="33"/>
      <c r="O309" s="49" t="str">
        <f>IFERROR(VLOOKUP(N309,soils2!$A$2:$C$152,2),"")</f>
        <v/>
      </c>
      <c r="P309" s="49"/>
      <c r="Q309" s="49"/>
      <c r="R309" s="34" t="str">
        <f>IFERROR(VLOOKUP(N309,soils2!$A$2:$C$152,3),"")</f>
        <v/>
      </c>
      <c r="S309" s="49"/>
      <c r="T309" s="49"/>
      <c r="U309" s="33"/>
    </row>
    <row r="310" spans="14:21" ht="13">
      <c r="N310" s="33"/>
      <c r="O310" s="49" t="str">
        <f>IFERROR(VLOOKUP(N310,soils2!$A$2:$C$152,2),"")</f>
        <v/>
      </c>
      <c r="P310" s="49"/>
      <c r="Q310" s="49"/>
      <c r="R310" s="34" t="str">
        <f>IFERROR(VLOOKUP(N310,soils2!$A$2:$C$152,3),"")</f>
        <v/>
      </c>
      <c r="S310" s="49"/>
      <c r="T310" s="49"/>
      <c r="U310" s="33"/>
    </row>
    <row r="311" spans="14:21" ht="13">
      <c r="N311" s="33"/>
      <c r="O311" s="49" t="str">
        <f>IFERROR(VLOOKUP(N311,soils2!$A$2:$C$152,2),"")</f>
        <v/>
      </c>
      <c r="P311" s="49"/>
      <c r="Q311" s="49"/>
      <c r="R311" s="34" t="str">
        <f>IFERROR(VLOOKUP(N311,soils2!$A$2:$C$152,3),"")</f>
        <v/>
      </c>
      <c r="S311" s="49"/>
      <c r="T311" s="49"/>
      <c r="U311" s="33"/>
    </row>
    <row r="312" spans="14:21" ht="13">
      <c r="N312" s="33"/>
      <c r="O312" s="49" t="str">
        <f>IFERROR(VLOOKUP(N312,soils2!$A$2:$C$152,2),"")</f>
        <v/>
      </c>
      <c r="P312" s="49"/>
      <c r="Q312" s="49"/>
      <c r="R312" s="34" t="str">
        <f>IFERROR(VLOOKUP(N312,soils2!$A$2:$C$152,3),"")</f>
        <v/>
      </c>
      <c r="S312" s="49"/>
      <c r="T312" s="49"/>
      <c r="U312" s="33"/>
    </row>
    <row r="313" spans="14:21" ht="13">
      <c r="N313" s="33"/>
      <c r="O313" s="49" t="str">
        <f>IFERROR(VLOOKUP(N313,soils2!$A$2:$C$152,2),"")</f>
        <v/>
      </c>
      <c r="P313" s="49"/>
      <c r="Q313" s="49"/>
      <c r="R313" s="34" t="str">
        <f>IFERROR(VLOOKUP(N313,soils2!$A$2:$C$152,3),"")</f>
        <v/>
      </c>
      <c r="S313" s="49"/>
      <c r="T313" s="49"/>
      <c r="U313" s="33"/>
    </row>
    <row r="314" spans="14:21" ht="13">
      <c r="N314" s="33"/>
      <c r="O314" s="49" t="str">
        <f>IFERROR(VLOOKUP(N314,soils2!$A$2:$C$152,2),"")</f>
        <v/>
      </c>
      <c r="P314" s="49"/>
      <c r="Q314" s="49"/>
      <c r="R314" s="34" t="str">
        <f>IFERROR(VLOOKUP(N314,soils2!$A$2:$C$152,3),"")</f>
        <v/>
      </c>
      <c r="S314" s="49"/>
      <c r="T314" s="49"/>
      <c r="U314" s="33"/>
    </row>
    <row r="315" spans="14:21" ht="13">
      <c r="N315" s="33"/>
      <c r="O315" s="49" t="str">
        <f>IFERROR(VLOOKUP(N315,soils2!$A$2:$C$152,2),"")</f>
        <v/>
      </c>
      <c r="P315" s="49"/>
      <c r="Q315" s="49"/>
      <c r="R315" s="34" t="str">
        <f>IFERROR(VLOOKUP(N315,soils2!$A$2:$C$152,3),"")</f>
        <v/>
      </c>
      <c r="S315" s="49"/>
      <c r="T315" s="49"/>
      <c r="U315" s="33"/>
    </row>
    <row r="316" spans="14:21" ht="13">
      <c r="N316" s="33"/>
      <c r="O316" s="49" t="str">
        <f>IFERROR(VLOOKUP(N316,soils2!$A$2:$C$152,2),"")</f>
        <v/>
      </c>
      <c r="P316" s="49"/>
      <c r="Q316" s="49"/>
      <c r="R316" s="34" t="str">
        <f>IFERROR(VLOOKUP(N316,soils2!$A$2:$C$152,3),"")</f>
        <v/>
      </c>
      <c r="S316" s="49"/>
      <c r="T316" s="49"/>
      <c r="U316" s="33"/>
    </row>
    <row r="317" spans="14:21" ht="13">
      <c r="N317" s="33"/>
      <c r="O317" s="49" t="str">
        <f>IFERROR(VLOOKUP(N317,soils2!$A$2:$C$152,2),"")</f>
        <v/>
      </c>
      <c r="P317" s="49"/>
      <c r="Q317" s="49"/>
      <c r="R317" s="34" t="str">
        <f>IFERROR(VLOOKUP(N317,soils2!$A$2:$C$152,3),"")</f>
        <v/>
      </c>
      <c r="S317" s="49"/>
      <c r="T317" s="49"/>
      <c r="U317" s="33"/>
    </row>
    <row r="318" spans="14:21" ht="13">
      <c r="N318" s="33"/>
      <c r="O318" s="49" t="str">
        <f>IFERROR(VLOOKUP(N318,soils2!$A$2:$C$152,2),"")</f>
        <v/>
      </c>
      <c r="P318" s="49"/>
      <c r="Q318" s="49"/>
      <c r="R318" s="34" t="str">
        <f>IFERROR(VLOOKUP(N318,soils2!$A$2:$C$152,3),"")</f>
        <v/>
      </c>
      <c r="S318" s="49"/>
      <c r="T318" s="49"/>
      <c r="U318" s="33"/>
    </row>
    <row r="319" spans="14:21" ht="13">
      <c r="N319" s="33"/>
      <c r="O319" s="49" t="str">
        <f>IFERROR(VLOOKUP(N319,soils2!$A$2:$C$152,2),"")</f>
        <v/>
      </c>
      <c r="P319" s="49"/>
      <c r="Q319" s="49"/>
      <c r="R319" s="34" t="str">
        <f>IFERROR(VLOOKUP(N319,soils2!$A$2:$C$152,3),"")</f>
        <v/>
      </c>
      <c r="S319" s="49"/>
      <c r="T319" s="49"/>
      <c r="U319" s="33"/>
    </row>
    <row r="320" spans="14:21" ht="13">
      <c r="N320" s="33"/>
      <c r="O320" s="49" t="str">
        <f>IFERROR(VLOOKUP(N320,soils2!$A$2:$C$152,2),"")</f>
        <v/>
      </c>
      <c r="P320" s="49"/>
      <c r="Q320" s="49"/>
      <c r="R320" s="34" t="str">
        <f>IFERROR(VLOOKUP(N320,soils2!$A$2:$C$152,3),"")</f>
        <v/>
      </c>
      <c r="S320" s="49"/>
      <c r="T320" s="49"/>
      <c r="U320" s="33"/>
    </row>
    <row r="321" spans="14:21" ht="13">
      <c r="N321" s="33"/>
      <c r="O321" s="49" t="str">
        <f>IFERROR(VLOOKUP(N321,soils2!$A$2:$C$152,2),"")</f>
        <v/>
      </c>
      <c r="P321" s="49"/>
      <c r="Q321" s="49"/>
      <c r="R321" s="34" t="str">
        <f>IFERROR(VLOOKUP(N321,soils2!$A$2:$C$152,3),"")</f>
        <v/>
      </c>
      <c r="S321" s="49"/>
      <c r="T321" s="49"/>
      <c r="U321" s="33"/>
    </row>
    <row r="322" spans="14:21" ht="13">
      <c r="N322" s="33"/>
      <c r="O322" s="49" t="str">
        <f>IFERROR(VLOOKUP(N322,soils2!$A$2:$C$152,2),"")</f>
        <v/>
      </c>
      <c r="P322" s="49"/>
      <c r="Q322" s="49"/>
      <c r="R322" s="34" t="str">
        <f>IFERROR(VLOOKUP(N322,soils2!$A$2:$C$152,3),"")</f>
        <v/>
      </c>
      <c r="S322" s="49"/>
      <c r="T322" s="49"/>
      <c r="U322" s="33"/>
    </row>
    <row r="323" spans="14:21" ht="13">
      <c r="N323" s="33"/>
      <c r="O323" s="49" t="str">
        <f>IFERROR(VLOOKUP(N323,soils2!$A$2:$C$152,2),"")</f>
        <v/>
      </c>
      <c r="P323" s="49"/>
      <c r="Q323" s="49"/>
      <c r="R323" s="34" t="str">
        <f>IFERROR(VLOOKUP(N323,soils2!$A$2:$C$152,3),"")</f>
        <v/>
      </c>
      <c r="S323" s="49"/>
      <c r="T323" s="49"/>
      <c r="U323" s="33"/>
    </row>
    <row r="324" spans="14:21" ht="13">
      <c r="N324" s="33"/>
      <c r="O324" s="49" t="str">
        <f>IFERROR(VLOOKUP(N324,soils2!$A$2:$C$152,2),"")</f>
        <v/>
      </c>
      <c r="P324" s="49"/>
      <c r="Q324" s="49"/>
      <c r="R324" s="34" t="str">
        <f>IFERROR(VLOOKUP(N324,soils2!$A$2:$C$152,3),"")</f>
        <v/>
      </c>
      <c r="S324" s="49"/>
      <c r="T324" s="49"/>
      <c r="U324" s="33"/>
    </row>
    <row r="325" spans="14:21" ht="13">
      <c r="N325" s="33"/>
      <c r="O325" s="49" t="str">
        <f>IFERROR(VLOOKUP(N325,soils2!$A$2:$C$152,2),"")</f>
        <v/>
      </c>
      <c r="P325" s="49"/>
      <c r="Q325" s="49"/>
      <c r="R325" s="34" t="str">
        <f>IFERROR(VLOOKUP(N325,soils2!$A$2:$C$152,3),"")</f>
        <v/>
      </c>
      <c r="S325" s="49"/>
      <c r="T325" s="49"/>
      <c r="U325" s="33"/>
    </row>
    <row r="326" spans="14:21" ht="13">
      <c r="N326" s="33"/>
      <c r="O326" s="49" t="str">
        <f>IFERROR(VLOOKUP(N326,soils2!$A$2:$C$152,2),"")</f>
        <v/>
      </c>
      <c r="P326" s="49"/>
      <c r="Q326" s="49"/>
      <c r="R326" s="34" t="str">
        <f>IFERROR(VLOOKUP(N326,soils2!$A$2:$C$152,3),"")</f>
        <v/>
      </c>
      <c r="S326" s="49"/>
      <c r="T326" s="49"/>
      <c r="U326" s="33"/>
    </row>
    <row r="327" spans="14:21" ht="13">
      <c r="N327" s="33"/>
      <c r="O327" s="49" t="str">
        <f>IFERROR(VLOOKUP(N327,soils2!$A$2:$C$152,2),"")</f>
        <v/>
      </c>
      <c r="P327" s="49"/>
      <c r="Q327" s="49"/>
      <c r="R327" s="34" t="str">
        <f>IFERROR(VLOOKUP(N327,soils2!$A$2:$C$152,3),"")</f>
        <v/>
      </c>
      <c r="S327" s="49"/>
      <c r="T327" s="49"/>
      <c r="U327" s="33"/>
    </row>
    <row r="328" spans="14:21" ht="13">
      <c r="N328" s="33"/>
      <c r="O328" s="49" t="str">
        <f>IFERROR(VLOOKUP(N328,soils2!$A$2:$C$152,2),"")</f>
        <v/>
      </c>
      <c r="P328" s="49"/>
      <c r="Q328" s="49"/>
      <c r="R328" s="34" t="str">
        <f>IFERROR(VLOOKUP(N328,soils2!$A$2:$C$152,3),"")</f>
        <v/>
      </c>
      <c r="S328" s="49"/>
      <c r="T328" s="49"/>
      <c r="U328" s="33"/>
    </row>
    <row r="329" spans="14:21" ht="13">
      <c r="N329" s="33"/>
      <c r="O329" s="49" t="str">
        <f>IFERROR(VLOOKUP(N329,soils2!$A$2:$C$152,2),"")</f>
        <v/>
      </c>
      <c r="P329" s="49"/>
      <c r="Q329" s="49"/>
      <c r="R329" s="34" t="str">
        <f>IFERROR(VLOOKUP(N329,soils2!$A$2:$C$152,3),"")</f>
        <v/>
      </c>
      <c r="S329" s="49"/>
      <c r="T329" s="49"/>
      <c r="U329" s="33"/>
    </row>
    <row r="330" spans="14:21" ht="13">
      <c r="N330" s="33"/>
      <c r="O330" s="49" t="str">
        <f>IFERROR(VLOOKUP(N330,soils2!$A$2:$C$152,2),"")</f>
        <v/>
      </c>
      <c r="P330" s="49"/>
      <c r="Q330" s="49"/>
      <c r="R330" s="34" t="str">
        <f>IFERROR(VLOOKUP(N330,soils2!$A$2:$C$152,3),"")</f>
        <v/>
      </c>
      <c r="S330" s="49"/>
      <c r="T330" s="49"/>
      <c r="U330" s="33"/>
    </row>
    <row r="331" spans="14:21" ht="13">
      <c r="N331" s="33"/>
      <c r="O331" s="49" t="str">
        <f>IFERROR(VLOOKUP(N331,soils2!$A$2:$C$152,2),"")</f>
        <v/>
      </c>
      <c r="P331" s="49"/>
      <c r="Q331" s="49"/>
      <c r="R331" s="34" t="str">
        <f>IFERROR(VLOOKUP(N331,soils2!$A$2:$C$152,3),"")</f>
        <v/>
      </c>
      <c r="S331" s="49"/>
      <c r="T331" s="49"/>
      <c r="U331" s="33"/>
    </row>
    <row r="332" spans="14:21" ht="13">
      <c r="N332" s="33"/>
      <c r="O332" s="49" t="str">
        <f>IFERROR(VLOOKUP(N332,soils2!$A$2:$C$152,2),"")</f>
        <v/>
      </c>
      <c r="P332" s="49"/>
      <c r="Q332" s="49"/>
      <c r="R332" s="34" t="str">
        <f>IFERROR(VLOOKUP(N332,soils2!$A$2:$C$152,3),"")</f>
        <v/>
      </c>
      <c r="S332" s="49"/>
      <c r="T332" s="49"/>
      <c r="U332" s="33"/>
    </row>
    <row r="333" spans="14:21" ht="13">
      <c r="N333" s="33"/>
      <c r="O333" s="49" t="str">
        <f>IFERROR(VLOOKUP(N333,soils2!$A$2:$C$152,2),"")</f>
        <v/>
      </c>
      <c r="P333" s="49"/>
      <c r="Q333" s="49"/>
      <c r="R333" s="34" t="str">
        <f>IFERROR(VLOOKUP(N333,soils2!$A$2:$C$152,3),"")</f>
        <v/>
      </c>
      <c r="S333" s="49"/>
      <c r="T333" s="49"/>
      <c r="U333" s="33"/>
    </row>
    <row r="334" spans="14:21" ht="13">
      <c r="N334" s="33"/>
      <c r="O334" s="49" t="str">
        <f>IFERROR(VLOOKUP(N334,soils2!$A$2:$C$152,2),"")</f>
        <v/>
      </c>
      <c r="P334" s="49"/>
      <c r="Q334" s="49"/>
      <c r="R334" s="34" t="str">
        <f>IFERROR(VLOOKUP(N334,soils2!$A$2:$C$152,3),"")</f>
        <v/>
      </c>
      <c r="S334" s="49"/>
      <c r="T334" s="49"/>
      <c r="U334" s="33"/>
    </row>
    <row r="335" spans="14:21" ht="13">
      <c r="N335" s="33"/>
      <c r="O335" s="49" t="str">
        <f>IFERROR(VLOOKUP(N335,soils2!$A$2:$C$152,2),"")</f>
        <v/>
      </c>
      <c r="P335" s="49"/>
      <c r="Q335" s="49"/>
      <c r="R335" s="34" t="str">
        <f>IFERROR(VLOOKUP(N335,soils2!$A$2:$C$152,3),"")</f>
        <v/>
      </c>
      <c r="S335" s="49"/>
      <c r="T335" s="49"/>
      <c r="U335" s="33"/>
    </row>
    <row r="336" spans="14:21" ht="13">
      <c r="N336" s="33"/>
      <c r="O336" s="49" t="str">
        <f>IFERROR(VLOOKUP(N336,soils2!$A$2:$C$152,2),"")</f>
        <v/>
      </c>
      <c r="P336" s="49"/>
      <c r="Q336" s="49"/>
      <c r="R336" s="34" t="str">
        <f>IFERROR(VLOOKUP(N336,soils2!$A$2:$C$152,3),"")</f>
        <v/>
      </c>
      <c r="S336" s="49"/>
      <c r="T336" s="49"/>
      <c r="U336" s="33"/>
    </row>
    <row r="337" spans="14:21" ht="13">
      <c r="N337" s="33"/>
      <c r="O337" s="49" t="str">
        <f>IFERROR(VLOOKUP(N337,soils2!$A$2:$C$152,2),"")</f>
        <v/>
      </c>
      <c r="P337" s="49"/>
      <c r="Q337" s="49"/>
      <c r="R337" s="34" t="str">
        <f>IFERROR(VLOOKUP(N337,soils2!$A$2:$C$152,3),"")</f>
        <v/>
      </c>
      <c r="S337" s="49"/>
      <c r="T337" s="49"/>
      <c r="U337" s="33"/>
    </row>
    <row r="338" spans="14:21" ht="13">
      <c r="N338" s="33"/>
      <c r="O338" s="49" t="str">
        <f>IFERROR(VLOOKUP(N338,soils2!$A$2:$C$152,2),"")</f>
        <v/>
      </c>
      <c r="P338" s="49"/>
      <c r="Q338" s="49"/>
      <c r="R338" s="34" t="str">
        <f>IFERROR(VLOOKUP(N338,soils2!$A$2:$C$152,3),"")</f>
        <v/>
      </c>
      <c r="S338" s="49"/>
      <c r="T338" s="49"/>
      <c r="U338" s="33"/>
    </row>
    <row r="339" spans="14:21" ht="13">
      <c r="N339" s="33"/>
      <c r="O339" s="49" t="str">
        <f>IFERROR(VLOOKUP(N339,soils2!$A$2:$C$152,2),"")</f>
        <v/>
      </c>
      <c r="P339" s="49"/>
      <c r="Q339" s="49"/>
      <c r="R339" s="34" t="str">
        <f>IFERROR(VLOOKUP(N339,soils2!$A$2:$C$152,3),"")</f>
        <v/>
      </c>
      <c r="S339" s="49"/>
      <c r="T339" s="49"/>
      <c r="U339" s="33"/>
    </row>
    <row r="340" spans="14:21" ht="13">
      <c r="N340" s="33"/>
      <c r="O340" s="49" t="str">
        <f>IFERROR(VLOOKUP(N340,soils2!$A$2:$C$152,2),"")</f>
        <v/>
      </c>
      <c r="P340" s="49"/>
      <c r="Q340" s="49"/>
      <c r="R340" s="34" t="str">
        <f>IFERROR(VLOOKUP(N340,soils2!$A$2:$C$152,3),"")</f>
        <v/>
      </c>
      <c r="S340" s="49"/>
      <c r="T340" s="49"/>
      <c r="U340" s="33"/>
    </row>
    <row r="341" spans="14:21" ht="13">
      <c r="N341" s="33"/>
      <c r="O341" s="49" t="str">
        <f>IFERROR(VLOOKUP(N341,soils2!$A$2:$C$152,2),"")</f>
        <v/>
      </c>
      <c r="P341" s="49"/>
      <c r="Q341" s="49"/>
      <c r="R341" s="34" t="str">
        <f>IFERROR(VLOOKUP(N341,soils2!$A$2:$C$152,3),"")</f>
        <v/>
      </c>
      <c r="S341" s="49"/>
      <c r="T341" s="49"/>
      <c r="U341" s="33"/>
    </row>
    <row r="342" spans="14:21" ht="13">
      <c r="N342" s="33"/>
      <c r="O342" s="49" t="str">
        <f>IFERROR(VLOOKUP(N342,soils2!$A$2:$C$152,2),"")</f>
        <v/>
      </c>
      <c r="P342" s="49"/>
      <c r="Q342" s="49"/>
      <c r="R342" s="34" t="str">
        <f>IFERROR(VLOOKUP(N342,soils2!$A$2:$C$152,3),"")</f>
        <v/>
      </c>
      <c r="S342" s="49"/>
      <c r="T342" s="49"/>
      <c r="U342" s="33"/>
    </row>
    <row r="343" spans="14:21" ht="13">
      <c r="N343" s="33"/>
      <c r="O343" s="49" t="str">
        <f>IFERROR(VLOOKUP(N343,soils2!$A$2:$C$152,2),"")</f>
        <v/>
      </c>
      <c r="P343" s="49"/>
      <c r="Q343" s="49"/>
      <c r="R343" s="34" t="str">
        <f>IFERROR(VLOOKUP(N343,soils2!$A$2:$C$152,3),"")</f>
        <v/>
      </c>
      <c r="S343" s="49"/>
      <c r="T343" s="49"/>
      <c r="U343" s="33"/>
    </row>
    <row r="344" spans="14:21" ht="13">
      <c r="N344" s="33"/>
      <c r="O344" s="49" t="str">
        <f>IFERROR(VLOOKUP(N344,soils2!$A$2:$C$152,2),"")</f>
        <v/>
      </c>
      <c r="P344" s="49"/>
      <c r="Q344" s="49"/>
      <c r="R344" s="34" t="str">
        <f>IFERROR(VLOOKUP(N344,soils2!$A$2:$C$152,3),"")</f>
        <v/>
      </c>
      <c r="S344" s="49"/>
      <c r="T344" s="49"/>
      <c r="U344" s="33"/>
    </row>
    <row r="345" spans="14:21" ht="13">
      <c r="N345" s="33"/>
      <c r="O345" s="49" t="str">
        <f>IFERROR(VLOOKUP(N345,soils2!$A$2:$C$152,2),"")</f>
        <v/>
      </c>
      <c r="P345" s="49"/>
      <c r="Q345" s="49"/>
      <c r="R345" s="34" t="str">
        <f>IFERROR(VLOOKUP(N345,soils2!$A$2:$C$152,3),"")</f>
        <v/>
      </c>
      <c r="S345" s="49"/>
      <c r="T345" s="49"/>
      <c r="U345" s="33"/>
    </row>
    <row r="346" spans="14:21" ht="13">
      <c r="N346" s="33"/>
      <c r="O346" s="49" t="str">
        <f>IFERROR(VLOOKUP(N346,soils2!$A$2:$C$152,2),"")</f>
        <v/>
      </c>
      <c r="P346" s="49"/>
      <c r="Q346" s="49"/>
      <c r="R346" s="34" t="str">
        <f>IFERROR(VLOOKUP(N346,soils2!$A$2:$C$152,3),"")</f>
        <v/>
      </c>
      <c r="S346" s="49"/>
      <c r="T346" s="49"/>
      <c r="U346" s="33"/>
    </row>
    <row r="347" spans="14:21" ht="13">
      <c r="N347" s="33"/>
      <c r="O347" s="49" t="str">
        <f>IFERROR(VLOOKUP(N347,soils2!$A$2:$C$152,2),"")</f>
        <v/>
      </c>
      <c r="P347" s="49"/>
      <c r="Q347" s="49"/>
      <c r="R347" s="34" t="str">
        <f>IFERROR(VLOOKUP(N347,soils2!$A$2:$C$152,3),"")</f>
        <v/>
      </c>
      <c r="S347" s="49"/>
      <c r="T347" s="49"/>
      <c r="U347" s="33"/>
    </row>
    <row r="348" spans="14:21" ht="13">
      <c r="N348" s="33"/>
      <c r="O348" s="49" t="str">
        <f>IFERROR(VLOOKUP(N348,soils2!$A$2:$C$152,2),"")</f>
        <v/>
      </c>
      <c r="P348" s="49"/>
      <c r="Q348" s="49"/>
      <c r="R348" s="34" t="str">
        <f>IFERROR(VLOOKUP(N348,soils2!$A$2:$C$152,3),"")</f>
        <v/>
      </c>
      <c r="S348" s="49"/>
      <c r="T348" s="49"/>
      <c r="U348" s="33"/>
    </row>
    <row r="349" spans="14:21" ht="13">
      <c r="N349" s="33"/>
      <c r="O349" s="49" t="str">
        <f>IFERROR(VLOOKUP(N349,soils2!$A$2:$C$152,2),"")</f>
        <v/>
      </c>
      <c r="P349" s="49"/>
      <c r="Q349" s="49"/>
      <c r="R349" s="34" t="str">
        <f>IFERROR(VLOOKUP(N349,soils2!$A$2:$C$152,3),"")</f>
        <v/>
      </c>
      <c r="S349" s="49"/>
      <c r="T349" s="49"/>
      <c r="U349" s="33"/>
    </row>
    <row r="350" spans="14:21" ht="13">
      <c r="N350" s="33"/>
      <c r="O350" s="49" t="str">
        <f>IFERROR(VLOOKUP(N350,soils2!$A$2:$C$152,2),"")</f>
        <v/>
      </c>
      <c r="P350" s="49"/>
      <c r="Q350" s="49"/>
      <c r="R350" s="34" t="str">
        <f>IFERROR(VLOOKUP(N350,soils2!$A$2:$C$152,3),"")</f>
        <v/>
      </c>
      <c r="S350" s="49"/>
      <c r="T350" s="49"/>
      <c r="U350" s="33"/>
    </row>
    <row r="351" spans="14:21" ht="13">
      <c r="N351" s="33"/>
      <c r="O351" s="49" t="str">
        <f>IFERROR(VLOOKUP(N351,soils2!$A$2:$C$152,2),"")</f>
        <v/>
      </c>
      <c r="P351" s="49"/>
      <c r="Q351" s="49"/>
      <c r="R351" s="34" t="str">
        <f>IFERROR(VLOOKUP(N351,soils2!$A$2:$C$152,3),"")</f>
        <v/>
      </c>
      <c r="S351" s="49"/>
      <c r="T351" s="49"/>
      <c r="U351" s="33"/>
    </row>
    <row r="352" spans="14:21" ht="13">
      <c r="N352" s="33"/>
      <c r="O352" s="49" t="str">
        <f>IFERROR(VLOOKUP(N352,soils2!$A$2:$C$152,2),"")</f>
        <v/>
      </c>
      <c r="P352" s="49"/>
      <c r="Q352" s="49"/>
      <c r="R352" s="34" t="str">
        <f>IFERROR(VLOOKUP(N352,soils2!$A$2:$C$152,3),"")</f>
        <v/>
      </c>
      <c r="S352" s="49"/>
      <c r="T352" s="49"/>
      <c r="U352" s="33"/>
    </row>
    <row r="353" spans="14:21" ht="13">
      <c r="N353" s="33"/>
      <c r="O353" s="49" t="str">
        <f>IFERROR(VLOOKUP(N353,soils2!$A$2:$C$152,2),"")</f>
        <v/>
      </c>
      <c r="P353" s="49"/>
      <c r="Q353" s="49"/>
      <c r="R353" s="34" t="str">
        <f>IFERROR(VLOOKUP(N353,soils2!$A$2:$C$152,3),"")</f>
        <v/>
      </c>
      <c r="S353" s="49"/>
      <c r="T353" s="49"/>
      <c r="U353" s="33"/>
    </row>
    <row r="354" spans="14:21" ht="13">
      <c r="N354" s="33"/>
      <c r="O354" s="49" t="str">
        <f>IFERROR(VLOOKUP(N354,soils2!$A$2:$C$152,2),"")</f>
        <v/>
      </c>
      <c r="P354" s="49"/>
      <c r="Q354" s="49"/>
      <c r="R354" s="34" t="str">
        <f>IFERROR(VLOOKUP(N354,soils2!$A$2:$C$152,3),"")</f>
        <v/>
      </c>
      <c r="S354" s="49"/>
      <c r="T354" s="49"/>
      <c r="U354" s="33"/>
    </row>
    <row r="355" spans="14:21" ht="13">
      <c r="N355" s="33"/>
      <c r="O355" s="49" t="str">
        <f>IFERROR(VLOOKUP(N355,soils2!$A$2:$C$152,2),"")</f>
        <v/>
      </c>
      <c r="P355" s="49"/>
      <c r="Q355" s="49"/>
      <c r="R355" s="34" t="str">
        <f>IFERROR(VLOOKUP(N355,soils2!$A$2:$C$152,3),"")</f>
        <v/>
      </c>
      <c r="S355" s="49"/>
      <c r="T355" s="49"/>
      <c r="U355" s="33"/>
    </row>
    <row r="356" spans="14:21" ht="13">
      <c r="N356" s="33"/>
      <c r="O356" s="49" t="str">
        <f>IFERROR(VLOOKUP(N356,soils2!$A$2:$C$152,2),"")</f>
        <v/>
      </c>
      <c r="P356" s="49"/>
      <c r="Q356" s="49"/>
      <c r="R356" s="34" t="str">
        <f>IFERROR(VLOOKUP(N356,soils2!$A$2:$C$152,3),"")</f>
        <v/>
      </c>
      <c r="S356" s="49"/>
      <c r="T356" s="49"/>
      <c r="U356" s="33"/>
    </row>
    <row r="357" spans="14:21" ht="13">
      <c r="N357" s="33"/>
      <c r="O357" s="49" t="str">
        <f>IFERROR(VLOOKUP(N357,soils2!$A$2:$C$152,2),"")</f>
        <v/>
      </c>
      <c r="P357" s="49"/>
      <c r="Q357" s="49"/>
      <c r="R357" s="34" t="str">
        <f>IFERROR(VLOOKUP(N357,soils2!$A$2:$C$152,3),"")</f>
        <v/>
      </c>
      <c r="S357" s="49"/>
      <c r="T357" s="49"/>
      <c r="U357" s="33"/>
    </row>
    <row r="358" spans="14:21" ht="13">
      <c r="N358" s="33"/>
      <c r="O358" s="49" t="str">
        <f>IFERROR(VLOOKUP(N358,soils2!$A$2:$C$152,2),"")</f>
        <v/>
      </c>
      <c r="P358" s="49"/>
      <c r="Q358" s="49"/>
      <c r="R358" s="34" t="str">
        <f>IFERROR(VLOOKUP(N358,soils2!$A$2:$C$152,3),"")</f>
        <v/>
      </c>
      <c r="S358" s="49"/>
      <c r="T358" s="49"/>
      <c r="U358" s="33"/>
    </row>
    <row r="359" spans="14:21" ht="13">
      <c r="N359" s="33"/>
      <c r="O359" s="49" t="str">
        <f>IFERROR(VLOOKUP(N359,soils2!$A$2:$C$152,2),"")</f>
        <v/>
      </c>
      <c r="P359" s="49"/>
      <c r="Q359" s="49"/>
      <c r="R359" s="34" t="str">
        <f>IFERROR(VLOOKUP(N359,soils2!$A$2:$C$152,3),"")</f>
        <v/>
      </c>
      <c r="S359" s="49"/>
      <c r="T359" s="49"/>
      <c r="U359" s="33"/>
    </row>
    <row r="360" spans="14:21" ht="13">
      <c r="N360" s="33"/>
      <c r="O360" s="49" t="str">
        <f>IFERROR(VLOOKUP(N360,soils2!$A$2:$C$152,2),"")</f>
        <v/>
      </c>
      <c r="P360" s="49"/>
      <c r="Q360" s="49"/>
      <c r="R360" s="34" t="str">
        <f>IFERROR(VLOOKUP(N360,soils2!$A$2:$C$152,3),"")</f>
        <v/>
      </c>
      <c r="S360" s="49"/>
      <c r="T360" s="49"/>
      <c r="U360" s="33"/>
    </row>
    <row r="361" spans="14:21" ht="13">
      <c r="N361" s="33"/>
      <c r="O361" s="49" t="str">
        <f>IFERROR(VLOOKUP(N361,soils2!$A$2:$C$152,2),"")</f>
        <v/>
      </c>
      <c r="P361" s="49"/>
      <c r="Q361" s="49"/>
      <c r="R361" s="34" t="str">
        <f>IFERROR(VLOOKUP(N361,soils2!$A$2:$C$152,3),"")</f>
        <v/>
      </c>
      <c r="S361" s="49"/>
      <c r="T361" s="49"/>
      <c r="U361" s="33"/>
    </row>
    <row r="362" spans="14:21" ht="13">
      <c r="N362" s="33"/>
      <c r="O362" s="49" t="str">
        <f>IFERROR(VLOOKUP(N362,soils2!$A$2:$C$152,2),"")</f>
        <v/>
      </c>
      <c r="P362" s="49"/>
      <c r="Q362" s="49"/>
      <c r="R362" s="34" t="str">
        <f>IFERROR(VLOOKUP(N362,soils2!$A$2:$C$152,3),"")</f>
        <v/>
      </c>
      <c r="S362" s="49"/>
      <c r="T362" s="49"/>
      <c r="U362" s="33"/>
    </row>
    <row r="363" spans="14:21" ht="13">
      <c r="N363" s="33"/>
      <c r="O363" s="49" t="str">
        <f>IFERROR(VLOOKUP(N363,soils2!$A$2:$C$152,2),"")</f>
        <v/>
      </c>
      <c r="P363" s="49"/>
      <c r="Q363" s="49"/>
      <c r="R363" s="34" t="str">
        <f>IFERROR(VLOOKUP(N363,soils2!$A$2:$C$152,3),"")</f>
        <v/>
      </c>
      <c r="S363" s="49"/>
      <c r="T363" s="49"/>
      <c r="U363" s="33"/>
    </row>
    <row r="364" spans="14:21" ht="13">
      <c r="N364" s="33"/>
      <c r="O364" s="49" t="str">
        <f>IFERROR(VLOOKUP(N364,soils2!$A$2:$C$152,2),"")</f>
        <v/>
      </c>
      <c r="P364" s="49"/>
      <c r="Q364" s="49"/>
      <c r="R364" s="34" t="str">
        <f>IFERROR(VLOOKUP(N364,soils2!$A$2:$C$152,3),"")</f>
        <v/>
      </c>
      <c r="S364" s="49"/>
      <c r="T364" s="49"/>
      <c r="U364" s="33"/>
    </row>
    <row r="365" spans="14:21" ht="13">
      <c r="N365" s="33"/>
      <c r="O365" s="49" t="str">
        <f>IFERROR(VLOOKUP(N365,soils2!$A$2:$C$152,2),"")</f>
        <v/>
      </c>
      <c r="P365" s="49"/>
      <c r="Q365" s="49"/>
      <c r="R365" s="34" t="str">
        <f>IFERROR(VLOOKUP(N365,soils2!$A$2:$C$152,3),"")</f>
        <v/>
      </c>
      <c r="S365" s="49"/>
      <c r="T365" s="49"/>
      <c r="U365" s="33"/>
    </row>
    <row r="366" spans="14:21" ht="13">
      <c r="N366" s="33"/>
      <c r="O366" s="49" t="str">
        <f>IFERROR(VLOOKUP(N366,soils2!$A$2:$C$152,2),"")</f>
        <v/>
      </c>
      <c r="P366" s="49"/>
      <c r="Q366" s="49"/>
      <c r="R366" s="34" t="str">
        <f>IFERROR(VLOOKUP(N366,soils2!$A$2:$C$152,3),"")</f>
        <v/>
      </c>
      <c r="S366" s="49"/>
      <c r="T366" s="49"/>
      <c r="U366" s="33"/>
    </row>
    <row r="367" spans="14:21" ht="13">
      <c r="N367" s="33"/>
      <c r="O367" s="49" t="str">
        <f>IFERROR(VLOOKUP(N367,soils2!$A$2:$C$152,2),"")</f>
        <v/>
      </c>
      <c r="P367" s="49"/>
      <c r="Q367" s="49"/>
      <c r="R367" s="34" t="str">
        <f>IFERROR(VLOOKUP(N367,soils2!$A$2:$C$152,3),"")</f>
        <v/>
      </c>
      <c r="S367" s="49"/>
      <c r="T367" s="49"/>
      <c r="U367" s="33"/>
    </row>
    <row r="368" spans="14:21" ht="13">
      <c r="N368" s="33"/>
      <c r="O368" s="49" t="str">
        <f>IFERROR(VLOOKUP(N368,soils2!$A$2:$C$152,2),"")</f>
        <v/>
      </c>
      <c r="P368" s="49"/>
      <c r="Q368" s="49"/>
      <c r="R368" s="34" t="str">
        <f>IFERROR(VLOOKUP(N368,soils2!$A$2:$C$152,3),"")</f>
        <v/>
      </c>
      <c r="S368" s="49"/>
      <c r="T368" s="49"/>
      <c r="U368" s="33"/>
    </row>
    <row r="369" spans="14:21" ht="13">
      <c r="N369" s="33"/>
      <c r="O369" s="49" t="str">
        <f>IFERROR(VLOOKUP(N369,soils2!$A$2:$C$152,2),"")</f>
        <v/>
      </c>
      <c r="P369" s="49"/>
      <c r="Q369" s="49"/>
      <c r="R369" s="34" t="str">
        <f>IFERROR(VLOOKUP(N369,soils2!$A$2:$C$152,3),"")</f>
        <v/>
      </c>
      <c r="S369" s="49"/>
      <c r="T369" s="49"/>
      <c r="U369" s="33"/>
    </row>
    <row r="370" spans="14:21" ht="13">
      <c r="N370" s="33"/>
      <c r="O370" s="49" t="str">
        <f>IFERROR(VLOOKUP(N370,soils2!$A$2:$C$152,2),"")</f>
        <v/>
      </c>
      <c r="P370" s="49"/>
      <c r="Q370" s="49"/>
      <c r="R370" s="34" t="str">
        <f>IFERROR(VLOOKUP(N370,soils2!$A$2:$C$152,3),"")</f>
        <v/>
      </c>
      <c r="S370" s="49"/>
      <c r="T370" s="49"/>
      <c r="U370" s="33"/>
    </row>
    <row r="371" spans="14:21" ht="13">
      <c r="N371" s="33"/>
      <c r="O371" s="49" t="str">
        <f>IFERROR(VLOOKUP(N371,soils2!$A$2:$C$152,2),"")</f>
        <v/>
      </c>
      <c r="P371" s="49"/>
      <c r="Q371" s="49"/>
      <c r="R371" s="34" t="str">
        <f>IFERROR(VLOOKUP(N371,soils2!$A$2:$C$152,3),"")</f>
        <v/>
      </c>
      <c r="S371" s="49"/>
      <c r="T371" s="49"/>
      <c r="U371" s="33"/>
    </row>
    <row r="372" spans="14:21" ht="13">
      <c r="N372" s="33"/>
      <c r="O372" s="49" t="str">
        <f>IFERROR(VLOOKUP(N372,soils2!$A$2:$C$152,2),"")</f>
        <v/>
      </c>
      <c r="P372" s="49"/>
      <c r="Q372" s="49"/>
      <c r="R372" s="34" t="str">
        <f>IFERROR(VLOOKUP(N372,soils2!$A$2:$C$152,3),"")</f>
        <v/>
      </c>
      <c r="S372" s="49"/>
      <c r="T372" s="49"/>
      <c r="U372" s="33"/>
    </row>
    <row r="373" spans="14:21" ht="13">
      <c r="N373" s="33"/>
      <c r="O373" s="49" t="str">
        <f>IFERROR(VLOOKUP(N373,soils2!$A$2:$C$152,2),"")</f>
        <v/>
      </c>
      <c r="P373" s="49"/>
      <c r="Q373" s="49"/>
      <c r="R373" s="34" t="str">
        <f>IFERROR(VLOOKUP(N373,soils2!$A$2:$C$152,3),"")</f>
        <v/>
      </c>
      <c r="S373" s="49"/>
      <c r="T373" s="49"/>
      <c r="U373" s="33"/>
    </row>
    <row r="374" spans="14:21" ht="13">
      <c r="N374" s="33"/>
      <c r="O374" s="49" t="str">
        <f>IFERROR(VLOOKUP(N374,soils2!$A$2:$C$152,2),"")</f>
        <v/>
      </c>
      <c r="P374" s="49"/>
      <c r="Q374" s="49"/>
      <c r="R374" s="34" t="str">
        <f>IFERROR(VLOOKUP(N374,soils2!$A$2:$C$152,3),"")</f>
        <v/>
      </c>
      <c r="S374" s="49"/>
      <c r="T374" s="49"/>
      <c r="U374" s="33"/>
    </row>
    <row r="375" spans="14:21" ht="13">
      <c r="N375" s="33"/>
      <c r="O375" s="49" t="str">
        <f>IFERROR(VLOOKUP(N375,soils2!$A$2:$C$152,2),"")</f>
        <v/>
      </c>
      <c r="P375" s="49"/>
      <c r="Q375" s="49"/>
      <c r="R375" s="34" t="str">
        <f>IFERROR(VLOOKUP(N375,soils2!$A$2:$C$152,3),"")</f>
        <v/>
      </c>
      <c r="S375" s="49"/>
      <c r="T375" s="49"/>
      <c r="U375" s="33"/>
    </row>
    <row r="376" spans="14:21" ht="13">
      <c r="N376" s="33"/>
      <c r="O376" s="49" t="str">
        <f>IFERROR(VLOOKUP(N376,soils2!$A$2:$C$152,2),"")</f>
        <v/>
      </c>
      <c r="P376" s="49"/>
      <c r="Q376" s="49"/>
      <c r="R376" s="34" t="str">
        <f>IFERROR(VLOOKUP(N376,soils2!$A$2:$C$152,3),"")</f>
        <v/>
      </c>
      <c r="S376" s="49"/>
      <c r="T376" s="49"/>
      <c r="U376" s="33"/>
    </row>
    <row r="377" spans="14:21" ht="13">
      <c r="N377" s="33"/>
      <c r="O377" s="49" t="str">
        <f>IFERROR(VLOOKUP(N377,soils2!$A$2:$C$152,2),"")</f>
        <v/>
      </c>
      <c r="P377" s="49"/>
      <c r="Q377" s="49"/>
      <c r="R377" s="34" t="str">
        <f>IFERROR(VLOOKUP(N377,soils2!$A$2:$C$152,3),"")</f>
        <v/>
      </c>
      <c r="S377" s="49"/>
      <c r="T377" s="49"/>
      <c r="U377" s="33"/>
    </row>
    <row r="378" spans="14:21" ht="13">
      <c r="N378" s="33"/>
      <c r="O378" s="49" t="str">
        <f>IFERROR(VLOOKUP(N378,soils2!$A$2:$C$152,2),"")</f>
        <v/>
      </c>
      <c r="P378" s="49"/>
      <c r="Q378" s="49"/>
      <c r="R378" s="34" t="str">
        <f>IFERROR(VLOOKUP(N378,soils2!$A$2:$C$152,3),"")</f>
        <v/>
      </c>
      <c r="S378" s="49"/>
      <c r="T378" s="49"/>
      <c r="U378" s="33"/>
    </row>
    <row r="379" spans="14:21" ht="13">
      <c r="N379" s="33"/>
      <c r="O379" s="49" t="str">
        <f>IFERROR(VLOOKUP(N379,soils2!$A$2:$C$152,2),"")</f>
        <v/>
      </c>
      <c r="P379" s="49"/>
      <c r="Q379" s="49"/>
      <c r="R379" s="34" t="str">
        <f>IFERROR(VLOOKUP(N379,soils2!$A$2:$C$152,3),"")</f>
        <v/>
      </c>
      <c r="S379" s="49"/>
      <c r="T379" s="49"/>
      <c r="U379" s="33"/>
    </row>
    <row r="380" spans="14:21" ht="13">
      <c r="N380" s="33"/>
      <c r="O380" s="49" t="str">
        <f>IFERROR(VLOOKUP(N380,soils2!$A$2:$C$152,2),"")</f>
        <v/>
      </c>
      <c r="P380" s="49"/>
      <c r="Q380" s="49"/>
      <c r="R380" s="34" t="str">
        <f>IFERROR(VLOOKUP(N380,soils2!$A$2:$C$152,3),"")</f>
        <v/>
      </c>
      <c r="S380" s="49"/>
      <c r="T380" s="49"/>
      <c r="U380" s="33"/>
    </row>
    <row r="381" spans="14:21" ht="13">
      <c r="N381" s="33"/>
      <c r="O381" s="49" t="str">
        <f>IFERROR(VLOOKUP(N381,soils2!$A$2:$C$152,2),"")</f>
        <v/>
      </c>
      <c r="P381" s="49"/>
      <c r="Q381" s="49"/>
      <c r="R381" s="34" t="str">
        <f>IFERROR(VLOOKUP(N381,soils2!$A$2:$C$152,3),"")</f>
        <v/>
      </c>
      <c r="S381" s="49"/>
      <c r="T381" s="49"/>
      <c r="U381" s="33"/>
    </row>
    <row r="382" spans="14:21" ht="13">
      <c r="N382" s="33"/>
      <c r="O382" s="49" t="str">
        <f>IFERROR(VLOOKUP(N382,soils2!$A$2:$C$152,2),"")</f>
        <v/>
      </c>
      <c r="P382" s="49"/>
      <c r="Q382" s="49"/>
      <c r="R382" s="34" t="str">
        <f>IFERROR(VLOOKUP(N382,soils2!$A$2:$C$152,3),"")</f>
        <v/>
      </c>
      <c r="S382" s="49"/>
      <c r="T382" s="49"/>
      <c r="U382" s="33"/>
    </row>
    <row r="383" spans="14:21" ht="13">
      <c r="N383" s="33"/>
      <c r="O383" s="49" t="str">
        <f>IFERROR(VLOOKUP(N383,soils2!$A$2:$C$152,2),"")</f>
        <v/>
      </c>
      <c r="P383" s="49"/>
      <c r="Q383" s="49"/>
      <c r="R383" s="34" t="str">
        <f>IFERROR(VLOOKUP(N383,soils2!$A$2:$C$152,3),"")</f>
        <v/>
      </c>
      <c r="S383" s="49"/>
      <c r="T383" s="49"/>
      <c r="U383" s="33"/>
    </row>
    <row r="384" spans="14:21" ht="13">
      <c r="N384" s="33"/>
      <c r="O384" s="49" t="str">
        <f>IFERROR(VLOOKUP(N384,soils2!$A$2:$C$152,2),"")</f>
        <v/>
      </c>
      <c r="P384" s="49"/>
      <c r="Q384" s="49"/>
      <c r="R384" s="34" t="str">
        <f>IFERROR(VLOOKUP(N384,soils2!$A$2:$C$152,3),"")</f>
        <v/>
      </c>
      <c r="S384" s="49"/>
      <c r="T384" s="49"/>
      <c r="U384" s="33"/>
    </row>
    <row r="385" spans="14:21" ht="13">
      <c r="N385" s="33"/>
      <c r="O385" s="49" t="str">
        <f>IFERROR(VLOOKUP(N385,soils2!$A$2:$C$152,2),"")</f>
        <v/>
      </c>
      <c r="P385" s="49"/>
      <c r="Q385" s="49"/>
      <c r="R385" s="34" t="str">
        <f>IFERROR(VLOOKUP(N385,soils2!$A$2:$C$152,3),"")</f>
        <v/>
      </c>
      <c r="S385" s="49"/>
      <c r="T385" s="49"/>
      <c r="U385" s="33"/>
    </row>
    <row r="386" spans="14:21" ht="13">
      <c r="N386" s="33"/>
      <c r="O386" s="49" t="str">
        <f>IFERROR(VLOOKUP(N386,soils2!$A$2:$C$152,2),"")</f>
        <v/>
      </c>
      <c r="P386" s="49"/>
      <c r="Q386" s="49"/>
      <c r="R386" s="34" t="str">
        <f>IFERROR(VLOOKUP(N386,soils2!$A$2:$C$152,3),"")</f>
        <v/>
      </c>
      <c r="S386" s="49"/>
      <c r="T386" s="49"/>
      <c r="U386" s="33"/>
    </row>
    <row r="387" spans="14:21" ht="13">
      <c r="N387" s="33"/>
      <c r="O387" s="49" t="str">
        <f>IFERROR(VLOOKUP(N387,soils2!$A$2:$C$152,2),"")</f>
        <v/>
      </c>
      <c r="P387" s="49"/>
      <c r="Q387" s="49"/>
      <c r="R387" s="34" t="str">
        <f>IFERROR(VLOOKUP(N387,soils2!$A$2:$C$152,3),"")</f>
        <v/>
      </c>
      <c r="S387" s="49"/>
      <c r="T387" s="49"/>
      <c r="U387" s="33"/>
    </row>
    <row r="388" spans="14:21" ht="13">
      <c r="N388" s="33"/>
      <c r="O388" s="49" t="str">
        <f>IFERROR(VLOOKUP(N388,soils2!$A$2:$C$152,2),"")</f>
        <v/>
      </c>
      <c r="P388" s="49"/>
      <c r="Q388" s="49"/>
      <c r="R388" s="34" t="str">
        <f>IFERROR(VLOOKUP(N388,soils2!$A$2:$C$152,3),"")</f>
        <v/>
      </c>
      <c r="S388" s="49"/>
      <c r="T388" s="49"/>
      <c r="U388" s="33"/>
    </row>
    <row r="389" spans="14:21" ht="13">
      <c r="N389" s="33"/>
      <c r="O389" s="49" t="str">
        <f>IFERROR(VLOOKUP(N389,soils2!$A$2:$C$152,2),"")</f>
        <v/>
      </c>
      <c r="P389" s="49"/>
      <c r="Q389" s="49"/>
      <c r="R389" s="34" t="str">
        <f>IFERROR(VLOOKUP(N389,soils2!$A$2:$C$152,3),"")</f>
        <v/>
      </c>
      <c r="S389" s="49"/>
      <c r="T389" s="49"/>
      <c r="U389" s="33"/>
    </row>
    <row r="390" spans="14:21" ht="13">
      <c r="N390" s="33"/>
      <c r="O390" s="49" t="str">
        <f>IFERROR(VLOOKUP(N390,soils2!$A$2:$C$152,2),"")</f>
        <v/>
      </c>
      <c r="P390" s="49"/>
      <c r="Q390" s="49"/>
      <c r="R390" s="34" t="str">
        <f>IFERROR(VLOOKUP(N390,soils2!$A$2:$C$152,3),"")</f>
        <v/>
      </c>
      <c r="S390" s="49"/>
      <c r="T390" s="49"/>
      <c r="U390" s="33"/>
    </row>
    <row r="391" spans="14:21" ht="13">
      <c r="N391" s="33"/>
      <c r="O391" s="49" t="str">
        <f>IFERROR(VLOOKUP(N391,soils2!$A$2:$C$152,2),"")</f>
        <v/>
      </c>
      <c r="P391" s="49"/>
      <c r="Q391" s="49"/>
      <c r="R391" s="34" t="str">
        <f>IFERROR(VLOOKUP(N391,soils2!$A$2:$C$152,3),"")</f>
        <v/>
      </c>
      <c r="S391" s="49"/>
      <c r="T391" s="49"/>
      <c r="U391" s="33"/>
    </row>
    <row r="392" spans="14:21" ht="13">
      <c r="N392" s="33"/>
      <c r="O392" s="49" t="str">
        <f>IFERROR(VLOOKUP(N392,soils2!$A$2:$C$152,2),"")</f>
        <v/>
      </c>
      <c r="P392" s="49"/>
      <c r="Q392" s="49"/>
      <c r="R392" s="34" t="str">
        <f>IFERROR(VLOOKUP(N392,soils2!$A$2:$C$152,3),"")</f>
        <v/>
      </c>
      <c r="S392" s="49"/>
      <c r="T392" s="49"/>
      <c r="U392" s="33"/>
    </row>
    <row r="393" spans="14:21" ht="13">
      <c r="N393" s="33"/>
      <c r="O393" s="49" t="str">
        <f>IFERROR(VLOOKUP(N393,soils2!$A$2:$C$152,2),"")</f>
        <v/>
      </c>
      <c r="P393" s="49"/>
      <c r="Q393" s="49"/>
      <c r="R393" s="34" t="str">
        <f>IFERROR(VLOOKUP(N393,soils2!$A$2:$C$152,3),"")</f>
        <v/>
      </c>
      <c r="S393" s="49"/>
      <c r="T393" s="49"/>
      <c r="U393" s="33"/>
    </row>
    <row r="394" spans="14:21" ht="13">
      <c r="N394" s="33"/>
      <c r="O394" s="49" t="str">
        <f>IFERROR(VLOOKUP(N394,soils2!$A$2:$C$152,2),"")</f>
        <v/>
      </c>
      <c r="P394" s="49"/>
      <c r="Q394" s="49"/>
      <c r="R394" s="34" t="str">
        <f>IFERROR(VLOOKUP(N394,soils2!$A$2:$C$152,3),"")</f>
        <v/>
      </c>
      <c r="S394" s="49"/>
      <c r="T394" s="49"/>
      <c r="U394" s="33"/>
    </row>
    <row r="395" spans="14:21" ht="13">
      <c r="N395" s="33"/>
      <c r="O395" s="49" t="str">
        <f>IFERROR(VLOOKUP(N395,soils2!$A$2:$C$152,2),"")</f>
        <v/>
      </c>
      <c r="P395" s="49"/>
      <c r="Q395" s="49"/>
      <c r="R395" s="34" t="str">
        <f>IFERROR(VLOOKUP(N395,soils2!$A$2:$C$152,3),"")</f>
        <v/>
      </c>
      <c r="S395" s="49"/>
      <c r="T395" s="49"/>
      <c r="U395" s="33"/>
    </row>
    <row r="396" spans="14:21" ht="13">
      <c r="N396" s="33"/>
      <c r="O396" s="49" t="str">
        <f>IFERROR(VLOOKUP(N396,soils2!$A$2:$C$152,2),"")</f>
        <v/>
      </c>
      <c r="P396" s="49"/>
      <c r="Q396" s="49"/>
      <c r="R396" s="34" t="str">
        <f>IFERROR(VLOOKUP(N396,soils2!$A$2:$C$152,3),"")</f>
        <v/>
      </c>
      <c r="S396" s="49"/>
      <c r="T396" s="49"/>
      <c r="U396" s="33"/>
    </row>
    <row r="397" spans="14:21" ht="13">
      <c r="N397" s="33"/>
      <c r="O397" s="49" t="str">
        <f>IFERROR(VLOOKUP(N397,soils2!$A$2:$C$152,2),"")</f>
        <v/>
      </c>
      <c r="P397" s="49"/>
      <c r="Q397" s="49"/>
      <c r="R397" s="34" t="str">
        <f>IFERROR(VLOOKUP(N397,soils2!$A$2:$C$152,3),"")</f>
        <v/>
      </c>
      <c r="S397" s="49"/>
      <c r="T397" s="49"/>
      <c r="U397" s="33"/>
    </row>
    <row r="398" spans="14:21" ht="13">
      <c r="N398" s="33"/>
      <c r="O398" s="49" t="str">
        <f>IFERROR(VLOOKUP(N398,soils2!$A$2:$C$152,2),"")</f>
        <v/>
      </c>
      <c r="P398" s="49"/>
      <c r="Q398" s="49"/>
      <c r="R398" s="34" t="str">
        <f>IFERROR(VLOOKUP(N398,soils2!$A$2:$C$152,3),"")</f>
        <v/>
      </c>
      <c r="S398" s="49"/>
      <c r="T398" s="49"/>
      <c r="U398" s="33"/>
    </row>
    <row r="399" spans="14:21" ht="13">
      <c r="N399" s="33"/>
      <c r="O399" s="49" t="str">
        <f>IFERROR(VLOOKUP(N399,soils2!$A$2:$C$152,2),"")</f>
        <v/>
      </c>
      <c r="P399" s="49"/>
      <c r="Q399" s="49"/>
      <c r="R399" s="34" t="str">
        <f>IFERROR(VLOOKUP(N399,soils2!$A$2:$C$152,3),"")</f>
        <v/>
      </c>
      <c r="S399" s="49"/>
      <c r="T399" s="49"/>
      <c r="U399" s="33"/>
    </row>
    <row r="400" spans="14:21" ht="13">
      <c r="N400" s="33"/>
      <c r="O400" s="49" t="str">
        <f>IFERROR(VLOOKUP(N400,soils2!$A$2:$C$152,2),"")</f>
        <v/>
      </c>
      <c r="P400" s="49"/>
      <c r="Q400" s="49"/>
      <c r="R400" s="34" t="str">
        <f>IFERROR(VLOOKUP(N400,soils2!$A$2:$C$152,3),"")</f>
        <v/>
      </c>
      <c r="S400" s="49"/>
      <c r="T400" s="49"/>
      <c r="U400" s="33"/>
    </row>
    <row r="401" spans="14:21" ht="13">
      <c r="N401" s="33"/>
      <c r="O401" s="49" t="str">
        <f>IFERROR(VLOOKUP(N401,soils2!$A$2:$C$152,2),"")</f>
        <v/>
      </c>
      <c r="P401" s="49"/>
      <c r="Q401" s="49"/>
      <c r="R401" s="34" t="str">
        <f>IFERROR(VLOOKUP(N401,soils2!$A$2:$C$152,3),"")</f>
        <v/>
      </c>
      <c r="S401" s="49"/>
      <c r="T401" s="49"/>
      <c r="U401" s="33"/>
    </row>
    <row r="402" spans="14:21" ht="13">
      <c r="N402" s="33"/>
      <c r="O402" s="49" t="str">
        <f>IFERROR(VLOOKUP(N402,soils2!$A$2:$C$152,2),"")</f>
        <v/>
      </c>
      <c r="P402" s="49"/>
      <c r="Q402" s="49"/>
      <c r="R402" s="34" t="str">
        <f>IFERROR(VLOOKUP(N402,soils2!$A$2:$C$152,3),"")</f>
        <v/>
      </c>
      <c r="S402" s="49"/>
      <c r="T402" s="49"/>
      <c r="U402" s="33"/>
    </row>
    <row r="403" spans="14:21" ht="13">
      <c r="N403" s="33"/>
      <c r="O403" s="49" t="str">
        <f>IFERROR(VLOOKUP(N403,soils2!$A$2:$C$152,2),"")</f>
        <v/>
      </c>
      <c r="P403" s="49"/>
      <c r="Q403" s="49"/>
      <c r="R403" s="34" t="str">
        <f>IFERROR(VLOOKUP(N403,soils2!$A$2:$C$152,3),"")</f>
        <v/>
      </c>
      <c r="S403" s="49"/>
      <c r="T403" s="49"/>
      <c r="U403" s="33"/>
    </row>
    <row r="404" spans="14:21" ht="13">
      <c r="N404" s="33"/>
      <c r="O404" s="49" t="str">
        <f>IFERROR(VLOOKUP(N404,soils2!$A$2:$C$152,2),"")</f>
        <v/>
      </c>
      <c r="P404" s="49"/>
      <c r="Q404" s="49"/>
      <c r="R404" s="34" t="str">
        <f>IFERROR(VLOOKUP(N404,soils2!$A$2:$C$152,3),"")</f>
        <v/>
      </c>
      <c r="S404" s="49"/>
      <c r="T404" s="49"/>
      <c r="U404" s="33"/>
    </row>
    <row r="405" spans="14:21" ht="13">
      <c r="N405" s="33"/>
      <c r="O405" s="49" t="str">
        <f>IFERROR(VLOOKUP(N405,soils2!$A$2:$C$152,2),"")</f>
        <v/>
      </c>
      <c r="P405" s="49"/>
      <c r="Q405" s="49"/>
      <c r="R405" s="34" t="str">
        <f>IFERROR(VLOOKUP(N405,soils2!$A$2:$C$152,3),"")</f>
        <v/>
      </c>
      <c r="S405" s="49"/>
      <c r="T405" s="49"/>
      <c r="U405" s="33"/>
    </row>
    <row r="406" spans="14:21" ht="13">
      <c r="N406" s="33"/>
      <c r="O406" s="49" t="str">
        <f>IFERROR(VLOOKUP(N406,soils2!$A$2:$C$152,2),"")</f>
        <v/>
      </c>
      <c r="P406" s="49"/>
      <c r="Q406" s="49"/>
      <c r="R406" s="34" t="str">
        <f>IFERROR(VLOOKUP(N406,soils2!$A$2:$C$152,3),"")</f>
        <v/>
      </c>
      <c r="S406" s="49"/>
      <c r="T406" s="49"/>
      <c r="U406" s="33"/>
    </row>
    <row r="407" spans="14:21" ht="13">
      <c r="N407" s="33"/>
      <c r="O407" s="49" t="str">
        <f>IFERROR(VLOOKUP(N407,soils2!$A$2:$C$152,2),"")</f>
        <v/>
      </c>
      <c r="P407" s="49"/>
      <c r="Q407" s="49"/>
      <c r="R407" s="34" t="str">
        <f>IFERROR(VLOOKUP(N407,soils2!$A$2:$C$152,3),"")</f>
        <v/>
      </c>
      <c r="S407" s="49"/>
      <c r="T407" s="49"/>
      <c r="U407" s="33"/>
    </row>
    <row r="408" spans="14:21" ht="13">
      <c r="N408" s="33"/>
      <c r="O408" s="49" t="str">
        <f>IFERROR(VLOOKUP(N408,soils2!$A$2:$C$152,2),"")</f>
        <v/>
      </c>
      <c r="P408" s="49"/>
      <c r="Q408" s="49"/>
      <c r="R408" s="34" t="str">
        <f>IFERROR(VLOOKUP(N408,soils2!$A$2:$C$152,3),"")</f>
        <v/>
      </c>
      <c r="S408" s="49"/>
      <c r="T408" s="49"/>
      <c r="U408" s="33"/>
    </row>
    <row r="409" spans="14:21" ht="13">
      <c r="N409" s="33"/>
      <c r="O409" s="49" t="str">
        <f>IFERROR(VLOOKUP(N409,soils2!$A$2:$C$152,2),"")</f>
        <v/>
      </c>
      <c r="P409" s="49"/>
      <c r="Q409" s="49"/>
      <c r="R409" s="34" t="str">
        <f>IFERROR(VLOOKUP(N409,soils2!$A$2:$C$152,3),"")</f>
        <v/>
      </c>
      <c r="S409" s="49"/>
      <c r="T409" s="49"/>
      <c r="U409" s="33"/>
    </row>
    <row r="410" spans="14:21" ht="13">
      <c r="N410" s="33"/>
      <c r="O410" s="49" t="str">
        <f>IFERROR(VLOOKUP(N410,soils2!$A$2:$C$152,2),"")</f>
        <v/>
      </c>
      <c r="P410" s="49"/>
      <c r="Q410" s="49"/>
      <c r="R410" s="34" t="str">
        <f>IFERROR(VLOOKUP(N410,soils2!$A$2:$C$152,3),"")</f>
        <v/>
      </c>
      <c r="S410" s="49"/>
      <c r="T410" s="49"/>
      <c r="U410" s="33"/>
    </row>
    <row r="411" spans="14:21" ht="13">
      <c r="N411" s="33"/>
      <c r="O411" s="49" t="str">
        <f>IFERROR(VLOOKUP(N411,soils2!$A$2:$C$152,2),"")</f>
        <v/>
      </c>
      <c r="P411" s="49"/>
      <c r="Q411" s="49"/>
      <c r="R411" s="34" t="str">
        <f>IFERROR(VLOOKUP(N411,soils2!$A$2:$C$152,3),"")</f>
        <v/>
      </c>
      <c r="S411" s="49"/>
      <c r="T411" s="49"/>
      <c r="U411" s="33"/>
    </row>
    <row r="412" spans="14:21" ht="13">
      <c r="N412" s="33"/>
      <c r="O412" s="49" t="str">
        <f>IFERROR(VLOOKUP(N412,soils2!$A$2:$C$152,2),"")</f>
        <v/>
      </c>
      <c r="P412" s="49"/>
      <c r="Q412" s="49"/>
      <c r="R412" s="34" t="str">
        <f>IFERROR(VLOOKUP(N412,soils2!$A$2:$C$152,3),"")</f>
        <v/>
      </c>
      <c r="S412" s="49"/>
      <c r="T412" s="49"/>
      <c r="U412" s="33"/>
    </row>
    <row r="413" spans="14:21" ht="13">
      <c r="N413" s="33"/>
      <c r="O413" s="49" t="str">
        <f>IFERROR(VLOOKUP(N413,soils2!$A$2:$C$152,2),"")</f>
        <v/>
      </c>
      <c r="P413" s="49"/>
      <c r="Q413" s="49"/>
      <c r="R413" s="34" t="str">
        <f>IFERROR(VLOOKUP(N413,soils2!$A$2:$C$152,3),"")</f>
        <v/>
      </c>
      <c r="S413" s="49"/>
      <c r="T413" s="49"/>
      <c r="U413" s="33"/>
    </row>
    <row r="414" spans="14:21" ht="13">
      <c r="N414" s="33"/>
      <c r="O414" s="49" t="str">
        <f>IFERROR(VLOOKUP(N414,soils2!$A$2:$C$152,2),"")</f>
        <v/>
      </c>
      <c r="P414" s="49"/>
      <c r="Q414" s="49"/>
      <c r="R414" s="34" t="str">
        <f>IFERROR(VLOOKUP(N414,soils2!$A$2:$C$152,3),"")</f>
        <v/>
      </c>
      <c r="S414" s="49"/>
      <c r="T414" s="49"/>
      <c r="U414" s="33"/>
    </row>
    <row r="415" spans="14:21" ht="13">
      <c r="N415" s="33"/>
      <c r="O415" s="49" t="str">
        <f>IFERROR(VLOOKUP(N415,soils2!$A$2:$C$152,2),"")</f>
        <v/>
      </c>
      <c r="P415" s="49"/>
      <c r="Q415" s="49"/>
      <c r="R415" s="34" t="str">
        <f>IFERROR(VLOOKUP(N415,soils2!$A$2:$C$152,3),"")</f>
        <v/>
      </c>
      <c r="S415" s="49"/>
      <c r="T415" s="49"/>
      <c r="U415" s="33"/>
    </row>
    <row r="416" spans="14:21" ht="13">
      <c r="N416" s="33"/>
      <c r="O416" s="49" t="str">
        <f>IFERROR(VLOOKUP(N416,soils2!$A$2:$C$152,2),"")</f>
        <v/>
      </c>
      <c r="P416" s="49"/>
      <c r="Q416" s="49"/>
      <c r="R416" s="34" t="str">
        <f>IFERROR(VLOOKUP(N416,soils2!$A$2:$C$152,3),"")</f>
        <v/>
      </c>
      <c r="S416" s="49"/>
      <c r="T416" s="49"/>
      <c r="U416" s="33"/>
    </row>
    <row r="417" spans="14:21" ht="13">
      <c r="N417" s="33"/>
      <c r="O417" s="49" t="str">
        <f>IFERROR(VLOOKUP(N417,soils2!$A$2:$C$152,2),"")</f>
        <v/>
      </c>
      <c r="P417" s="49"/>
      <c r="Q417" s="49"/>
      <c r="R417" s="34" t="str">
        <f>IFERROR(VLOOKUP(N417,soils2!$A$2:$C$152,3),"")</f>
        <v/>
      </c>
      <c r="S417" s="49"/>
      <c r="T417" s="49"/>
      <c r="U417" s="33"/>
    </row>
    <row r="418" spans="14:21" ht="13">
      <c r="N418" s="33"/>
      <c r="O418" s="49" t="str">
        <f>IFERROR(VLOOKUP(N418,soils2!$A$2:$C$152,2),"")</f>
        <v/>
      </c>
      <c r="P418" s="49"/>
      <c r="Q418" s="49"/>
      <c r="R418" s="34" t="str">
        <f>IFERROR(VLOOKUP(N418,soils2!$A$2:$C$152,3),"")</f>
        <v/>
      </c>
      <c r="S418" s="49"/>
      <c r="T418" s="49"/>
      <c r="U418" s="33"/>
    </row>
    <row r="419" spans="14:21" ht="13">
      <c r="N419" s="33"/>
      <c r="O419" s="49" t="str">
        <f>IFERROR(VLOOKUP(N419,soils2!$A$2:$C$152,2),"")</f>
        <v/>
      </c>
      <c r="P419" s="49"/>
      <c r="Q419" s="49"/>
      <c r="R419" s="34" t="str">
        <f>IFERROR(VLOOKUP(N419,soils2!$A$2:$C$152,3),"")</f>
        <v/>
      </c>
      <c r="S419" s="49"/>
      <c r="T419" s="49"/>
      <c r="U419" s="33"/>
    </row>
    <row r="420" spans="14:21" ht="13">
      <c r="N420" s="33"/>
      <c r="O420" s="49" t="str">
        <f>IFERROR(VLOOKUP(N420,soils2!$A$2:$C$152,2),"")</f>
        <v/>
      </c>
      <c r="P420" s="49"/>
      <c r="Q420" s="49"/>
      <c r="R420" s="34" t="str">
        <f>IFERROR(VLOOKUP(N420,soils2!$A$2:$C$152,3),"")</f>
        <v/>
      </c>
      <c r="S420" s="49"/>
      <c r="T420" s="49"/>
      <c r="U420" s="33"/>
    </row>
    <row r="421" spans="14:21" ht="13">
      <c r="N421" s="33"/>
      <c r="O421" s="49" t="str">
        <f>IFERROR(VLOOKUP(N421,soils2!$A$2:$C$152,2),"")</f>
        <v/>
      </c>
      <c r="P421" s="49"/>
      <c r="Q421" s="49"/>
      <c r="R421" s="34" t="str">
        <f>IFERROR(VLOOKUP(N421,soils2!$A$2:$C$152,3),"")</f>
        <v/>
      </c>
      <c r="S421" s="49"/>
      <c r="T421" s="49"/>
      <c r="U421" s="33"/>
    </row>
    <row r="422" spans="14:21" ht="13">
      <c r="N422" s="33"/>
      <c r="O422" s="49" t="str">
        <f>IFERROR(VLOOKUP(N422,soils2!$A$2:$C$152,2),"")</f>
        <v/>
      </c>
      <c r="P422" s="49"/>
      <c r="Q422" s="49"/>
      <c r="R422" s="34" t="str">
        <f>IFERROR(VLOOKUP(N422,soils2!$A$2:$C$152,3),"")</f>
        <v/>
      </c>
      <c r="S422" s="49"/>
      <c r="T422" s="49"/>
      <c r="U422" s="33"/>
    </row>
    <row r="423" spans="14:21" ht="13">
      <c r="N423" s="33"/>
      <c r="O423" s="49" t="str">
        <f>IFERROR(VLOOKUP(N423,soils2!$A$2:$C$152,2),"")</f>
        <v/>
      </c>
      <c r="P423" s="49"/>
      <c r="Q423" s="49"/>
      <c r="R423" s="34" t="str">
        <f>IFERROR(VLOOKUP(N423,soils2!$A$2:$C$152,3),"")</f>
        <v/>
      </c>
      <c r="S423" s="49"/>
      <c r="T423" s="49"/>
      <c r="U423" s="33"/>
    </row>
    <row r="424" spans="14:21" ht="13">
      <c r="N424" s="33"/>
      <c r="O424" s="49" t="str">
        <f>IFERROR(VLOOKUP(N424,soils2!$A$2:$C$152,2),"")</f>
        <v/>
      </c>
      <c r="P424" s="49"/>
      <c r="Q424" s="49"/>
      <c r="R424" s="34" t="str">
        <f>IFERROR(VLOOKUP(N424,soils2!$A$2:$C$152,3),"")</f>
        <v/>
      </c>
      <c r="S424" s="49"/>
      <c r="T424" s="49"/>
      <c r="U424" s="33"/>
    </row>
    <row r="425" spans="14:21" ht="13">
      <c r="N425" s="33"/>
      <c r="O425" s="49" t="str">
        <f>IFERROR(VLOOKUP(N425,soils2!$A$2:$C$152,2),"")</f>
        <v/>
      </c>
      <c r="P425" s="49"/>
      <c r="Q425" s="49"/>
      <c r="R425" s="34" t="str">
        <f>IFERROR(VLOOKUP(N425,soils2!$A$2:$C$152,3),"")</f>
        <v/>
      </c>
      <c r="S425" s="49"/>
      <c r="T425" s="49"/>
      <c r="U425" s="33"/>
    </row>
    <row r="426" spans="14:21" ht="13">
      <c r="N426" s="33"/>
      <c r="O426" s="49" t="str">
        <f>IFERROR(VLOOKUP(N426,soils2!$A$2:$C$152,2),"")</f>
        <v/>
      </c>
      <c r="P426" s="49"/>
      <c r="Q426" s="49"/>
      <c r="R426" s="34" t="str">
        <f>IFERROR(VLOOKUP(N426,soils2!$A$2:$C$152,3),"")</f>
        <v/>
      </c>
      <c r="S426" s="49"/>
      <c r="T426" s="49"/>
      <c r="U426" s="33"/>
    </row>
    <row r="427" spans="14:21" ht="13">
      <c r="N427" s="33"/>
      <c r="O427" s="49" t="str">
        <f>IFERROR(VLOOKUP(N427,soils2!$A$2:$C$152,2),"")</f>
        <v/>
      </c>
      <c r="P427" s="49"/>
      <c r="Q427" s="49"/>
      <c r="R427" s="34" t="str">
        <f>IFERROR(VLOOKUP(N427,soils2!$A$2:$C$152,3),"")</f>
        <v/>
      </c>
      <c r="S427" s="49"/>
      <c r="T427" s="49"/>
      <c r="U427" s="33"/>
    </row>
    <row r="428" spans="14:21" ht="13">
      <c r="N428" s="33"/>
      <c r="O428" s="49" t="str">
        <f>IFERROR(VLOOKUP(N428,soils2!$A$2:$C$152,2),"")</f>
        <v/>
      </c>
      <c r="P428" s="49"/>
      <c r="Q428" s="49"/>
      <c r="R428" s="34" t="str">
        <f>IFERROR(VLOOKUP(N428,soils2!$A$2:$C$152,3),"")</f>
        <v/>
      </c>
      <c r="S428" s="49"/>
      <c r="T428" s="49"/>
      <c r="U428" s="33"/>
    </row>
    <row r="429" spans="14:21" ht="13">
      <c r="N429" s="33"/>
      <c r="O429" s="49" t="str">
        <f>IFERROR(VLOOKUP(N429,soils2!$A$2:$C$152,2),"")</f>
        <v/>
      </c>
      <c r="P429" s="49"/>
      <c r="Q429" s="49"/>
      <c r="R429" s="34" t="str">
        <f>IFERROR(VLOOKUP(N429,soils2!$A$2:$C$152,3),"")</f>
        <v/>
      </c>
      <c r="S429" s="49"/>
      <c r="T429" s="49"/>
      <c r="U429" s="33"/>
    </row>
    <row r="430" spans="14:21" ht="13">
      <c r="N430" s="33"/>
      <c r="O430" s="49" t="str">
        <f>IFERROR(VLOOKUP(N430,soils2!$A$2:$C$152,2),"")</f>
        <v/>
      </c>
      <c r="P430" s="49"/>
      <c r="Q430" s="49"/>
      <c r="R430" s="34" t="str">
        <f>IFERROR(VLOOKUP(N430,soils2!$A$2:$C$152,3),"")</f>
        <v/>
      </c>
      <c r="S430" s="49"/>
      <c r="T430" s="49"/>
      <c r="U430" s="33"/>
    </row>
    <row r="431" spans="14:21" ht="13">
      <c r="N431" s="33"/>
      <c r="O431" s="49" t="str">
        <f>IFERROR(VLOOKUP(N431,soils2!$A$2:$C$152,2),"")</f>
        <v/>
      </c>
      <c r="P431" s="49"/>
      <c r="Q431" s="49"/>
      <c r="R431" s="34" t="str">
        <f>IFERROR(VLOOKUP(N431,soils2!$A$2:$C$152,3),"")</f>
        <v/>
      </c>
      <c r="S431" s="49"/>
      <c r="T431" s="49"/>
      <c r="U431" s="33"/>
    </row>
    <row r="432" spans="14:21" ht="13">
      <c r="N432" s="33"/>
      <c r="O432" s="49" t="str">
        <f>IFERROR(VLOOKUP(N432,soils2!$A$2:$C$152,2),"")</f>
        <v/>
      </c>
      <c r="P432" s="49"/>
      <c r="Q432" s="49"/>
      <c r="R432" s="34" t="str">
        <f>IFERROR(VLOOKUP(N432,soils2!$A$2:$C$152,3),"")</f>
        <v/>
      </c>
      <c r="S432" s="49"/>
      <c r="T432" s="49"/>
      <c r="U432" s="33"/>
    </row>
    <row r="433" spans="14:21" ht="13">
      <c r="N433" s="33"/>
      <c r="O433" s="49" t="str">
        <f>IFERROR(VLOOKUP(N433,soils2!$A$2:$C$152,2),"")</f>
        <v/>
      </c>
      <c r="P433" s="49"/>
      <c r="Q433" s="49"/>
      <c r="R433" s="34" t="str">
        <f>IFERROR(VLOOKUP(N433,soils2!$A$2:$C$152,3),"")</f>
        <v/>
      </c>
      <c r="S433" s="49"/>
      <c r="T433" s="49"/>
      <c r="U433" s="33"/>
    </row>
    <row r="434" spans="14:21" ht="13">
      <c r="N434" s="33"/>
      <c r="O434" s="49" t="str">
        <f>IFERROR(VLOOKUP(N434,soils2!$A$2:$C$152,2),"")</f>
        <v/>
      </c>
      <c r="P434" s="49"/>
      <c r="Q434" s="49"/>
      <c r="R434" s="34" t="str">
        <f>IFERROR(VLOOKUP(N434,soils2!$A$2:$C$152,3),"")</f>
        <v/>
      </c>
      <c r="S434" s="49"/>
      <c r="T434" s="49"/>
      <c r="U434" s="33"/>
    </row>
    <row r="435" spans="14:21" ht="13">
      <c r="N435" s="33"/>
      <c r="O435" s="49" t="str">
        <f>IFERROR(VLOOKUP(N435,soils2!$A$2:$C$152,2),"")</f>
        <v/>
      </c>
      <c r="P435" s="49"/>
      <c r="Q435" s="49"/>
      <c r="R435" s="34" t="str">
        <f>IFERROR(VLOOKUP(N435,soils2!$A$2:$C$152,3),"")</f>
        <v/>
      </c>
      <c r="S435" s="49"/>
      <c r="T435" s="49"/>
      <c r="U435" s="33"/>
    </row>
    <row r="436" spans="14:21" ht="13">
      <c r="N436" s="33"/>
      <c r="O436" s="49" t="str">
        <f>IFERROR(VLOOKUP(N436,soils2!$A$2:$C$152,2),"")</f>
        <v/>
      </c>
      <c r="P436" s="49"/>
      <c r="Q436" s="49"/>
      <c r="R436" s="34" t="str">
        <f>IFERROR(VLOOKUP(N436,soils2!$A$2:$C$152,3),"")</f>
        <v/>
      </c>
      <c r="S436" s="49"/>
      <c r="T436" s="49"/>
      <c r="U436" s="33"/>
    </row>
    <row r="437" spans="14:21" ht="13">
      <c r="N437" s="33"/>
      <c r="O437" s="49" t="str">
        <f>IFERROR(VLOOKUP(N437,soils2!$A$2:$C$152,2),"")</f>
        <v/>
      </c>
      <c r="P437" s="49"/>
      <c r="Q437" s="49"/>
      <c r="R437" s="34" t="str">
        <f>IFERROR(VLOOKUP(N437,soils2!$A$2:$C$152,3),"")</f>
        <v/>
      </c>
      <c r="S437" s="49"/>
      <c r="T437" s="49"/>
      <c r="U437" s="33"/>
    </row>
    <row r="438" spans="14:21" ht="13">
      <c r="N438" s="33"/>
      <c r="O438" s="49" t="str">
        <f>IFERROR(VLOOKUP(N438,soils2!$A$2:$C$152,2),"")</f>
        <v/>
      </c>
      <c r="P438" s="49"/>
      <c r="Q438" s="49"/>
      <c r="R438" s="34" t="str">
        <f>IFERROR(VLOOKUP(N438,soils2!$A$2:$C$152,3),"")</f>
        <v/>
      </c>
      <c r="S438" s="49"/>
      <c r="T438" s="49"/>
      <c r="U438" s="33"/>
    </row>
    <row r="439" spans="14:21" ht="13">
      <c r="N439" s="33"/>
      <c r="O439" s="49" t="str">
        <f>IFERROR(VLOOKUP(N439,soils2!$A$2:$C$152,2),"")</f>
        <v/>
      </c>
      <c r="P439" s="49"/>
      <c r="Q439" s="49"/>
      <c r="R439" s="34" t="str">
        <f>IFERROR(VLOOKUP(N439,soils2!$A$2:$C$152,3),"")</f>
        <v/>
      </c>
      <c r="S439" s="49"/>
      <c r="T439" s="49"/>
      <c r="U439" s="33"/>
    </row>
    <row r="440" spans="14:21" ht="13">
      <c r="N440" s="33"/>
      <c r="O440" s="49" t="str">
        <f>IFERROR(VLOOKUP(N440,soils2!$A$2:$C$152,2),"")</f>
        <v/>
      </c>
      <c r="P440" s="49"/>
      <c r="Q440" s="49"/>
      <c r="R440" s="34" t="str">
        <f>IFERROR(VLOOKUP(N440,soils2!$A$2:$C$152,3),"")</f>
        <v/>
      </c>
      <c r="S440" s="49"/>
      <c r="T440" s="49"/>
      <c r="U440" s="33"/>
    </row>
    <row r="441" spans="14:21" ht="13">
      <c r="N441" s="33"/>
      <c r="O441" s="49" t="str">
        <f>IFERROR(VLOOKUP(N441,soils2!$A$2:$C$152,2),"")</f>
        <v/>
      </c>
      <c r="P441" s="49"/>
      <c r="Q441" s="49"/>
      <c r="R441" s="34" t="str">
        <f>IFERROR(VLOOKUP(N441,soils2!$A$2:$C$152,3),"")</f>
        <v/>
      </c>
      <c r="S441" s="49"/>
      <c r="T441" s="49"/>
      <c r="U441" s="33"/>
    </row>
    <row r="442" spans="14:21" ht="13">
      <c r="N442" s="33"/>
      <c r="O442" s="49" t="str">
        <f>IFERROR(VLOOKUP(N442,soils2!$A$2:$C$152,2),"")</f>
        <v/>
      </c>
      <c r="P442" s="49"/>
      <c r="Q442" s="49"/>
      <c r="R442" s="34" t="str">
        <f>IFERROR(VLOOKUP(N442,soils2!$A$2:$C$152,3),"")</f>
        <v/>
      </c>
      <c r="S442" s="49"/>
      <c r="T442" s="49"/>
      <c r="U442" s="33"/>
    </row>
    <row r="443" spans="14:21" ht="13">
      <c r="N443" s="33"/>
      <c r="O443" s="49" t="str">
        <f>IFERROR(VLOOKUP(N443,soils2!$A$2:$C$152,2),"")</f>
        <v/>
      </c>
      <c r="P443" s="49"/>
      <c r="Q443" s="49"/>
      <c r="R443" s="34" t="str">
        <f>IFERROR(VLOOKUP(N443,soils2!$A$2:$C$152,3),"")</f>
        <v/>
      </c>
      <c r="S443" s="49"/>
      <c r="T443" s="49"/>
      <c r="U443" s="33"/>
    </row>
    <row r="444" spans="14:21" ht="13">
      <c r="N444" s="33"/>
      <c r="O444" s="49" t="str">
        <f>IFERROR(VLOOKUP(N444,soils2!$A$2:$C$152,2),"")</f>
        <v/>
      </c>
      <c r="P444" s="49"/>
      <c r="Q444" s="49"/>
      <c r="R444" s="34" t="str">
        <f>IFERROR(VLOOKUP(N444,soils2!$A$2:$C$152,3),"")</f>
        <v/>
      </c>
      <c r="S444" s="49"/>
      <c r="T444" s="49"/>
      <c r="U444" s="33"/>
    </row>
    <row r="445" spans="14:21" ht="13">
      <c r="N445" s="33"/>
      <c r="O445" s="49" t="str">
        <f>IFERROR(VLOOKUP(N445,soils2!$A$2:$C$152,2),"")</f>
        <v/>
      </c>
      <c r="P445" s="49"/>
      <c r="Q445" s="49"/>
      <c r="R445" s="34" t="str">
        <f>IFERROR(VLOOKUP(N445,soils2!$A$2:$C$152,3),"")</f>
        <v/>
      </c>
      <c r="S445" s="49"/>
      <c r="T445" s="49"/>
      <c r="U445" s="33"/>
    </row>
    <row r="446" spans="14:21" ht="13">
      <c r="N446" s="33"/>
      <c r="O446" s="49" t="str">
        <f>IFERROR(VLOOKUP(N446,soils2!$A$2:$C$152,2),"")</f>
        <v/>
      </c>
      <c r="P446" s="49"/>
      <c r="Q446" s="49"/>
      <c r="R446" s="34" t="str">
        <f>IFERROR(VLOOKUP(N446,soils2!$A$2:$C$152,3),"")</f>
        <v/>
      </c>
      <c r="S446" s="49"/>
      <c r="T446" s="49"/>
      <c r="U446" s="33"/>
    </row>
    <row r="447" spans="14:21" ht="13">
      <c r="N447" s="33"/>
      <c r="O447" s="49" t="str">
        <f>IFERROR(VLOOKUP(N447,soils2!$A$2:$C$152,2),"")</f>
        <v/>
      </c>
      <c r="P447" s="49"/>
      <c r="Q447" s="49"/>
      <c r="R447" s="34" t="str">
        <f>IFERROR(VLOOKUP(N447,soils2!$A$2:$C$152,3),"")</f>
        <v/>
      </c>
      <c r="S447" s="49"/>
      <c r="T447" s="49"/>
      <c r="U447" s="33"/>
    </row>
    <row r="448" spans="14:21" ht="13">
      <c r="N448" s="33"/>
      <c r="O448" s="49" t="str">
        <f>IFERROR(VLOOKUP(N448,soils2!$A$2:$C$152,2),"")</f>
        <v/>
      </c>
      <c r="P448" s="49"/>
      <c r="Q448" s="49"/>
      <c r="R448" s="34" t="str">
        <f>IFERROR(VLOOKUP(N448,soils2!$A$2:$C$152,3),"")</f>
        <v/>
      </c>
      <c r="S448" s="49"/>
      <c r="T448" s="49"/>
      <c r="U448" s="33"/>
    </row>
    <row r="449" spans="14:21" ht="13">
      <c r="N449" s="33"/>
      <c r="O449" s="49" t="str">
        <f>IFERROR(VLOOKUP(N449,soils2!$A$2:$C$152,2),"")</f>
        <v/>
      </c>
      <c r="P449" s="49"/>
      <c r="Q449" s="49"/>
      <c r="R449" s="34" t="str">
        <f>IFERROR(VLOOKUP(N449,soils2!$A$2:$C$152,3),"")</f>
        <v/>
      </c>
      <c r="S449" s="49"/>
      <c r="T449" s="49"/>
      <c r="U449" s="33"/>
    </row>
    <row r="450" spans="14:21" ht="13">
      <c r="N450" s="33"/>
      <c r="O450" s="49" t="str">
        <f>IFERROR(VLOOKUP(N450,soils2!$A$2:$C$152,2),"")</f>
        <v/>
      </c>
      <c r="P450" s="49"/>
      <c r="Q450" s="49"/>
      <c r="R450" s="34" t="str">
        <f>IFERROR(VLOOKUP(N450,soils2!$A$2:$C$152,3),"")</f>
        <v/>
      </c>
      <c r="S450" s="49"/>
      <c r="T450" s="49"/>
      <c r="U450" s="33"/>
    </row>
    <row r="451" spans="14:21" ht="13">
      <c r="N451" s="33"/>
      <c r="O451" s="49" t="str">
        <f>IFERROR(VLOOKUP(N451,soils2!$A$2:$C$152,2),"")</f>
        <v/>
      </c>
      <c r="P451" s="49"/>
      <c r="Q451" s="49"/>
      <c r="R451" s="34" t="str">
        <f>IFERROR(VLOOKUP(N451,soils2!$A$2:$C$152,3),"")</f>
        <v/>
      </c>
      <c r="S451" s="49"/>
      <c r="T451" s="49"/>
      <c r="U451" s="33"/>
    </row>
    <row r="452" spans="14:21" ht="13">
      <c r="N452" s="33"/>
      <c r="O452" s="49" t="str">
        <f>IFERROR(VLOOKUP(N452,soils2!$A$2:$C$152,2),"")</f>
        <v/>
      </c>
      <c r="P452" s="49"/>
      <c r="Q452" s="49"/>
      <c r="R452" s="34" t="str">
        <f>IFERROR(VLOOKUP(N452,soils2!$A$2:$C$152,3),"")</f>
        <v/>
      </c>
      <c r="S452" s="49"/>
      <c r="T452" s="49"/>
      <c r="U452" s="33"/>
    </row>
    <row r="453" spans="14:21" ht="13">
      <c r="N453" s="33"/>
      <c r="O453" s="49" t="str">
        <f>IFERROR(VLOOKUP(N453,soils2!$A$2:$C$152,2),"")</f>
        <v/>
      </c>
      <c r="P453" s="49"/>
      <c r="Q453" s="49"/>
      <c r="R453" s="34" t="str">
        <f>IFERROR(VLOOKUP(N453,soils2!$A$2:$C$152,3),"")</f>
        <v/>
      </c>
      <c r="S453" s="49"/>
      <c r="T453" s="49"/>
      <c r="U453" s="33"/>
    </row>
    <row r="454" spans="14:21" ht="13">
      <c r="N454" s="33"/>
      <c r="O454" s="49" t="str">
        <f>IFERROR(VLOOKUP(N454,soils2!$A$2:$C$152,2),"")</f>
        <v/>
      </c>
      <c r="P454" s="49"/>
      <c r="Q454" s="49"/>
      <c r="R454" s="34" t="str">
        <f>IFERROR(VLOOKUP(N454,soils2!$A$2:$C$152,3),"")</f>
        <v/>
      </c>
      <c r="S454" s="49"/>
      <c r="T454" s="49"/>
      <c r="U454" s="33"/>
    </row>
    <row r="455" spans="14:21" ht="13">
      <c r="N455" s="33"/>
      <c r="O455" s="49" t="str">
        <f>IFERROR(VLOOKUP(N455,soils2!$A$2:$C$152,2),"")</f>
        <v/>
      </c>
      <c r="P455" s="49"/>
      <c r="Q455" s="49"/>
      <c r="R455" s="34" t="str">
        <f>IFERROR(VLOOKUP(N455,soils2!$A$2:$C$152,3),"")</f>
        <v/>
      </c>
      <c r="S455" s="49"/>
      <c r="T455" s="49"/>
      <c r="U455" s="33"/>
    </row>
    <row r="456" spans="14:21" ht="13">
      <c r="N456" s="33"/>
      <c r="O456" s="49" t="str">
        <f>IFERROR(VLOOKUP(N456,soils2!$A$2:$C$152,2),"")</f>
        <v/>
      </c>
      <c r="P456" s="49"/>
      <c r="Q456" s="49"/>
      <c r="R456" s="34" t="str">
        <f>IFERROR(VLOOKUP(N456,soils2!$A$2:$C$152,3),"")</f>
        <v/>
      </c>
      <c r="S456" s="49"/>
      <c r="T456" s="49"/>
      <c r="U456" s="33"/>
    </row>
    <row r="457" spans="14:21" ht="13">
      <c r="N457" s="33"/>
      <c r="O457" s="49" t="str">
        <f>IFERROR(VLOOKUP(N457,soils2!$A$2:$C$152,2),"")</f>
        <v/>
      </c>
      <c r="P457" s="49"/>
      <c r="Q457" s="49"/>
      <c r="R457" s="34" t="str">
        <f>IFERROR(VLOOKUP(N457,soils2!$A$2:$C$152,3),"")</f>
        <v/>
      </c>
      <c r="S457" s="49"/>
      <c r="T457" s="49"/>
      <c r="U457" s="33"/>
    </row>
    <row r="458" spans="14:21" ht="13">
      <c r="N458" s="33"/>
      <c r="O458" s="49" t="str">
        <f>IFERROR(VLOOKUP(N458,soils2!$A$2:$C$152,2),"")</f>
        <v/>
      </c>
      <c r="P458" s="49"/>
      <c r="Q458" s="49"/>
      <c r="R458" s="34" t="str">
        <f>IFERROR(VLOOKUP(N458,soils2!$A$2:$C$152,3),"")</f>
        <v/>
      </c>
      <c r="S458" s="49"/>
      <c r="T458" s="49"/>
      <c r="U458" s="33"/>
    </row>
    <row r="459" spans="14:21" ht="13">
      <c r="N459" s="33"/>
      <c r="O459" s="49" t="str">
        <f>IFERROR(VLOOKUP(N459,soils2!$A$2:$C$152,2),"")</f>
        <v/>
      </c>
      <c r="P459" s="49"/>
      <c r="Q459" s="49"/>
      <c r="R459" s="34" t="str">
        <f>IFERROR(VLOOKUP(N459,soils2!$A$2:$C$152,3),"")</f>
        <v/>
      </c>
      <c r="S459" s="49"/>
      <c r="T459" s="49"/>
      <c r="U459" s="33"/>
    </row>
    <row r="460" spans="14:21" ht="13">
      <c r="N460" s="33"/>
      <c r="O460" s="49" t="str">
        <f>IFERROR(VLOOKUP(N460,soils2!$A$2:$C$152,2),"")</f>
        <v/>
      </c>
      <c r="P460" s="49"/>
      <c r="Q460" s="49"/>
      <c r="R460" s="34" t="str">
        <f>IFERROR(VLOOKUP(N460,soils2!$A$2:$C$152,3),"")</f>
        <v/>
      </c>
      <c r="S460" s="49"/>
      <c r="T460" s="49"/>
      <c r="U460" s="33"/>
    </row>
    <row r="461" spans="14:21" ht="13">
      <c r="N461" s="33"/>
      <c r="O461" s="49" t="str">
        <f>IFERROR(VLOOKUP(N461,soils2!$A$2:$C$152,2),"")</f>
        <v/>
      </c>
      <c r="P461" s="49"/>
      <c r="Q461" s="49"/>
      <c r="R461" s="34" t="str">
        <f>IFERROR(VLOOKUP(N461,soils2!$A$2:$C$152,3),"")</f>
        <v/>
      </c>
      <c r="S461" s="49"/>
      <c r="T461" s="49"/>
      <c r="U461" s="33"/>
    </row>
    <row r="462" spans="14:21" ht="13">
      <c r="N462" s="33"/>
      <c r="O462" s="49" t="str">
        <f>IFERROR(VLOOKUP(N462,soils2!$A$2:$C$152,2),"")</f>
        <v/>
      </c>
      <c r="P462" s="49"/>
      <c r="Q462" s="49"/>
      <c r="R462" s="34" t="str">
        <f>IFERROR(VLOOKUP(N462,soils2!$A$2:$C$152,3),"")</f>
        <v/>
      </c>
      <c r="S462" s="49"/>
      <c r="T462" s="49"/>
      <c r="U462" s="33"/>
    </row>
    <row r="463" spans="14:21" ht="13">
      <c r="N463" s="33"/>
      <c r="O463" s="49" t="str">
        <f>IFERROR(VLOOKUP(N463,soils2!$A$2:$C$152,2),"")</f>
        <v/>
      </c>
      <c r="P463" s="49"/>
      <c r="Q463" s="49"/>
      <c r="R463" s="34" t="str">
        <f>IFERROR(VLOOKUP(N463,soils2!$A$2:$C$152,3),"")</f>
        <v/>
      </c>
      <c r="S463" s="49"/>
      <c r="T463" s="49"/>
      <c r="U463" s="33"/>
    </row>
    <row r="464" spans="14:21" ht="13">
      <c r="N464" s="33"/>
      <c r="O464" s="49" t="str">
        <f>IFERROR(VLOOKUP(N464,soils2!$A$2:$C$152,2),"")</f>
        <v/>
      </c>
      <c r="P464" s="49"/>
      <c r="Q464" s="49"/>
      <c r="R464" s="34" t="str">
        <f>IFERROR(VLOOKUP(N464,soils2!$A$2:$C$152,3),"")</f>
        <v/>
      </c>
      <c r="S464" s="49"/>
      <c r="T464" s="49"/>
      <c r="U464" s="33"/>
    </row>
    <row r="465" spans="14:21" ht="13">
      <c r="N465" s="33"/>
      <c r="O465" s="49" t="str">
        <f>IFERROR(VLOOKUP(N465,soils2!$A$2:$C$152,2),"")</f>
        <v/>
      </c>
      <c r="P465" s="49"/>
      <c r="Q465" s="49"/>
      <c r="R465" s="34" t="str">
        <f>IFERROR(VLOOKUP(N465,soils2!$A$2:$C$152,3),"")</f>
        <v/>
      </c>
      <c r="S465" s="49"/>
      <c r="T465" s="49"/>
      <c r="U465" s="33"/>
    </row>
    <row r="466" spans="14:21" ht="13">
      <c r="N466" s="33"/>
      <c r="O466" s="49" t="str">
        <f>IFERROR(VLOOKUP(N466,soils2!$A$2:$C$152,2),"")</f>
        <v/>
      </c>
      <c r="P466" s="49"/>
      <c r="Q466" s="49"/>
      <c r="R466" s="34" t="str">
        <f>IFERROR(VLOOKUP(N466,soils2!$A$2:$C$152,3),"")</f>
        <v/>
      </c>
      <c r="S466" s="49"/>
      <c r="T466" s="49"/>
      <c r="U466" s="33"/>
    </row>
    <row r="467" spans="14:21" ht="13">
      <c r="N467" s="33"/>
      <c r="O467" s="49" t="str">
        <f>IFERROR(VLOOKUP(N467,soils2!$A$2:$C$152,2),"")</f>
        <v/>
      </c>
      <c r="P467" s="49"/>
      <c r="Q467" s="49"/>
      <c r="R467" s="34" t="str">
        <f>IFERROR(VLOOKUP(N467,soils2!$A$2:$C$152,3),"")</f>
        <v/>
      </c>
      <c r="S467" s="49"/>
      <c r="T467" s="49"/>
      <c r="U467" s="33"/>
    </row>
    <row r="468" spans="14:21" ht="13">
      <c r="N468" s="33"/>
      <c r="O468" s="49" t="str">
        <f>IFERROR(VLOOKUP(N468,soils2!$A$2:$C$152,2),"")</f>
        <v/>
      </c>
      <c r="P468" s="49"/>
      <c r="Q468" s="49"/>
      <c r="R468" s="34" t="str">
        <f>IFERROR(VLOOKUP(N468,soils2!$A$2:$C$152,3),"")</f>
        <v/>
      </c>
      <c r="S468" s="49"/>
      <c r="T468" s="49"/>
      <c r="U468" s="33"/>
    </row>
    <row r="469" spans="14:21" ht="13">
      <c r="N469" s="33"/>
      <c r="O469" s="49" t="str">
        <f>IFERROR(VLOOKUP(N469,soils2!$A$2:$C$152,2),"")</f>
        <v/>
      </c>
      <c r="P469" s="49"/>
      <c r="Q469" s="49"/>
      <c r="R469" s="34" t="str">
        <f>IFERROR(VLOOKUP(N469,soils2!$A$2:$C$152,3),"")</f>
        <v/>
      </c>
      <c r="S469" s="49"/>
      <c r="T469" s="49"/>
      <c r="U469" s="33"/>
    </row>
    <row r="470" spans="14:21" ht="13">
      <c r="N470" s="33"/>
      <c r="O470" s="49" t="str">
        <f>IFERROR(VLOOKUP(N470,soils2!$A$2:$C$152,2),"")</f>
        <v/>
      </c>
      <c r="P470" s="49"/>
      <c r="Q470" s="49"/>
      <c r="R470" s="34" t="str">
        <f>IFERROR(VLOOKUP(N470,soils2!$A$2:$C$152,3),"")</f>
        <v/>
      </c>
      <c r="S470" s="49"/>
      <c r="T470" s="49"/>
      <c r="U470" s="33"/>
    </row>
    <row r="471" spans="14:21" ht="13">
      <c r="N471" s="33"/>
      <c r="O471" s="49" t="str">
        <f>IFERROR(VLOOKUP(N471,soils2!$A$2:$C$152,2),"")</f>
        <v/>
      </c>
      <c r="P471" s="49"/>
      <c r="Q471" s="49"/>
      <c r="R471" s="34" t="str">
        <f>IFERROR(VLOOKUP(N471,soils2!$A$2:$C$152,3),"")</f>
        <v/>
      </c>
      <c r="S471" s="49"/>
      <c r="T471" s="49"/>
      <c r="U471" s="33"/>
    </row>
    <row r="472" spans="14:21" ht="13">
      <c r="N472" s="33"/>
      <c r="O472" s="49" t="str">
        <f>IFERROR(VLOOKUP(N472,soils2!$A$2:$C$152,2),"")</f>
        <v/>
      </c>
      <c r="P472" s="49"/>
      <c r="Q472" s="49"/>
      <c r="R472" s="34" t="str">
        <f>IFERROR(VLOOKUP(N472,soils2!$A$2:$C$152,3),"")</f>
        <v/>
      </c>
      <c r="S472" s="49"/>
      <c r="T472" s="49"/>
      <c r="U472" s="33"/>
    </row>
    <row r="473" spans="14:21" ht="13">
      <c r="N473" s="33"/>
      <c r="O473" s="49" t="str">
        <f>IFERROR(VLOOKUP(N473,soils2!$A$2:$C$152,2),"")</f>
        <v/>
      </c>
      <c r="P473" s="49"/>
      <c r="Q473" s="49"/>
      <c r="R473" s="34" t="str">
        <f>IFERROR(VLOOKUP(N473,soils2!$A$2:$C$152,3),"")</f>
        <v/>
      </c>
      <c r="S473" s="49"/>
      <c r="T473" s="49"/>
      <c r="U473" s="33"/>
    </row>
    <row r="474" spans="14:21" ht="13">
      <c r="N474" s="33"/>
      <c r="O474" s="49" t="str">
        <f>IFERROR(VLOOKUP(N474,soils2!$A$2:$C$152,2),"")</f>
        <v/>
      </c>
      <c r="P474" s="49"/>
      <c r="Q474" s="49"/>
      <c r="R474" s="34" t="str">
        <f>IFERROR(VLOOKUP(N474,soils2!$A$2:$C$152,3),"")</f>
        <v/>
      </c>
      <c r="S474" s="49"/>
      <c r="T474" s="49"/>
      <c r="U474" s="33"/>
    </row>
    <row r="475" spans="14:21" ht="13">
      <c r="N475" s="33"/>
      <c r="O475" s="49" t="str">
        <f>IFERROR(VLOOKUP(N475,soils2!$A$2:$C$152,2),"")</f>
        <v/>
      </c>
      <c r="P475" s="49"/>
      <c r="Q475" s="49"/>
      <c r="R475" s="34" t="str">
        <f>IFERROR(VLOOKUP(N475,soils2!$A$2:$C$152,3),"")</f>
        <v/>
      </c>
      <c r="S475" s="49"/>
      <c r="T475" s="49"/>
      <c r="U475" s="33"/>
    </row>
    <row r="476" spans="14:21" ht="13">
      <c r="N476" s="33"/>
      <c r="O476" s="49" t="str">
        <f>IFERROR(VLOOKUP(N476,soils2!$A$2:$C$152,2),"")</f>
        <v/>
      </c>
      <c r="P476" s="49"/>
      <c r="Q476" s="49"/>
      <c r="R476" s="34" t="str">
        <f>IFERROR(VLOOKUP(N476,soils2!$A$2:$C$152,3),"")</f>
        <v/>
      </c>
      <c r="S476" s="49"/>
      <c r="T476" s="49"/>
      <c r="U476" s="33"/>
    </row>
    <row r="477" spans="14:21" ht="13">
      <c r="N477" s="33"/>
      <c r="O477" s="49" t="str">
        <f>IFERROR(VLOOKUP(N477,soils2!$A$2:$C$152,2),"")</f>
        <v/>
      </c>
      <c r="P477" s="49"/>
      <c r="Q477" s="49"/>
      <c r="R477" s="34" t="str">
        <f>IFERROR(VLOOKUP(N477,soils2!$A$2:$C$152,3),"")</f>
        <v/>
      </c>
      <c r="S477" s="49"/>
      <c r="T477" s="49"/>
      <c r="U477" s="33"/>
    </row>
    <row r="478" spans="14:21" ht="13">
      <c r="N478" s="33"/>
      <c r="O478" s="49" t="str">
        <f>IFERROR(VLOOKUP(N478,soils2!$A$2:$C$152,2),"")</f>
        <v/>
      </c>
      <c r="P478" s="49"/>
      <c r="Q478" s="49"/>
      <c r="R478" s="34" t="str">
        <f>IFERROR(VLOOKUP(N478,soils2!$A$2:$C$152,3),"")</f>
        <v/>
      </c>
      <c r="S478" s="49"/>
      <c r="T478" s="49"/>
      <c r="U478" s="33"/>
    </row>
    <row r="479" spans="14:21" ht="13">
      <c r="N479" s="33"/>
      <c r="O479" s="49" t="str">
        <f>IFERROR(VLOOKUP(N479,soils2!$A$2:$C$152,2),"")</f>
        <v/>
      </c>
      <c r="P479" s="49"/>
      <c r="Q479" s="49"/>
      <c r="R479" s="34" t="str">
        <f>IFERROR(VLOOKUP(N479,soils2!$A$2:$C$152,3),"")</f>
        <v/>
      </c>
      <c r="S479" s="49"/>
      <c r="T479" s="49"/>
      <c r="U479" s="33"/>
    </row>
    <row r="480" spans="14:21" ht="13">
      <c r="N480" s="33"/>
      <c r="O480" s="49" t="str">
        <f>IFERROR(VLOOKUP(N480,soils2!$A$2:$C$152,2),"")</f>
        <v/>
      </c>
      <c r="P480" s="49"/>
      <c r="Q480" s="49"/>
      <c r="R480" s="34" t="str">
        <f>IFERROR(VLOOKUP(N480,soils2!$A$2:$C$152,3),"")</f>
        <v/>
      </c>
      <c r="S480" s="49"/>
      <c r="T480" s="49"/>
      <c r="U480" s="33"/>
    </row>
    <row r="481" spans="14:21" ht="13">
      <c r="N481" s="33"/>
      <c r="O481" s="49" t="str">
        <f>IFERROR(VLOOKUP(N481,soils2!$A$2:$C$152,2),"")</f>
        <v/>
      </c>
      <c r="P481" s="49"/>
      <c r="Q481" s="49"/>
      <c r="R481" s="34" t="str">
        <f>IFERROR(VLOOKUP(N481,soils2!$A$2:$C$152,3),"")</f>
        <v/>
      </c>
      <c r="S481" s="49"/>
      <c r="T481" s="49"/>
      <c r="U481" s="33"/>
    </row>
    <row r="482" spans="14:21" ht="13">
      <c r="N482" s="33"/>
      <c r="O482" s="49" t="str">
        <f>IFERROR(VLOOKUP(N482,soils2!$A$2:$C$152,2),"")</f>
        <v/>
      </c>
      <c r="P482" s="49"/>
      <c r="Q482" s="49"/>
      <c r="R482" s="34" t="str">
        <f>IFERROR(VLOOKUP(N482,soils2!$A$2:$C$152,3),"")</f>
        <v/>
      </c>
      <c r="S482" s="49"/>
      <c r="T482" s="49"/>
      <c r="U482" s="33"/>
    </row>
    <row r="483" spans="14:21" ht="13">
      <c r="N483" s="33"/>
      <c r="O483" s="49" t="str">
        <f>IFERROR(VLOOKUP(N483,soils2!$A$2:$C$152,2),"")</f>
        <v/>
      </c>
      <c r="P483" s="49"/>
      <c r="Q483" s="49"/>
      <c r="R483" s="34" t="str">
        <f>IFERROR(VLOOKUP(N483,soils2!$A$2:$C$152,3),"")</f>
        <v/>
      </c>
      <c r="S483" s="49"/>
      <c r="T483" s="49"/>
      <c r="U483" s="33"/>
    </row>
    <row r="484" spans="14:21" ht="13">
      <c r="N484" s="33"/>
      <c r="O484" s="49" t="str">
        <f>IFERROR(VLOOKUP(N484,soils2!$A$2:$C$152,2),"")</f>
        <v/>
      </c>
      <c r="P484" s="49"/>
      <c r="Q484" s="49"/>
      <c r="R484" s="34" t="str">
        <f>IFERROR(VLOOKUP(N484,soils2!$A$2:$C$152,3),"")</f>
        <v/>
      </c>
      <c r="S484" s="49"/>
      <c r="T484" s="49"/>
      <c r="U484" s="33"/>
    </row>
    <row r="485" spans="14:21" ht="13">
      <c r="N485" s="33"/>
      <c r="O485" s="49" t="str">
        <f>IFERROR(VLOOKUP(N485,soils2!$A$2:$C$152,2),"")</f>
        <v/>
      </c>
      <c r="P485" s="49"/>
      <c r="Q485" s="49"/>
      <c r="R485" s="34" t="str">
        <f>IFERROR(VLOOKUP(N485,soils2!$A$2:$C$152,3),"")</f>
        <v/>
      </c>
      <c r="S485" s="49"/>
      <c r="T485" s="49"/>
      <c r="U485" s="33"/>
    </row>
    <row r="486" spans="14:21" ht="13">
      <c r="N486" s="33"/>
      <c r="O486" s="49" t="str">
        <f>IFERROR(VLOOKUP(N486,soils2!$A$2:$C$152,2),"")</f>
        <v/>
      </c>
      <c r="P486" s="49"/>
      <c r="Q486" s="49"/>
      <c r="R486" s="34" t="str">
        <f>IFERROR(VLOOKUP(N486,soils2!$A$2:$C$152,3),"")</f>
        <v/>
      </c>
      <c r="S486" s="49"/>
      <c r="T486" s="49"/>
      <c r="U486" s="33"/>
    </row>
    <row r="487" spans="14:21" ht="13">
      <c r="N487" s="33"/>
      <c r="O487" s="49" t="str">
        <f>IFERROR(VLOOKUP(N487,soils2!$A$2:$C$152,2),"")</f>
        <v/>
      </c>
      <c r="P487" s="49"/>
      <c r="Q487" s="49"/>
      <c r="R487" s="34" t="str">
        <f>IFERROR(VLOOKUP(N487,soils2!$A$2:$C$152,3),"")</f>
        <v/>
      </c>
      <c r="S487" s="49"/>
      <c r="T487" s="49"/>
      <c r="U487" s="33"/>
    </row>
    <row r="488" spans="14:21" ht="13">
      <c r="N488" s="33"/>
      <c r="O488" s="49" t="str">
        <f>IFERROR(VLOOKUP(N488,soils2!$A$2:$C$152,2),"")</f>
        <v/>
      </c>
      <c r="P488" s="49"/>
      <c r="Q488" s="49"/>
      <c r="R488" s="34" t="str">
        <f>IFERROR(VLOOKUP(N488,soils2!$A$2:$C$152,3),"")</f>
        <v/>
      </c>
      <c r="S488" s="49"/>
      <c r="T488" s="49"/>
      <c r="U488" s="33"/>
    </row>
    <row r="489" spans="14:21" ht="13">
      <c r="N489" s="33"/>
      <c r="O489" s="49" t="str">
        <f>IFERROR(VLOOKUP(N489,soils2!$A$2:$C$152,2),"")</f>
        <v/>
      </c>
      <c r="P489" s="49"/>
      <c r="Q489" s="49"/>
      <c r="R489" s="34" t="str">
        <f>IFERROR(VLOOKUP(N489,soils2!$A$2:$C$152,3),"")</f>
        <v/>
      </c>
      <c r="S489" s="49"/>
      <c r="T489" s="49"/>
      <c r="U489" s="33"/>
    </row>
    <row r="490" spans="14:21" ht="13">
      <c r="N490" s="33"/>
      <c r="O490" s="49" t="str">
        <f>IFERROR(VLOOKUP(N490,soils2!$A$2:$C$152,2),"")</f>
        <v/>
      </c>
      <c r="P490" s="49"/>
      <c r="Q490" s="49"/>
      <c r="R490" s="34" t="str">
        <f>IFERROR(VLOOKUP(N490,soils2!$A$2:$C$152,3),"")</f>
        <v/>
      </c>
      <c r="S490" s="49"/>
      <c r="T490" s="49"/>
      <c r="U490" s="33"/>
    </row>
    <row r="491" spans="14:21" ht="13">
      <c r="N491" s="33"/>
      <c r="O491" s="49" t="str">
        <f>IFERROR(VLOOKUP(N491,soils2!$A$2:$C$152,2),"")</f>
        <v/>
      </c>
      <c r="P491" s="49"/>
      <c r="Q491" s="49"/>
      <c r="R491" s="34" t="str">
        <f>IFERROR(VLOOKUP(N491,soils2!$A$2:$C$152,3),"")</f>
        <v/>
      </c>
      <c r="S491" s="49"/>
      <c r="T491" s="49"/>
      <c r="U491" s="33"/>
    </row>
    <row r="492" spans="14:21" ht="13">
      <c r="N492" s="33"/>
      <c r="O492" s="49" t="str">
        <f>IFERROR(VLOOKUP(N492,soils2!$A$2:$C$152,2),"")</f>
        <v/>
      </c>
      <c r="P492" s="49"/>
      <c r="Q492" s="49"/>
      <c r="R492" s="34" t="str">
        <f>IFERROR(VLOOKUP(N492,soils2!$A$2:$C$152,3),"")</f>
        <v/>
      </c>
      <c r="S492" s="49"/>
      <c r="T492" s="49"/>
      <c r="U492" s="33"/>
    </row>
    <row r="493" spans="14:21" ht="13">
      <c r="N493" s="33"/>
      <c r="O493" s="49" t="str">
        <f>IFERROR(VLOOKUP(N493,soils2!$A$2:$C$152,2),"")</f>
        <v/>
      </c>
      <c r="P493" s="49"/>
      <c r="Q493" s="49"/>
      <c r="R493" s="34" t="str">
        <f>IFERROR(VLOOKUP(N493,soils2!$A$2:$C$152,3),"")</f>
        <v/>
      </c>
      <c r="S493" s="49"/>
      <c r="T493" s="49"/>
      <c r="U493" s="33"/>
    </row>
    <row r="494" spans="14:21" ht="13">
      <c r="N494" s="33"/>
      <c r="O494" s="49" t="str">
        <f>IFERROR(VLOOKUP(N494,soils2!$A$2:$C$152,2),"")</f>
        <v/>
      </c>
      <c r="P494" s="49"/>
      <c r="Q494" s="49"/>
      <c r="R494" s="34" t="str">
        <f>IFERROR(VLOOKUP(N494,soils2!$A$2:$C$152,3),"")</f>
        <v/>
      </c>
      <c r="S494" s="49"/>
      <c r="T494" s="49"/>
      <c r="U494" s="33"/>
    </row>
    <row r="495" spans="14:21" ht="13">
      <c r="N495" s="33"/>
      <c r="O495" s="49" t="str">
        <f>IFERROR(VLOOKUP(N495,soils2!$A$2:$C$152,2),"")</f>
        <v/>
      </c>
      <c r="P495" s="49"/>
      <c r="Q495" s="49"/>
      <c r="R495" s="34" t="str">
        <f>IFERROR(VLOOKUP(N495,soils2!$A$2:$C$152,3),"")</f>
        <v/>
      </c>
      <c r="S495" s="49"/>
      <c r="T495" s="49"/>
      <c r="U495" s="33"/>
    </row>
    <row r="496" spans="14:21" ht="13">
      <c r="N496" s="33"/>
      <c r="O496" s="49" t="str">
        <f>IFERROR(VLOOKUP(N496,soils2!$A$2:$C$152,2),"")</f>
        <v/>
      </c>
      <c r="P496" s="49"/>
      <c r="Q496" s="49"/>
      <c r="R496" s="34" t="str">
        <f>IFERROR(VLOOKUP(N496,soils2!$A$2:$C$152,3),"")</f>
        <v/>
      </c>
      <c r="S496" s="49"/>
      <c r="T496" s="49"/>
      <c r="U496" s="33"/>
    </row>
    <row r="497" spans="14:21" ht="13">
      <c r="N497" s="33"/>
      <c r="O497" s="49" t="str">
        <f>IFERROR(VLOOKUP(N497,soils2!$A$2:$C$152,2),"")</f>
        <v/>
      </c>
      <c r="P497" s="49"/>
      <c r="Q497" s="49"/>
      <c r="R497" s="34" t="str">
        <f>IFERROR(VLOOKUP(N497,soils2!$A$2:$C$152,3),"")</f>
        <v/>
      </c>
      <c r="S497" s="49"/>
      <c r="T497" s="49"/>
      <c r="U497" s="33"/>
    </row>
    <row r="498" spans="14:21" ht="13">
      <c r="N498" s="33"/>
      <c r="O498" s="49" t="str">
        <f>IFERROR(VLOOKUP(N498,soils2!$A$2:$C$152,2),"")</f>
        <v/>
      </c>
      <c r="P498" s="49"/>
      <c r="Q498" s="49"/>
      <c r="R498" s="34" t="str">
        <f>IFERROR(VLOOKUP(N498,soils2!$A$2:$C$152,3),"")</f>
        <v/>
      </c>
      <c r="S498" s="49"/>
      <c r="T498" s="49"/>
      <c r="U498" s="33"/>
    </row>
    <row r="499" spans="14:21" ht="13">
      <c r="N499" s="33"/>
      <c r="O499" s="49" t="str">
        <f>IFERROR(VLOOKUP(N499,soils2!$A$2:$C$152,2),"")</f>
        <v/>
      </c>
      <c r="P499" s="49"/>
      <c r="Q499" s="49"/>
      <c r="R499" s="34" t="str">
        <f>IFERROR(VLOOKUP(N499,soils2!$A$2:$C$152,3),"")</f>
        <v/>
      </c>
      <c r="S499" s="49"/>
      <c r="T499" s="49"/>
      <c r="U499" s="33"/>
    </row>
    <row r="500" spans="14:21" ht="13">
      <c r="N500" s="33"/>
      <c r="O500" s="49" t="str">
        <f>IFERROR(VLOOKUP(N500,soils2!$A$2:$C$152,2),"")</f>
        <v/>
      </c>
      <c r="P500" s="49"/>
      <c r="Q500" s="49"/>
      <c r="R500" s="34" t="str">
        <f>IFERROR(VLOOKUP(N500,soils2!$A$2:$C$152,3),"")</f>
        <v/>
      </c>
      <c r="S500" s="49"/>
      <c r="T500" s="49"/>
      <c r="U500" s="33"/>
    </row>
    <row r="501" spans="14:21" ht="13">
      <c r="N501" s="33"/>
      <c r="O501" s="49" t="str">
        <f>IFERROR(VLOOKUP(N501,soils2!$A$2:$C$152,2),"")</f>
        <v/>
      </c>
      <c r="P501" s="49"/>
      <c r="Q501" s="49"/>
      <c r="R501" s="34" t="str">
        <f>IFERROR(VLOOKUP(N501,soils2!$A$2:$C$152,3),"")</f>
        <v/>
      </c>
      <c r="S501" s="49"/>
      <c r="T501" s="49"/>
      <c r="U501" s="33"/>
    </row>
    <row r="502" spans="14:21" ht="13">
      <c r="N502" s="33"/>
      <c r="O502" s="49" t="str">
        <f>IFERROR(VLOOKUP(N502,soils2!$A$2:$C$152,2),"")</f>
        <v/>
      </c>
      <c r="P502" s="49"/>
      <c r="Q502" s="49"/>
      <c r="R502" s="34" t="str">
        <f>IFERROR(VLOOKUP(N502,soils2!$A$2:$C$152,3),"")</f>
        <v/>
      </c>
      <c r="S502" s="49"/>
      <c r="T502" s="49"/>
      <c r="U502" s="33"/>
    </row>
    <row r="503" spans="14:21" ht="13">
      <c r="N503" s="33"/>
      <c r="O503" s="49" t="str">
        <f>IFERROR(VLOOKUP(N503,soils2!$A$2:$C$152,2),"")</f>
        <v/>
      </c>
      <c r="P503" s="49"/>
      <c r="Q503" s="49"/>
      <c r="R503" s="34" t="str">
        <f>IFERROR(VLOOKUP(N503,soils2!$A$2:$C$152,3),"")</f>
        <v/>
      </c>
      <c r="S503" s="49"/>
      <c r="T503" s="49"/>
      <c r="U503" s="33"/>
    </row>
    <row r="504" spans="14:21" ht="13">
      <c r="N504" s="33"/>
      <c r="O504" s="49" t="str">
        <f>IFERROR(VLOOKUP(N504,soils2!$A$2:$C$152,2),"")</f>
        <v/>
      </c>
      <c r="P504" s="49"/>
      <c r="Q504" s="49"/>
      <c r="R504" s="34" t="str">
        <f>IFERROR(VLOOKUP(N504,soils2!$A$2:$C$152,3),"")</f>
        <v/>
      </c>
      <c r="S504" s="49"/>
      <c r="T504" s="49"/>
      <c r="U504" s="33"/>
    </row>
    <row r="505" spans="14:21" ht="13">
      <c r="N505" s="33"/>
      <c r="O505" s="49" t="str">
        <f>IFERROR(VLOOKUP(N505,soils2!$A$2:$C$152,2),"")</f>
        <v/>
      </c>
      <c r="P505" s="49"/>
      <c r="Q505" s="49"/>
      <c r="R505" s="34" t="str">
        <f>IFERROR(VLOOKUP(N505,soils2!$A$2:$C$152,3),"")</f>
        <v/>
      </c>
      <c r="S505" s="49"/>
      <c r="T505" s="49"/>
      <c r="U505" s="33"/>
    </row>
    <row r="506" spans="14:21" ht="13">
      <c r="N506" s="33"/>
      <c r="O506" s="49" t="str">
        <f>IFERROR(VLOOKUP(N506,soils2!$A$2:$C$152,2),"")</f>
        <v/>
      </c>
      <c r="P506" s="49"/>
      <c r="Q506" s="49"/>
      <c r="R506" s="34" t="str">
        <f>IFERROR(VLOOKUP(N506,soils2!$A$2:$C$152,3),"")</f>
        <v/>
      </c>
      <c r="S506" s="49"/>
      <c r="T506" s="49"/>
      <c r="U506" s="33"/>
    </row>
    <row r="507" spans="14:21" ht="13">
      <c r="N507" s="33"/>
      <c r="O507" s="49" t="str">
        <f>IFERROR(VLOOKUP(N507,soils2!$A$2:$C$152,2),"")</f>
        <v/>
      </c>
      <c r="P507" s="49"/>
      <c r="Q507" s="49"/>
      <c r="R507" s="34" t="str">
        <f>IFERROR(VLOOKUP(N507,soils2!$A$2:$C$152,3),"")</f>
        <v/>
      </c>
      <c r="S507" s="49"/>
      <c r="T507" s="49"/>
      <c r="U507" s="33"/>
    </row>
    <row r="508" spans="14:21" ht="13">
      <c r="N508" s="33"/>
      <c r="O508" s="49" t="str">
        <f>IFERROR(VLOOKUP(N508,soils2!$A$2:$C$152,2),"")</f>
        <v/>
      </c>
      <c r="P508" s="49"/>
      <c r="Q508" s="49"/>
      <c r="R508" s="34" t="str">
        <f>IFERROR(VLOOKUP(N508,soils2!$A$2:$C$152,3),"")</f>
        <v/>
      </c>
      <c r="S508" s="49"/>
      <c r="T508" s="49"/>
      <c r="U508" s="33"/>
    </row>
    <row r="509" spans="14:21" ht="13">
      <c r="N509" s="33"/>
      <c r="O509" s="49" t="str">
        <f>IFERROR(VLOOKUP(N509,soils2!$A$2:$C$152,2),"")</f>
        <v/>
      </c>
      <c r="P509" s="49"/>
      <c r="Q509" s="49"/>
      <c r="R509" s="34" t="str">
        <f>IFERROR(VLOOKUP(N509,soils2!$A$2:$C$152,3),"")</f>
        <v/>
      </c>
      <c r="S509" s="49"/>
      <c r="T509" s="49"/>
      <c r="U509" s="33"/>
    </row>
    <row r="510" spans="14:21" ht="13">
      <c r="N510" s="33"/>
      <c r="O510" s="49" t="str">
        <f>IFERROR(VLOOKUP(N510,soils2!$A$2:$C$152,2),"")</f>
        <v/>
      </c>
      <c r="P510" s="49"/>
      <c r="Q510" s="49"/>
      <c r="R510" s="34" t="str">
        <f>IFERROR(VLOOKUP(N510,soils2!$A$2:$C$152,3),"")</f>
        <v/>
      </c>
      <c r="S510" s="49"/>
      <c r="T510" s="49"/>
      <c r="U510" s="33"/>
    </row>
    <row r="511" spans="14:21" ht="13">
      <c r="N511" s="33"/>
      <c r="O511" s="49" t="str">
        <f>IFERROR(VLOOKUP(N511,soils2!$A$2:$C$152,2),"")</f>
        <v/>
      </c>
      <c r="P511" s="49"/>
      <c r="Q511" s="49"/>
      <c r="R511" s="34" t="str">
        <f>IFERROR(VLOOKUP(N511,soils2!$A$2:$C$152,3),"")</f>
        <v/>
      </c>
      <c r="S511" s="49"/>
      <c r="T511" s="49"/>
      <c r="U511" s="33"/>
    </row>
    <row r="512" spans="14:21" ht="13">
      <c r="N512" s="33"/>
      <c r="O512" s="49" t="str">
        <f>IFERROR(VLOOKUP(N512,soils2!$A$2:$C$152,2),"")</f>
        <v/>
      </c>
      <c r="P512" s="49"/>
      <c r="Q512" s="49"/>
      <c r="R512" s="34" t="str">
        <f>IFERROR(VLOOKUP(N512,soils2!$A$2:$C$152,3),"")</f>
        <v/>
      </c>
      <c r="S512" s="49"/>
      <c r="T512" s="49"/>
      <c r="U512" s="33"/>
    </row>
    <row r="513" spans="14:21" ht="13">
      <c r="N513" s="33"/>
      <c r="O513" s="49" t="str">
        <f>IFERROR(VLOOKUP(N513,soils2!$A$2:$C$152,2),"")</f>
        <v/>
      </c>
      <c r="P513" s="49"/>
      <c r="Q513" s="49"/>
      <c r="R513" s="34" t="str">
        <f>IFERROR(VLOOKUP(N513,soils2!$A$2:$C$152,3),"")</f>
        <v/>
      </c>
      <c r="S513" s="49"/>
      <c r="T513" s="49"/>
      <c r="U513" s="33"/>
    </row>
    <row r="514" spans="14:21" ht="13">
      <c r="N514" s="33"/>
      <c r="O514" s="49" t="str">
        <f>IFERROR(VLOOKUP(N514,soils2!$A$2:$C$152,2),"")</f>
        <v/>
      </c>
      <c r="P514" s="49"/>
      <c r="Q514" s="49"/>
      <c r="R514" s="34" t="str">
        <f>IFERROR(VLOOKUP(N514,soils2!$A$2:$C$152,3),"")</f>
        <v/>
      </c>
      <c r="S514" s="49"/>
      <c r="T514" s="49"/>
      <c r="U514" s="33"/>
    </row>
    <row r="515" spans="14:21" ht="13">
      <c r="N515" s="33"/>
      <c r="O515" s="49" t="str">
        <f>IFERROR(VLOOKUP(N515,soils2!$A$2:$C$152,2),"")</f>
        <v/>
      </c>
      <c r="P515" s="49"/>
      <c r="Q515" s="49"/>
      <c r="R515" s="34" t="str">
        <f>IFERROR(VLOOKUP(N515,soils2!$A$2:$C$152,3),"")</f>
        <v/>
      </c>
      <c r="S515" s="49"/>
      <c r="T515" s="49"/>
      <c r="U515" s="33"/>
    </row>
    <row r="516" spans="14:21" ht="13">
      <c r="N516" s="33"/>
      <c r="O516" s="49" t="str">
        <f>IFERROR(VLOOKUP(N516,soils2!$A$2:$C$152,2),"")</f>
        <v/>
      </c>
      <c r="P516" s="49"/>
      <c r="Q516" s="49"/>
      <c r="R516" s="34" t="str">
        <f>IFERROR(VLOOKUP(N516,soils2!$A$2:$C$152,3),"")</f>
        <v/>
      </c>
      <c r="S516" s="49"/>
      <c r="T516" s="49"/>
      <c r="U516" s="33"/>
    </row>
    <row r="517" spans="14:21" ht="13">
      <c r="N517" s="33"/>
      <c r="O517" s="49" t="str">
        <f>IFERROR(VLOOKUP(N517,soils2!$A$2:$C$152,2),"")</f>
        <v/>
      </c>
      <c r="P517" s="49"/>
      <c r="Q517" s="49"/>
      <c r="R517" s="34" t="str">
        <f>IFERROR(VLOOKUP(N517,soils2!$A$2:$C$152,3),"")</f>
        <v/>
      </c>
      <c r="S517" s="49"/>
      <c r="T517" s="49"/>
      <c r="U517" s="33"/>
    </row>
    <row r="518" spans="14:21" ht="13">
      <c r="N518" s="33"/>
      <c r="O518" s="49" t="str">
        <f>IFERROR(VLOOKUP(N518,soils2!$A$2:$C$152,2),"")</f>
        <v/>
      </c>
      <c r="P518" s="49"/>
      <c r="Q518" s="49"/>
      <c r="R518" s="34" t="str">
        <f>IFERROR(VLOOKUP(N518,soils2!$A$2:$C$152,3),"")</f>
        <v/>
      </c>
      <c r="S518" s="49"/>
      <c r="T518" s="49"/>
      <c r="U518" s="33"/>
    </row>
    <row r="519" spans="14:21" ht="13">
      <c r="N519" s="33"/>
      <c r="O519" s="49" t="str">
        <f>IFERROR(VLOOKUP(N519,soils2!$A$2:$C$152,2),"")</f>
        <v/>
      </c>
      <c r="P519" s="49"/>
      <c r="Q519" s="49"/>
      <c r="R519" s="34" t="str">
        <f>IFERROR(VLOOKUP(N519,soils2!$A$2:$C$152,3),"")</f>
        <v/>
      </c>
      <c r="S519" s="49"/>
      <c r="T519" s="49"/>
      <c r="U519" s="33"/>
    </row>
    <row r="520" spans="14:21" ht="13">
      <c r="N520" s="33"/>
      <c r="O520" s="49" t="str">
        <f>IFERROR(VLOOKUP(N520,soils2!$A$2:$C$152,2),"")</f>
        <v/>
      </c>
      <c r="P520" s="49"/>
      <c r="Q520" s="49"/>
      <c r="R520" s="34" t="str">
        <f>IFERROR(VLOOKUP(N520,soils2!$A$2:$C$152,3),"")</f>
        <v/>
      </c>
      <c r="S520" s="49"/>
      <c r="T520" s="49"/>
      <c r="U520" s="33"/>
    </row>
    <row r="521" spans="14:21" ht="13">
      <c r="N521" s="33"/>
      <c r="O521" s="49" t="str">
        <f>IFERROR(VLOOKUP(N521,soils2!$A$2:$C$152,2),"")</f>
        <v/>
      </c>
      <c r="P521" s="49"/>
      <c r="Q521" s="49"/>
      <c r="R521" s="34" t="str">
        <f>IFERROR(VLOOKUP(N521,soils2!$A$2:$C$152,3),"")</f>
        <v/>
      </c>
      <c r="S521" s="49"/>
      <c r="T521" s="49"/>
      <c r="U521" s="33"/>
    </row>
    <row r="522" spans="14:21" ht="13">
      <c r="N522" s="33"/>
      <c r="O522" s="49" t="str">
        <f>IFERROR(VLOOKUP(N522,soils2!$A$2:$C$152,2),"")</f>
        <v/>
      </c>
      <c r="P522" s="49"/>
      <c r="Q522" s="49"/>
      <c r="R522" s="34" t="str">
        <f>IFERROR(VLOOKUP(N522,soils2!$A$2:$C$152,3),"")</f>
        <v/>
      </c>
      <c r="S522" s="49"/>
      <c r="T522" s="49"/>
      <c r="U522" s="33"/>
    </row>
    <row r="523" spans="14:21" ht="13">
      <c r="N523" s="33"/>
      <c r="O523" s="49" t="str">
        <f>IFERROR(VLOOKUP(N523,soils2!$A$2:$C$152,2),"")</f>
        <v/>
      </c>
      <c r="P523" s="49"/>
      <c r="Q523" s="49"/>
      <c r="R523" s="34" t="str">
        <f>IFERROR(VLOOKUP(N523,soils2!$A$2:$C$152,3),"")</f>
        <v/>
      </c>
      <c r="S523" s="49"/>
      <c r="T523" s="49"/>
      <c r="U523" s="33"/>
    </row>
    <row r="524" spans="14:21" ht="13">
      <c r="N524" s="33"/>
      <c r="O524" s="49" t="str">
        <f>IFERROR(VLOOKUP(N524,soils2!$A$2:$C$152,2),"")</f>
        <v/>
      </c>
      <c r="P524" s="49"/>
      <c r="Q524" s="49"/>
      <c r="R524" s="34" t="str">
        <f>IFERROR(VLOOKUP(N524,soils2!$A$2:$C$152,3),"")</f>
        <v/>
      </c>
      <c r="S524" s="49"/>
      <c r="T524" s="49"/>
      <c r="U524" s="33"/>
    </row>
    <row r="525" spans="14:21" ht="13">
      <c r="N525" s="33"/>
      <c r="O525" s="49" t="str">
        <f>IFERROR(VLOOKUP(N525,soils2!$A$2:$C$152,2),"")</f>
        <v/>
      </c>
      <c r="P525" s="49"/>
      <c r="Q525" s="49"/>
      <c r="R525" s="34" t="str">
        <f>IFERROR(VLOOKUP(N525,soils2!$A$2:$C$152,3),"")</f>
        <v/>
      </c>
      <c r="S525" s="49"/>
      <c r="T525" s="49"/>
      <c r="U525" s="33"/>
    </row>
    <row r="526" spans="14:21" ht="13">
      <c r="N526" s="33"/>
      <c r="O526" s="49" t="str">
        <f>IFERROR(VLOOKUP(N526,soils2!$A$2:$C$152,2),"")</f>
        <v/>
      </c>
      <c r="P526" s="49"/>
      <c r="Q526" s="49"/>
      <c r="R526" s="34" t="str">
        <f>IFERROR(VLOOKUP(N526,soils2!$A$2:$C$152,3),"")</f>
        <v/>
      </c>
      <c r="S526" s="49"/>
      <c r="T526" s="49"/>
      <c r="U526" s="33"/>
    </row>
    <row r="527" spans="14:21" ht="13">
      <c r="N527" s="33"/>
      <c r="O527" s="49" t="str">
        <f>IFERROR(VLOOKUP(N527,soils2!$A$2:$C$152,2),"")</f>
        <v/>
      </c>
      <c r="P527" s="49"/>
      <c r="Q527" s="49"/>
      <c r="R527" s="34" t="str">
        <f>IFERROR(VLOOKUP(N527,soils2!$A$2:$C$152,3),"")</f>
        <v/>
      </c>
      <c r="S527" s="49"/>
      <c r="T527" s="49"/>
      <c r="U527" s="33"/>
    </row>
    <row r="528" spans="14:21" ht="13">
      <c r="N528" s="33"/>
      <c r="O528" s="49" t="str">
        <f>IFERROR(VLOOKUP(N528,soils2!$A$2:$C$152,2),"")</f>
        <v/>
      </c>
      <c r="P528" s="49"/>
      <c r="Q528" s="49"/>
      <c r="R528" s="34" t="str">
        <f>IFERROR(VLOOKUP(N528,soils2!$A$2:$C$152,3),"")</f>
        <v/>
      </c>
      <c r="S528" s="49"/>
      <c r="T528" s="49"/>
      <c r="U528" s="33"/>
    </row>
    <row r="529" spans="14:21" ht="13">
      <c r="N529" s="33"/>
      <c r="O529" s="49" t="str">
        <f>IFERROR(VLOOKUP(N529,soils2!$A$2:$C$152,2),"")</f>
        <v/>
      </c>
      <c r="P529" s="49"/>
      <c r="Q529" s="49"/>
      <c r="R529" s="34" t="str">
        <f>IFERROR(VLOOKUP(N529,soils2!$A$2:$C$152,3),"")</f>
        <v/>
      </c>
      <c r="S529" s="49"/>
      <c r="T529" s="49"/>
      <c r="U529" s="33"/>
    </row>
    <row r="530" spans="14:21" ht="13">
      <c r="N530" s="33"/>
      <c r="O530" s="49" t="str">
        <f>IFERROR(VLOOKUP(N530,soils2!$A$2:$C$152,2),"")</f>
        <v/>
      </c>
      <c r="P530" s="49"/>
      <c r="Q530" s="49"/>
      <c r="R530" s="34" t="str">
        <f>IFERROR(VLOOKUP(N530,soils2!$A$2:$C$152,3),"")</f>
        <v/>
      </c>
      <c r="S530" s="49"/>
      <c r="T530" s="49"/>
      <c r="U530" s="33"/>
    </row>
    <row r="531" spans="14:21" ht="13">
      <c r="N531" s="33"/>
      <c r="O531" s="49" t="str">
        <f>IFERROR(VLOOKUP(N531,soils2!$A$2:$C$152,2),"")</f>
        <v/>
      </c>
      <c r="P531" s="49"/>
      <c r="Q531" s="49"/>
      <c r="R531" s="34" t="str">
        <f>IFERROR(VLOOKUP(N531,soils2!$A$2:$C$152,3),"")</f>
        <v/>
      </c>
      <c r="S531" s="49"/>
      <c r="T531" s="49"/>
      <c r="U531" s="33"/>
    </row>
    <row r="532" spans="14:21" ht="13">
      <c r="N532" s="33"/>
      <c r="O532" s="49" t="str">
        <f>IFERROR(VLOOKUP(N532,soils2!$A$2:$C$152,2),"")</f>
        <v/>
      </c>
      <c r="P532" s="49"/>
      <c r="Q532" s="49"/>
      <c r="R532" s="34" t="str">
        <f>IFERROR(VLOOKUP(N532,soils2!$A$2:$C$152,3),"")</f>
        <v/>
      </c>
      <c r="S532" s="49"/>
      <c r="T532" s="49"/>
      <c r="U532" s="33"/>
    </row>
    <row r="533" spans="14:21" ht="13">
      <c r="N533" s="33"/>
      <c r="O533" s="49" t="str">
        <f>IFERROR(VLOOKUP(N533,soils2!$A$2:$C$152,2),"")</f>
        <v/>
      </c>
      <c r="P533" s="49"/>
      <c r="Q533" s="49"/>
      <c r="R533" s="34" t="str">
        <f>IFERROR(VLOOKUP(N533,soils2!$A$2:$C$152,3),"")</f>
        <v/>
      </c>
      <c r="S533" s="49"/>
      <c r="T533" s="49"/>
      <c r="U533" s="33"/>
    </row>
    <row r="534" spans="14:21" ht="13">
      <c r="N534" s="33"/>
      <c r="O534" s="49" t="str">
        <f>IFERROR(VLOOKUP(N534,soils2!$A$2:$C$152,2),"")</f>
        <v/>
      </c>
      <c r="P534" s="49"/>
      <c r="Q534" s="49"/>
      <c r="R534" s="34" t="str">
        <f>IFERROR(VLOOKUP(N534,soils2!$A$2:$C$152,3),"")</f>
        <v/>
      </c>
      <c r="S534" s="49"/>
      <c r="T534" s="49"/>
      <c r="U534" s="33"/>
    </row>
    <row r="535" spans="14:21" ht="13">
      <c r="N535" s="33"/>
      <c r="O535" s="49" t="str">
        <f>IFERROR(VLOOKUP(N535,soils2!$A$2:$C$152,2),"")</f>
        <v/>
      </c>
      <c r="P535" s="49"/>
      <c r="Q535" s="49"/>
      <c r="R535" s="34" t="str">
        <f>IFERROR(VLOOKUP(N535,soils2!$A$2:$C$152,3),"")</f>
        <v/>
      </c>
      <c r="S535" s="49"/>
      <c r="T535" s="49"/>
      <c r="U535" s="33"/>
    </row>
    <row r="536" spans="14:21" ht="13">
      <c r="N536" s="33"/>
      <c r="O536" s="49" t="str">
        <f>IFERROR(VLOOKUP(N536,soils2!$A$2:$C$152,2),"")</f>
        <v/>
      </c>
      <c r="P536" s="49"/>
      <c r="Q536" s="49"/>
      <c r="R536" s="34" t="str">
        <f>IFERROR(VLOOKUP(N536,soils2!$A$2:$C$152,3),"")</f>
        <v/>
      </c>
      <c r="S536" s="49"/>
      <c r="T536" s="49"/>
      <c r="U536" s="33"/>
    </row>
    <row r="537" spans="14:21" ht="13">
      <c r="N537" s="33"/>
      <c r="O537" s="49" t="str">
        <f>IFERROR(VLOOKUP(N537,soils2!$A$2:$C$152,2),"")</f>
        <v/>
      </c>
      <c r="P537" s="49"/>
      <c r="Q537" s="49"/>
      <c r="R537" s="34" t="str">
        <f>IFERROR(VLOOKUP(N537,soils2!$A$2:$C$152,3),"")</f>
        <v/>
      </c>
      <c r="S537" s="49"/>
      <c r="T537" s="49"/>
      <c r="U537" s="33"/>
    </row>
    <row r="538" spans="14:21" ht="13">
      <c r="N538" s="33"/>
      <c r="O538" s="49" t="str">
        <f>IFERROR(VLOOKUP(N538,soils2!$A$2:$C$152,2),"")</f>
        <v/>
      </c>
      <c r="P538" s="49"/>
      <c r="Q538" s="49"/>
      <c r="R538" s="34" t="str">
        <f>IFERROR(VLOOKUP(N538,soils2!$A$2:$C$152,3),"")</f>
        <v/>
      </c>
      <c r="S538" s="49"/>
      <c r="T538" s="49"/>
      <c r="U538" s="33"/>
    </row>
    <row r="539" spans="14:21" ht="13">
      <c r="N539" s="33"/>
      <c r="O539" s="49" t="str">
        <f>IFERROR(VLOOKUP(N539,soils2!$A$2:$C$152,2),"")</f>
        <v/>
      </c>
      <c r="P539" s="49"/>
      <c r="Q539" s="49"/>
      <c r="R539" s="34" t="str">
        <f>IFERROR(VLOOKUP(N539,soils2!$A$2:$C$152,3),"")</f>
        <v/>
      </c>
      <c r="S539" s="49"/>
      <c r="T539" s="49"/>
      <c r="U539" s="33"/>
    </row>
    <row r="540" spans="14:21" ht="13">
      <c r="N540" s="33"/>
      <c r="O540" s="49" t="str">
        <f>IFERROR(VLOOKUP(N540,soils2!$A$2:$C$152,2),"")</f>
        <v/>
      </c>
      <c r="P540" s="49"/>
      <c r="Q540" s="49"/>
      <c r="R540" s="34" t="str">
        <f>IFERROR(VLOOKUP(N540,soils2!$A$2:$C$152,3),"")</f>
        <v/>
      </c>
      <c r="S540" s="49"/>
      <c r="T540" s="49"/>
      <c r="U540" s="33"/>
    </row>
    <row r="541" spans="14:21" ht="13">
      <c r="N541" s="33"/>
      <c r="O541" s="49" t="str">
        <f>IFERROR(VLOOKUP(N541,soils2!$A$2:$C$152,2),"")</f>
        <v/>
      </c>
      <c r="P541" s="49"/>
      <c r="Q541" s="49"/>
      <c r="R541" s="34" t="str">
        <f>IFERROR(VLOOKUP(N541,soils2!$A$2:$C$152,3),"")</f>
        <v/>
      </c>
      <c r="S541" s="49"/>
      <c r="T541" s="49"/>
      <c r="U541" s="33"/>
    </row>
    <row r="542" spans="14:21" ht="13">
      <c r="N542" s="33"/>
      <c r="O542" s="49" t="str">
        <f>IFERROR(VLOOKUP(N542,soils2!$A$2:$C$152,2),"")</f>
        <v/>
      </c>
      <c r="P542" s="49"/>
      <c r="Q542" s="49"/>
      <c r="R542" s="34" t="str">
        <f>IFERROR(VLOOKUP(N542,soils2!$A$2:$C$152,3),"")</f>
        <v/>
      </c>
      <c r="S542" s="49"/>
      <c r="T542" s="49"/>
      <c r="U542" s="33"/>
    </row>
    <row r="543" spans="14:21" ht="13">
      <c r="N543" s="33"/>
      <c r="O543" s="49" t="str">
        <f>IFERROR(VLOOKUP(N543,soils2!$A$2:$C$152,2),"")</f>
        <v/>
      </c>
      <c r="P543" s="49"/>
      <c r="Q543" s="49"/>
      <c r="R543" s="34" t="str">
        <f>IFERROR(VLOOKUP(N543,soils2!$A$2:$C$152,3),"")</f>
        <v/>
      </c>
      <c r="S543" s="49"/>
      <c r="T543" s="49"/>
      <c r="U543" s="33"/>
    </row>
    <row r="544" spans="14:21" ht="13">
      <c r="N544" s="33"/>
      <c r="O544" s="49" t="str">
        <f>IFERROR(VLOOKUP(N544,soils2!$A$2:$C$152,2),"")</f>
        <v/>
      </c>
      <c r="P544" s="49"/>
      <c r="Q544" s="49"/>
      <c r="R544" s="34" t="str">
        <f>IFERROR(VLOOKUP(N544,soils2!$A$2:$C$152,3),"")</f>
        <v/>
      </c>
      <c r="S544" s="49"/>
      <c r="T544" s="49"/>
      <c r="U544" s="33"/>
    </row>
    <row r="545" spans="14:21" ht="13">
      <c r="N545" s="33"/>
      <c r="O545" s="49" t="str">
        <f>IFERROR(VLOOKUP(N545,soils2!$A$2:$C$152,2),"")</f>
        <v/>
      </c>
      <c r="P545" s="49"/>
      <c r="Q545" s="49"/>
      <c r="R545" s="34" t="str">
        <f>IFERROR(VLOOKUP(N545,soils2!$A$2:$C$152,3),"")</f>
        <v/>
      </c>
      <c r="S545" s="49"/>
      <c r="T545" s="49"/>
      <c r="U545" s="33"/>
    </row>
    <row r="546" spans="14:21" ht="13">
      <c r="N546" s="33"/>
      <c r="O546" s="49" t="str">
        <f>IFERROR(VLOOKUP(N546,soils2!$A$2:$C$152,2),"")</f>
        <v/>
      </c>
      <c r="P546" s="49"/>
      <c r="Q546" s="49"/>
      <c r="R546" s="34" t="str">
        <f>IFERROR(VLOOKUP(N546,soils2!$A$2:$C$152,3),"")</f>
        <v/>
      </c>
      <c r="S546" s="49"/>
      <c r="T546" s="49"/>
      <c r="U546" s="33"/>
    </row>
    <row r="547" spans="14:21" ht="13">
      <c r="N547" s="33"/>
      <c r="O547" s="49" t="str">
        <f>IFERROR(VLOOKUP(N547,soils2!$A$2:$C$152,2),"")</f>
        <v/>
      </c>
      <c r="P547" s="49"/>
      <c r="Q547" s="49"/>
      <c r="R547" s="34" t="str">
        <f>IFERROR(VLOOKUP(N547,soils2!$A$2:$C$152,3),"")</f>
        <v/>
      </c>
      <c r="S547" s="49"/>
      <c r="T547" s="49"/>
      <c r="U547" s="33"/>
    </row>
    <row r="548" spans="14:21" ht="13">
      <c r="N548" s="33"/>
      <c r="O548" s="49" t="str">
        <f>IFERROR(VLOOKUP(N548,soils2!$A$2:$C$152,2),"")</f>
        <v/>
      </c>
      <c r="P548" s="49"/>
      <c r="Q548" s="49"/>
      <c r="R548" s="34" t="str">
        <f>IFERROR(VLOOKUP(N548,soils2!$A$2:$C$152,3),"")</f>
        <v/>
      </c>
      <c r="S548" s="49"/>
      <c r="T548" s="49"/>
      <c r="U548" s="33"/>
    </row>
    <row r="549" spans="14:21" ht="13">
      <c r="N549" s="33"/>
      <c r="O549" s="49" t="str">
        <f>IFERROR(VLOOKUP(N549,soils2!$A$2:$C$152,2),"")</f>
        <v/>
      </c>
      <c r="P549" s="49"/>
      <c r="Q549" s="49"/>
      <c r="R549" s="34" t="str">
        <f>IFERROR(VLOOKUP(N549,soils2!$A$2:$C$152,3),"")</f>
        <v/>
      </c>
      <c r="S549" s="49"/>
      <c r="T549" s="49"/>
      <c r="U549" s="33"/>
    </row>
    <row r="550" spans="14:21" ht="13">
      <c r="N550" s="33"/>
      <c r="O550" s="49" t="str">
        <f>IFERROR(VLOOKUP(N550,soils2!$A$2:$C$152,2),"")</f>
        <v/>
      </c>
      <c r="P550" s="49"/>
      <c r="Q550" s="49"/>
      <c r="R550" s="34" t="str">
        <f>IFERROR(VLOOKUP(N550,soils2!$A$2:$C$152,3),"")</f>
        <v/>
      </c>
      <c r="S550" s="49"/>
      <c r="T550" s="49"/>
      <c r="U550" s="33"/>
    </row>
    <row r="551" spans="14:21" ht="13">
      <c r="N551" s="33"/>
      <c r="O551" s="49" t="str">
        <f>IFERROR(VLOOKUP(N551,soils2!$A$2:$C$152,2),"")</f>
        <v/>
      </c>
      <c r="P551" s="49"/>
      <c r="Q551" s="49"/>
      <c r="R551" s="34" t="str">
        <f>IFERROR(VLOOKUP(N551,soils2!$A$2:$C$152,3),"")</f>
        <v/>
      </c>
      <c r="S551" s="49"/>
      <c r="T551" s="49"/>
      <c r="U551" s="33"/>
    </row>
    <row r="552" spans="14:21" ht="13">
      <c r="N552" s="33"/>
      <c r="O552" s="49" t="str">
        <f>IFERROR(VLOOKUP(N552,soils2!$A$2:$C$152,2),"")</f>
        <v/>
      </c>
      <c r="P552" s="49"/>
      <c r="Q552" s="49"/>
      <c r="R552" s="34" t="str">
        <f>IFERROR(VLOOKUP(N552,soils2!$A$2:$C$152,3),"")</f>
        <v/>
      </c>
      <c r="S552" s="49"/>
      <c r="T552" s="49"/>
      <c r="U552" s="33"/>
    </row>
    <row r="553" spans="14:21" ht="13">
      <c r="N553" s="33"/>
      <c r="O553" s="49" t="str">
        <f>IFERROR(VLOOKUP(N553,soils2!$A$2:$C$152,2),"")</f>
        <v/>
      </c>
      <c r="P553" s="49"/>
      <c r="Q553" s="49"/>
      <c r="R553" s="34" t="str">
        <f>IFERROR(VLOOKUP(N553,soils2!$A$2:$C$152,3),"")</f>
        <v/>
      </c>
      <c r="S553" s="49"/>
      <c r="T553" s="49"/>
      <c r="U553" s="33"/>
    </row>
    <row r="554" spans="14:21" ht="13">
      <c r="N554" s="33"/>
      <c r="O554" s="49" t="str">
        <f>IFERROR(VLOOKUP(N554,soils2!$A$2:$C$152,2),"")</f>
        <v/>
      </c>
      <c r="P554" s="49"/>
      <c r="Q554" s="49"/>
      <c r="R554" s="34" t="str">
        <f>IFERROR(VLOOKUP(N554,soils2!$A$2:$C$152,3),"")</f>
        <v/>
      </c>
      <c r="S554" s="49"/>
      <c r="T554" s="49"/>
      <c r="U554" s="33"/>
    </row>
    <row r="555" spans="14:21" ht="13">
      <c r="N555" s="33"/>
      <c r="O555" s="49" t="str">
        <f>IFERROR(VLOOKUP(N555,soils2!$A$2:$C$152,2),"")</f>
        <v/>
      </c>
      <c r="P555" s="49"/>
      <c r="Q555" s="49"/>
      <c r="R555" s="34" t="str">
        <f>IFERROR(VLOOKUP(N555,soils2!$A$2:$C$152,3),"")</f>
        <v/>
      </c>
      <c r="S555" s="49"/>
      <c r="T555" s="49"/>
      <c r="U555" s="33"/>
    </row>
    <row r="556" spans="14:21" ht="13">
      <c r="N556" s="33"/>
      <c r="O556" s="49" t="str">
        <f>IFERROR(VLOOKUP(N556,soils2!$A$2:$C$152,2),"")</f>
        <v/>
      </c>
      <c r="P556" s="49"/>
      <c r="Q556" s="49"/>
      <c r="R556" s="34" t="str">
        <f>IFERROR(VLOOKUP(N556,soils2!$A$2:$C$152,3),"")</f>
        <v/>
      </c>
      <c r="S556" s="49"/>
      <c r="T556" s="49"/>
      <c r="U556" s="33"/>
    </row>
    <row r="557" spans="14:21" ht="13">
      <c r="N557" s="33"/>
      <c r="O557" s="49" t="str">
        <f>IFERROR(VLOOKUP(N557,soils2!$A$2:$C$152,2),"")</f>
        <v/>
      </c>
      <c r="P557" s="49"/>
      <c r="Q557" s="49"/>
      <c r="R557" s="34" t="str">
        <f>IFERROR(VLOOKUP(N557,soils2!$A$2:$C$152,3),"")</f>
        <v/>
      </c>
      <c r="S557" s="49"/>
      <c r="T557" s="49"/>
      <c r="U557" s="33"/>
    </row>
    <row r="558" spans="14:21" ht="13">
      <c r="N558" s="33"/>
      <c r="O558" s="49" t="str">
        <f>IFERROR(VLOOKUP(N558,soils2!$A$2:$C$152,2),"")</f>
        <v/>
      </c>
      <c r="P558" s="49"/>
      <c r="Q558" s="49"/>
      <c r="R558" s="34" t="str">
        <f>IFERROR(VLOOKUP(N558,soils2!$A$2:$C$152,3),"")</f>
        <v/>
      </c>
      <c r="S558" s="49"/>
      <c r="T558" s="49"/>
      <c r="U558" s="33"/>
    </row>
    <row r="559" spans="14:21" ht="13">
      <c r="N559" s="33"/>
      <c r="O559" s="49" t="str">
        <f>IFERROR(VLOOKUP(N559,soils2!$A$2:$C$152,2),"")</f>
        <v/>
      </c>
      <c r="P559" s="49"/>
      <c r="Q559" s="49"/>
      <c r="R559" s="34" t="str">
        <f>IFERROR(VLOOKUP(N559,soils2!$A$2:$C$152,3),"")</f>
        <v/>
      </c>
      <c r="S559" s="49"/>
      <c r="T559" s="49"/>
      <c r="U559" s="33"/>
    </row>
    <row r="560" spans="14:21" ht="13">
      <c r="N560" s="33"/>
      <c r="O560" s="49" t="str">
        <f>IFERROR(VLOOKUP(N560,soils2!$A$2:$C$152,2),"")</f>
        <v/>
      </c>
      <c r="P560" s="49"/>
      <c r="Q560" s="49"/>
      <c r="R560" s="34" t="str">
        <f>IFERROR(VLOOKUP(N560,soils2!$A$2:$C$152,3),"")</f>
        <v/>
      </c>
      <c r="S560" s="49"/>
      <c r="T560" s="49"/>
      <c r="U560" s="33"/>
    </row>
    <row r="561" spans="14:21" ht="13">
      <c r="N561" s="33"/>
      <c r="O561" s="49" t="str">
        <f>IFERROR(VLOOKUP(N561,soils2!$A$2:$C$152,2),"")</f>
        <v/>
      </c>
      <c r="P561" s="49"/>
      <c r="Q561" s="49"/>
      <c r="R561" s="34" t="str">
        <f>IFERROR(VLOOKUP(N561,soils2!$A$2:$C$152,3),"")</f>
        <v/>
      </c>
      <c r="S561" s="49"/>
      <c r="T561" s="49"/>
      <c r="U561" s="33"/>
    </row>
    <row r="562" spans="14:21" ht="13">
      <c r="N562" s="33"/>
      <c r="O562" s="49" t="str">
        <f>IFERROR(VLOOKUP(N562,soils2!$A$2:$C$152,2),"")</f>
        <v/>
      </c>
      <c r="P562" s="49"/>
      <c r="Q562" s="49"/>
      <c r="R562" s="34" t="str">
        <f>IFERROR(VLOOKUP(N562,soils2!$A$2:$C$152,3),"")</f>
        <v/>
      </c>
      <c r="S562" s="49"/>
      <c r="T562" s="49"/>
      <c r="U562" s="33"/>
    </row>
    <row r="563" spans="14:21" ht="13">
      <c r="N563" s="33"/>
      <c r="O563" s="49" t="str">
        <f>IFERROR(VLOOKUP(N563,soils2!$A$2:$C$152,2),"")</f>
        <v/>
      </c>
      <c r="P563" s="49"/>
      <c r="Q563" s="49"/>
      <c r="R563" s="34" t="str">
        <f>IFERROR(VLOOKUP(N563,soils2!$A$2:$C$152,3),"")</f>
        <v/>
      </c>
      <c r="S563" s="49"/>
      <c r="T563" s="49"/>
      <c r="U563" s="33"/>
    </row>
    <row r="564" spans="14:21" ht="13">
      <c r="N564" s="33"/>
      <c r="O564" s="49" t="str">
        <f>IFERROR(VLOOKUP(N564,soils2!$A$2:$C$152,2),"")</f>
        <v/>
      </c>
      <c r="P564" s="49"/>
      <c r="Q564" s="49"/>
      <c r="R564" s="34" t="str">
        <f>IFERROR(VLOOKUP(N564,soils2!$A$2:$C$152,3),"")</f>
        <v/>
      </c>
      <c r="S564" s="49"/>
      <c r="T564" s="49"/>
      <c r="U564" s="33"/>
    </row>
    <row r="565" spans="14:21" ht="13">
      <c r="N565" s="33"/>
      <c r="O565" s="49" t="str">
        <f>IFERROR(VLOOKUP(N565,soils2!$A$2:$C$152,2),"")</f>
        <v/>
      </c>
      <c r="P565" s="49"/>
      <c r="Q565" s="49"/>
      <c r="R565" s="34" t="str">
        <f>IFERROR(VLOOKUP(N565,soils2!$A$2:$C$152,3),"")</f>
        <v/>
      </c>
      <c r="S565" s="49"/>
      <c r="T565" s="49"/>
      <c r="U565" s="33"/>
    </row>
    <row r="566" spans="14:21" ht="13">
      <c r="N566" s="33"/>
      <c r="O566" s="49" t="str">
        <f>IFERROR(VLOOKUP(N566,soils2!$A$2:$C$152,2),"")</f>
        <v/>
      </c>
      <c r="P566" s="49"/>
      <c r="Q566" s="49"/>
      <c r="R566" s="34" t="str">
        <f>IFERROR(VLOOKUP(N566,soils2!$A$2:$C$152,3),"")</f>
        <v/>
      </c>
      <c r="S566" s="49"/>
      <c r="T566" s="49"/>
      <c r="U566" s="33"/>
    </row>
    <row r="567" spans="14:21" ht="13">
      <c r="N567" s="33"/>
      <c r="O567" s="49" t="str">
        <f>IFERROR(VLOOKUP(N567,soils2!$A$2:$C$152,2),"")</f>
        <v/>
      </c>
      <c r="P567" s="49"/>
      <c r="Q567" s="49"/>
      <c r="R567" s="34" t="str">
        <f>IFERROR(VLOOKUP(N567,soils2!$A$2:$C$152,3),"")</f>
        <v/>
      </c>
      <c r="S567" s="49"/>
      <c r="T567" s="49"/>
      <c r="U567" s="33"/>
    </row>
    <row r="568" spans="14:21" ht="13">
      <c r="N568" s="33"/>
      <c r="O568" s="49" t="str">
        <f>IFERROR(VLOOKUP(N568,soils2!$A$2:$C$152,2),"")</f>
        <v/>
      </c>
      <c r="P568" s="49"/>
      <c r="Q568" s="49"/>
      <c r="R568" s="34" t="str">
        <f>IFERROR(VLOOKUP(N568,soils2!$A$2:$C$152,3),"")</f>
        <v/>
      </c>
      <c r="S568" s="49"/>
      <c r="T568" s="49"/>
      <c r="U568" s="33"/>
    </row>
    <row r="569" spans="14:21" ht="13">
      <c r="N569" s="33"/>
      <c r="O569" s="49" t="str">
        <f>IFERROR(VLOOKUP(N569,soils2!$A$2:$C$152,2),"")</f>
        <v/>
      </c>
      <c r="P569" s="49"/>
      <c r="Q569" s="49"/>
      <c r="R569" s="34" t="str">
        <f>IFERROR(VLOOKUP(N569,soils2!$A$2:$C$152,3),"")</f>
        <v/>
      </c>
      <c r="S569" s="49"/>
      <c r="T569" s="49"/>
      <c r="U569" s="33"/>
    </row>
    <row r="570" spans="14:21" ht="13">
      <c r="N570" s="33"/>
      <c r="O570" s="49" t="str">
        <f>IFERROR(VLOOKUP(N570,soils2!$A$2:$C$152,2),"")</f>
        <v/>
      </c>
      <c r="P570" s="49"/>
      <c r="Q570" s="49"/>
      <c r="R570" s="34" t="str">
        <f>IFERROR(VLOOKUP(N570,soils2!$A$2:$C$152,3),"")</f>
        <v/>
      </c>
      <c r="S570" s="49"/>
      <c r="T570" s="49"/>
      <c r="U570" s="33"/>
    </row>
    <row r="571" spans="14:21" ht="13">
      <c r="N571" s="33"/>
      <c r="O571" s="49" t="str">
        <f>IFERROR(VLOOKUP(N571,soils2!$A$2:$C$152,2),"")</f>
        <v/>
      </c>
      <c r="P571" s="49"/>
      <c r="Q571" s="49"/>
      <c r="R571" s="34" t="str">
        <f>IFERROR(VLOOKUP(N571,soils2!$A$2:$C$152,3),"")</f>
        <v/>
      </c>
      <c r="S571" s="49"/>
      <c r="T571" s="49"/>
      <c r="U571" s="33"/>
    </row>
    <row r="572" spans="14:21" ht="13">
      <c r="N572" s="33"/>
      <c r="O572" s="49" t="str">
        <f>IFERROR(VLOOKUP(N572,soils2!$A$2:$C$152,2),"")</f>
        <v/>
      </c>
      <c r="P572" s="49"/>
      <c r="Q572" s="49"/>
      <c r="R572" s="34" t="str">
        <f>IFERROR(VLOOKUP(N572,soils2!$A$2:$C$152,3),"")</f>
        <v/>
      </c>
      <c r="S572" s="49"/>
      <c r="T572" s="49"/>
      <c r="U572" s="33"/>
    </row>
    <row r="573" spans="14:21" ht="13">
      <c r="N573" s="33"/>
      <c r="O573" s="49" t="str">
        <f>IFERROR(VLOOKUP(N573,soils2!$A$2:$C$152,2),"")</f>
        <v/>
      </c>
      <c r="P573" s="49"/>
      <c r="Q573" s="49"/>
      <c r="R573" s="34" t="str">
        <f>IFERROR(VLOOKUP(N573,soils2!$A$2:$C$152,3),"")</f>
        <v/>
      </c>
      <c r="S573" s="49"/>
      <c r="T573" s="49"/>
      <c r="U573" s="33"/>
    </row>
    <row r="574" spans="14:21" ht="13">
      <c r="N574" s="33"/>
      <c r="O574" s="49" t="str">
        <f>IFERROR(VLOOKUP(N574,soils2!$A$2:$C$152,2),"")</f>
        <v/>
      </c>
      <c r="P574" s="49"/>
      <c r="Q574" s="49"/>
      <c r="R574" s="34" t="str">
        <f>IFERROR(VLOOKUP(N574,soils2!$A$2:$C$152,3),"")</f>
        <v/>
      </c>
      <c r="S574" s="49"/>
      <c r="T574" s="49"/>
      <c r="U574" s="33"/>
    </row>
    <row r="575" spans="14:21" ht="13">
      <c r="N575" s="33"/>
      <c r="O575" s="49" t="str">
        <f>IFERROR(VLOOKUP(N575,soils2!$A$2:$C$152,2),"")</f>
        <v/>
      </c>
      <c r="P575" s="49"/>
      <c r="Q575" s="49"/>
      <c r="R575" s="34" t="str">
        <f>IFERROR(VLOOKUP(N575,soils2!$A$2:$C$152,3),"")</f>
        <v/>
      </c>
      <c r="S575" s="49"/>
      <c r="T575" s="49"/>
      <c r="U575" s="33"/>
    </row>
    <row r="576" spans="14:21" ht="13">
      <c r="N576" s="33"/>
      <c r="O576" s="49" t="str">
        <f>IFERROR(VLOOKUP(N576,soils2!$A$2:$C$152,2),"")</f>
        <v/>
      </c>
      <c r="P576" s="49"/>
      <c r="Q576" s="49"/>
      <c r="R576" s="34" t="str">
        <f>IFERROR(VLOOKUP(N576,soils2!$A$2:$C$152,3),"")</f>
        <v/>
      </c>
      <c r="S576" s="49"/>
      <c r="T576" s="49"/>
      <c r="U576" s="33"/>
    </row>
    <row r="577" spans="14:21" ht="13">
      <c r="N577" s="33"/>
      <c r="O577" s="49" t="str">
        <f>IFERROR(VLOOKUP(N577,soils2!$A$2:$C$152,2),"")</f>
        <v/>
      </c>
      <c r="P577" s="49"/>
      <c r="Q577" s="49"/>
      <c r="R577" s="34" t="str">
        <f>IFERROR(VLOOKUP(N577,soils2!$A$2:$C$152,3),"")</f>
        <v/>
      </c>
      <c r="S577" s="49"/>
      <c r="T577" s="49"/>
      <c r="U577" s="33"/>
    </row>
    <row r="578" spans="14:21" ht="13">
      <c r="N578" s="33"/>
      <c r="O578" s="49" t="str">
        <f>IFERROR(VLOOKUP(N578,soils2!$A$2:$C$152,2),"")</f>
        <v/>
      </c>
      <c r="P578" s="49"/>
      <c r="Q578" s="49"/>
      <c r="R578" s="34" t="str">
        <f>IFERROR(VLOOKUP(N578,soils2!$A$2:$C$152,3),"")</f>
        <v/>
      </c>
      <c r="S578" s="49"/>
      <c r="T578" s="49"/>
      <c r="U578" s="33"/>
    </row>
    <row r="579" spans="14:21" ht="13">
      <c r="N579" s="33"/>
      <c r="O579" s="49" t="str">
        <f>IFERROR(VLOOKUP(N579,soils2!$A$2:$C$152,2),"")</f>
        <v/>
      </c>
      <c r="P579" s="49"/>
      <c r="Q579" s="49"/>
      <c r="R579" s="34" t="str">
        <f>IFERROR(VLOOKUP(N579,soils2!$A$2:$C$152,3),"")</f>
        <v/>
      </c>
      <c r="S579" s="49"/>
      <c r="T579" s="49"/>
      <c r="U579" s="33"/>
    </row>
    <row r="580" spans="14:21" ht="13">
      <c r="N580" s="33"/>
      <c r="O580" s="49" t="str">
        <f>IFERROR(VLOOKUP(N580,soils2!$A$2:$C$152,2),"")</f>
        <v/>
      </c>
      <c r="P580" s="49"/>
      <c r="Q580" s="49"/>
      <c r="R580" s="34" t="str">
        <f>IFERROR(VLOOKUP(N580,soils2!$A$2:$C$152,3),"")</f>
        <v/>
      </c>
      <c r="S580" s="49"/>
      <c r="T580" s="49"/>
      <c r="U580" s="33"/>
    </row>
    <row r="581" spans="14:21" ht="13">
      <c r="N581" s="33"/>
      <c r="O581" s="49" t="str">
        <f>IFERROR(VLOOKUP(N581,soils2!$A$2:$C$152,2),"")</f>
        <v/>
      </c>
      <c r="P581" s="49"/>
      <c r="Q581" s="49"/>
      <c r="R581" s="34" t="str">
        <f>IFERROR(VLOOKUP(N581,soils2!$A$2:$C$152,3),"")</f>
        <v/>
      </c>
      <c r="S581" s="49"/>
      <c r="T581" s="49"/>
      <c r="U581" s="33"/>
    </row>
    <row r="582" spans="14:21" ht="13">
      <c r="N582" s="33"/>
      <c r="O582" s="49" t="str">
        <f>IFERROR(VLOOKUP(N582,soils2!$A$2:$C$152,2),"")</f>
        <v/>
      </c>
      <c r="P582" s="49"/>
      <c r="Q582" s="49"/>
      <c r="R582" s="34" t="str">
        <f>IFERROR(VLOOKUP(N582,soils2!$A$2:$C$152,3),"")</f>
        <v/>
      </c>
      <c r="S582" s="49"/>
      <c r="T582" s="49"/>
      <c r="U582" s="33"/>
    </row>
    <row r="583" spans="14:21" ht="13">
      <c r="N583" s="33"/>
      <c r="O583" s="49" t="str">
        <f>IFERROR(VLOOKUP(N583,soils2!$A$2:$C$152,2),"")</f>
        <v/>
      </c>
      <c r="P583" s="49"/>
      <c r="Q583" s="49"/>
      <c r="R583" s="34" t="str">
        <f>IFERROR(VLOOKUP(N583,soils2!$A$2:$C$152,3),"")</f>
        <v/>
      </c>
      <c r="S583" s="49"/>
      <c r="T583" s="49"/>
      <c r="U583" s="33"/>
    </row>
    <row r="584" spans="14:21" ht="13">
      <c r="N584" s="33"/>
      <c r="O584" s="49" t="str">
        <f>IFERROR(VLOOKUP(N584,soils2!$A$2:$C$152,2),"")</f>
        <v/>
      </c>
      <c r="P584" s="49"/>
      <c r="Q584" s="49"/>
      <c r="R584" s="34" t="str">
        <f>IFERROR(VLOOKUP(N584,soils2!$A$2:$C$152,3),"")</f>
        <v/>
      </c>
      <c r="S584" s="49"/>
      <c r="T584" s="49"/>
      <c r="U584" s="33"/>
    </row>
    <row r="585" spans="14:21" ht="13">
      <c r="N585" s="33"/>
      <c r="O585" s="49" t="str">
        <f>IFERROR(VLOOKUP(N585,soils2!$A$2:$C$152,2),"")</f>
        <v/>
      </c>
      <c r="P585" s="49"/>
      <c r="Q585" s="49"/>
      <c r="R585" s="34" t="str">
        <f>IFERROR(VLOOKUP(N585,soils2!$A$2:$C$152,3),"")</f>
        <v/>
      </c>
      <c r="S585" s="49"/>
      <c r="T585" s="49"/>
      <c r="U585" s="33"/>
    </row>
    <row r="586" spans="14:21" ht="13">
      <c r="N586" s="33"/>
      <c r="O586" s="49" t="str">
        <f>IFERROR(VLOOKUP(N586,soils2!$A$2:$C$152,2),"")</f>
        <v/>
      </c>
      <c r="P586" s="49"/>
      <c r="Q586" s="49"/>
      <c r="R586" s="34" t="str">
        <f>IFERROR(VLOOKUP(N586,soils2!$A$2:$C$152,3),"")</f>
        <v/>
      </c>
      <c r="S586" s="49"/>
      <c r="T586" s="49"/>
      <c r="U586" s="33"/>
    </row>
    <row r="587" spans="14:21" ht="13">
      <c r="N587" s="33"/>
      <c r="O587" s="49" t="str">
        <f>IFERROR(VLOOKUP(N587,soils2!$A$2:$C$152,2),"")</f>
        <v/>
      </c>
      <c r="P587" s="49"/>
      <c r="Q587" s="49"/>
      <c r="R587" s="34" t="str">
        <f>IFERROR(VLOOKUP(N587,soils2!$A$2:$C$152,3),"")</f>
        <v/>
      </c>
      <c r="S587" s="49"/>
      <c r="T587" s="49"/>
      <c r="U587" s="33"/>
    </row>
    <row r="588" spans="14:21" ht="13">
      <c r="N588" s="33"/>
      <c r="O588" s="49" t="str">
        <f>IFERROR(VLOOKUP(N588,soils2!$A$2:$C$152,2),"")</f>
        <v/>
      </c>
      <c r="P588" s="49"/>
      <c r="Q588" s="49"/>
      <c r="R588" s="34" t="str">
        <f>IFERROR(VLOOKUP(N588,soils2!$A$2:$C$152,3),"")</f>
        <v/>
      </c>
      <c r="S588" s="49"/>
      <c r="T588" s="49"/>
      <c r="U588" s="33"/>
    </row>
    <row r="589" spans="14:21" ht="13">
      <c r="N589" s="33"/>
      <c r="O589" s="49" t="str">
        <f>IFERROR(VLOOKUP(N589,soils2!$A$2:$C$152,2),"")</f>
        <v/>
      </c>
      <c r="P589" s="49"/>
      <c r="Q589" s="49"/>
      <c r="R589" s="34" t="str">
        <f>IFERROR(VLOOKUP(N589,soils2!$A$2:$C$152,3),"")</f>
        <v/>
      </c>
      <c r="S589" s="49"/>
      <c r="T589" s="49"/>
      <c r="U589" s="33"/>
    </row>
    <row r="590" spans="14:21" ht="13">
      <c r="N590" s="33"/>
      <c r="O590" s="49" t="str">
        <f>IFERROR(VLOOKUP(N590,soils2!$A$2:$C$152,2),"")</f>
        <v/>
      </c>
      <c r="P590" s="49"/>
      <c r="Q590" s="49"/>
      <c r="R590" s="34" t="str">
        <f>IFERROR(VLOOKUP(N590,soils2!$A$2:$C$152,3),"")</f>
        <v/>
      </c>
      <c r="S590" s="49"/>
      <c r="T590" s="49"/>
      <c r="U590" s="33"/>
    </row>
    <row r="591" spans="14:21" ht="13">
      <c r="N591" s="33"/>
      <c r="O591" s="49" t="str">
        <f>IFERROR(VLOOKUP(N591,soils2!$A$2:$C$152,2),"")</f>
        <v/>
      </c>
      <c r="P591" s="49"/>
      <c r="Q591" s="49"/>
      <c r="R591" s="34" t="str">
        <f>IFERROR(VLOOKUP(N591,soils2!$A$2:$C$152,3),"")</f>
        <v/>
      </c>
      <c r="S591" s="49"/>
      <c r="T591" s="49"/>
      <c r="U591" s="33"/>
    </row>
    <row r="592" spans="14:21" ht="13">
      <c r="N592" s="33"/>
      <c r="O592" s="49" t="str">
        <f>IFERROR(VLOOKUP(N592,soils2!$A$2:$C$152,2),"")</f>
        <v/>
      </c>
      <c r="P592" s="49"/>
      <c r="Q592" s="49"/>
      <c r="R592" s="34" t="str">
        <f>IFERROR(VLOOKUP(N592,soils2!$A$2:$C$152,3),"")</f>
        <v/>
      </c>
      <c r="S592" s="49"/>
      <c r="T592" s="49"/>
      <c r="U592" s="33"/>
    </row>
    <row r="593" spans="14:21" ht="13">
      <c r="N593" s="33"/>
      <c r="O593" s="49" t="str">
        <f>IFERROR(VLOOKUP(N593,soils2!$A$2:$C$152,2),"")</f>
        <v/>
      </c>
      <c r="P593" s="49"/>
      <c r="Q593" s="49"/>
      <c r="R593" s="34" t="str">
        <f>IFERROR(VLOOKUP(N593,soils2!$A$2:$C$152,3),"")</f>
        <v/>
      </c>
      <c r="S593" s="49"/>
      <c r="T593" s="49"/>
      <c r="U593" s="33"/>
    </row>
    <row r="594" spans="14:21" ht="13">
      <c r="N594" s="33"/>
      <c r="O594" s="49" t="str">
        <f>IFERROR(VLOOKUP(N594,soils2!$A$2:$C$152,2),"")</f>
        <v/>
      </c>
      <c r="P594" s="49"/>
      <c r="Q594" s="49"/>
      <c r="R594" s="34" t="str">
        <f>IFERROR(VLOOKUP(N594,soils2!$A$2:$C$152,3),"")</f>
        <v/>
      </c>
      <c r="S594" s="49"/>
      <c r="T594" s="49"/>
      <c r="U594" s="33"/>
    </row>
    <row r="595" spans="14:21" ht="13">
      <c r="N595" s="33"/>
      <c r="O595" s="49" t="str">
        <f>IFERROR(VLOOKUP(N595,soils2!$A$2:$C$152,2),"")</f>
        <v/>
      </c>
      <c r="P595" s="49"/>
      <c r="Q595" s="49"/>
      <c r="R595" s="34" t="str">
        <f>IFERROR(VLOOKUP(N595,soils2!$A$2:$C$152,3),"")</f>
        <v/>
      </c>
      <c r="S595" s="49"/>
      <c r="T595" s="49"/>
      <c r="U595" s="33"/>
    </row>
    <row r="596" spans="14:21" ht="13">
      <c r="N596" s="33"/>
      <c r="O596" s="49" t="str">
        <f>IFERROR(VLOOKUP(N596,soils2!$A$2:$C$152,2),"")</f>
        <v/>
      </c>
      <c r="P596" s="49"/>
      <c r="Q596" s="49"/>
      <c r="R596" s="34" t="str">
        <f>IFERROR(VLOOKUP(N596,soils2!$A$2:$C$152,3),"")</f>
        <v/>
      </c>
      <c r="S596" s="49"/>
      <c r="T596" s="49"/>
      <c r="U596" s="33"/>
    </row>
    <row r="597" spans="14:21" ht="13">
      <c r="N597" s="33"/>
      <c r="O597" s="49" t="str">
        <f>IFERROR(VLOOKUP(N597,soils2!$A$2:$C$152,2),"")</f>
        <v/>
      </c>
      <c r="P597" s="49"/>
      <c r="Q597" s="49"/>
      <c r="R597" s="34" t="str">
        <f>IFERROR(VLOOKUP(N597,soils2!$A$2:$C$152,3),"")</f>
        <v/>
      </c>
      <c r="S597" s="49"/>
      <c r="T597" s="49"/>
      <c r="U597" s="33"/>
    </row>
    <row r="598" spans="14:21" ht="13">
      <c r="N598" s="33"/>
      <c r="O598" s="49" t="str">
        <f>IFERROR(VLOOKUP(N598,soils2!$A$2:$C$152,2),"")</f>
        <v/>
      </c>
      <c r="P598" s="49"/>
      <c r="Q598" s="49"/>
      <c r="R598" s="34" t="str">
        <f>IFERROR(VLOOKUP(N598,soils2!$A$2:$C$152,3),"")</f>
        <v/>
      </c>
      <c r="S598" s="49"/>
      <c r="T598" s="49"/>
      <c r="U598" s="33"/>
    </row>
    <row r="599" spans="14:21" ht="13">
      <c r="N599" s="33"/>
      <c r="O599" s="49" t="str">
        <f>IFERROR(VLOOKUP(N599,soils2!$A$2:$C$152,2),"")</f>
        <v/>
      </c>
      <c r="P599" s="49"/>
      <c r="Q599" s="49"/>
      <c r="R599" s="34" t="str">
        <f>IFERROR(VLOOKUP(N599,soils2!$A$2:$C$152,3),"")</f>
        <v/>
      </c>
      <c r="S599" s="49"/>
      <c r="T599" s="49"/>
      <c r="U599" s="33"/>
    </row>
    <row r="600" spans="14:21" ht="13">
      <c r="N600" s="33"/>
      <c r="O600" s="49" t="str">
        <f>IFERROR(VLOOKUP(N600,soils2!$A$2:$C$152,2),"")</f>
        <v/>
      </c>
      <c r="P600" s="49"/>
      <c r="Q600" s="49"/>
      <c r="R600" s="34" t="str">
        <f>IFERROR(VLOOKUP(N600,soils2!$A$2:$C$152,3),"")</f>
        <v/>
      </c>
      <c r="S600" s="49"/>
      <c r="T600" s="49"/>
      <c r="U600" s="33"/>
    </row>
  </sheetData>
  <sheetProtection selectLockedCells="1" selectUnlockedCells="1"/>
  <mergeCells count="1247">
    <mergeCell ref="B50:D50"/>
    <mergeCell ref="F50:G50"/>
    <mergeCell ref="B51:D51"/>
    <mergeCell ref="F51:G51"/>
    <mergeCell ref="B52:D52"/>
    <mergeCell ref="F52:G52"/>
    <mergeCell ref="B53:D53"/>
    <mergeCell ref="A58:D58"/>
    <mergeCell ref="A59:D59"/>
    <mergeCell ref="I60:J60"/>
    <mergeCell ref="I61:J61"/>
    <mergeCell ref="G63:J63"/>
    <mergeCell ref="B55:D55"/>
    <mergeCell ref="F55:G55"/>
    <mergeCell ref="B56:D56"/>
    <mergeCell ref="F56:G56"/>
    <mergeCell ref="B57:D57"/>
    <mergeCell ref="F57:G57"/>
    <mergeCell ref="B38:D38"/>
    <mergeCell ref="F38:G38"/>
    <mergeCell ref="I38:I39"/>
    <mergeCell ref="B39:D39"/>
    <mergeCell ref="F39:G39"/>
    <mergeCell ref="B40:D40"/>
    <mergeCell ref="F40:G40"/>
    <mergeCell ref="I40:I41"/>
    <mergeCell ref="B41:D41"/>
    <mergeCell ref="F41:G41"/>
    <mergeCell ref="B42:D42"/>
    <mergeCell ref="F42:G42"/>
    <mergeCell ref="I42:I43"/>
    <mergeCell ref="B43:D43"/>
    <mergeCell ref="F43:G43"/>
    <mergeCell ref="F53:G53"/>
    <mergeCell ref="B54:D54"/>
    <mergeCell ref="F54:G54"/>
    <mergeCell ref="B44:D44"/>
    <mergeCell ref="F44:G44"/>
    <mergeCell ref="I44:I45"/>
    <mergeCell ref="B45:D45"/>
    <mergeCell ref="F45:G45"/>
    <mergeCell ref="B46:D46"/>
    <mergeCell ref="F46:G46"/>
    <mergeCell ref="I46:I47"/>
    <mergeCell ref="B47:D47"/>
    <mergeCell ref="F47:G47"/>
    <mergeCell ref="B48:D48"/>
    <mergeCell ref="F48:G48"/>
    <mergeCell ref="B49:D49"/>
    <mergeCell ref="F49:G49"/>
    <mergeCell ref="B33:D33"/>
    <mergeCell ref="F33:G33"/>
    <mergeCell ref="I33:K33"/>
    <mergeCell ref="B34:D34"/>
    <mergeCell ref="F34:G34"/>
    <mergeCell ref="I34:J34"/>
    <mergeCell ref="B35:D35"/>
    <mergeCell ref="F35:G35"/>
    <mergeCell ref="I35:J35"/>
    <mergeCell ref="B36:D36"/>
    <mergeCell ref="F36:G36"/>
    <mergeCell ref="I36:I37"/>
    <mergeCell ref="B37:D37"/>
    <mergeCell ref="F37:G37"/>
    <mergeCell ref="O33:Q33"/>
    <mergeCell ref="S33:T33"/>
    <mergeCell ref="O34:Q34"/>
    <mergeCell ref="O35:Q35"/>
    <mergeCell ref="O36:Q36"/>
    <mergeCell ref="O37:Q37"/>
    <mergeCell ref="G20:J20"/>
    <mergeCell ref="A22:F22"/>
    <mergeCell ref="A24:C24"/>
    <mergeCell ref="D24:F24"/>
    <mergeCell ref="A26:C26"/>
    <mergeCell ref="D26:F26"/>
    <mergeCell ref="A28:C28"/>
    <mergeCell ref="D28:F28"/>
    <mergeCell ref="A30:C30"/>
    <mergeCell ref="D30:F30"/>
    <mergeCell ref="A31:F31"/>
    <mergeCell ref="I31:K31"/>
    <mergeCell ref="F32:G32"/>
    <mergeCell ref="I32:K32"/>
    <mergeCell ref="S32:T32"/>
    <mergeCell ref="S31:T31"/>
    <mergeCell ref="O32:Q32"/>
    <mergeCell ref="O38:Q38"/>
    <mergeCell ref="O39:Q39"/>
    <mergeCell ref="N29:U29"/>
    <mergeCell ref="E3:G3"/>
    <mergeCell ref="D4:H4"/>
    <mergeCell ref="J4:K4"/>
    <mergeCell ref="C5:I5"/>
    <mergeCell ref="J5:K5"/>
    <mergeCell ref="E6:G6"/>
    <mergeCell ref="E7:G7"/>
    <mergeCell ref="J7:K7"/>
    <mergeCell ref="J8:K8"/>
    <mergeCell ref="D9:H9"/>
    <mergeCell ref="B13:E13"/>
    <mergeCell ref="F13:J13"/>
    <mergeCell ref="B14:E14"/>
    <mergeCell ref="F14:I14"/>
    <mergeCell ref="B15:E15"/>
    <mergeCell ref="F15:I15"/>
    <mergeCell ref="D16:I16"/>
    <mergeCell ref="D17:K17"/>
    <mergeCell ref="B12:E12"/>
    <mergeCell ref="F12:J12"/>
    <mergeCell ref="A16:C17"/>
    <mergeCell ref="A18:C18"/>
    <mergeCell ref="D18:I18"/>
    <mergeCell ref="J18:K18"/>
    <mergeCell ref="A19:C19"/>
    <mergeCell ref="D19:I19"/>
    <mergeCell ref="J19:K19"/>
    <mergeCell ref="A20:A21"/>
    <mergeCell ref="D20:F20"/>
    <mergeCell ref="O51:Q51"/>
    <mergeCell ref="O52:Q52"/>
    <mergeCell ref="O53:Q53"/>
    <mergeCell ref="O54:Q54"/>
    <mergeCell ref="O55:Q55"/>
    <mergeCell ref="O56:Q56"/>
    <mergeCell ref="O57:Q57"/>
    <mergeCell ref="O40:Q40"/>
    <mergeCell ref="O41:Q41"/>
    <mergeCell ref="O42:Q42"/>
    <mergeCell ref="O43:Q43"/>
    <mergeCell ref="O44:Q44"/>
    <mergeCell ref="O45:Q45"/>
    <mergeCell ref="O46:Q46"/>
    <mergeCell ref="O47:Q47"/>
    <mergeCell ref="O48:Q48"/>
    <mergeCell ref="S55:T55"/>
    <mergeCell ref="S56:T56"/>
    <mergeCell ref="S57:T57"/>
    <mergeCell ref="S58:T58"/>
    <mergeCell ref="S59:T59"/>
    <mergeCell ref="S60:T60"/>
    <mergeCell ref="O61:Q61"/>
    <mergeCell ref="O62:Q62"/>
    <mergeCell ref="O63:Q63"/>
    <mergeCell ref="O58:Q58"/>
    <mergeCell ref="O59:Q59"/>
    <mergeCell ref="O60:Q60"/>
    <mergeCell ref="S34:T34"/>
    <mergeCell ref="S35:T35"/>
    <mergeCell ref="S36:T36"/>
    <mergeCell ref="S37:T37"/>
    <mergeCell ref="S38:T38"/>
    <mergeCell ref="S39:T39"/>
    <mergeCell ref="S40:T40"/>
    <mergeCell ref="S41:T41"/>
    <mergeCell ref="S42:T42"/>
    <mergeCell ref="S43:T43"/>
    <mergeCell ref="S44:T44"/>
    <mergeCell ref="S45:T45"/>
    <mergeCell ref="S46:T46"/>
    <mergeCell ref="S47:T47"/>
    <mergeCell ref="S48:T48"/>
    <mergeCell ref="S49:T49"/>
    <mergeCell ref="S50:T50"/>
    <mergeCell ref="S51:T51"/>
    <mergeCell ref="S52:T52"/>
    <mergeCell ref="S53:T53"/>
    <mergeCell ref="S54:T54"/>
    <mergeCell ref="O49:Q49"/>
    <mergeCell ref="O50:Q50"/>
    <mergeCell ref="O73:Q73"/>
    <mergeCell ref="O74:Q74"/>
    <mergeCell ref="O75:Q75"/>
    <mergeCell ref="O76:Q76"/>
    <mergeCell ref="O77:Q77"/>
    <mergeCell ref="O78:Q78"/>
    <mergeCell ref="O79:Q79"/>
    <mergeCell ref="O80:Q80"/>
    <mergeCell ref="O81:Q81"/>
    <mergeCell ref="O64:Q64"/>
    <mergeCell ref="O65:Q65"/>
    <mergeCell ref="O66:Q66"/>
    <mergeCell ref="O67:Q67"/>
    <mergeCell ref="O68:Q68"/>
    <mergeCell ref="O69:Q69"/>
    <mergeCell ref="O70:Q70"/>
    <mergeCell ref="O71:Q71"/>
    <mergeCell ref="O72:Q72"/>
    <mergeCell ref="O91:Q91"/>
    <mergeCell ref="O92:Q92"/>
    <mergeCell ref="O93:Q93"/>
    <mergeCell ref="O94:Q94"/>
    <mergeCell ref="O95:Q95"/>
    <mergeCell ref="O96:Q96"/>
    <mergeCell ref="O97:Q97"/>
    <mergeCell ref="O98:Q98"/>
    <mergeCell ref="O99:Q99"/>
    <mergeCell ref="O82:Q82"/>
    <mergeCell ref="O83:Q83"/>
    <mergeCell ref="O84:Q84"/>
    <mergeCell ref="O85:Q85"/>
    <mergeCell ref="O86:Q86"/>
    <mergeCell ref="O87:Q87"/>
    <mergeCell ref="O88:Q88"/>
    <mergeCell ref="O89:Q89"/>
    <mergeCell ref="O90:Q90"/>
    <mergeCell ref="O109:Q109"/>
    <mergeCell ref="O110:Q110"/>
    <mergeCell ref="O111:Q111"/>
    <mergeCell ref="O112:Q112"/>
    <mergeCell ref="O113:Q113"/>
    <mergeCell ref="O114:Q114"/>
    <mergeCell ref="O115:Q115"/>
    <mergeCell ref="O116:Q116"/>
    <mergeCell ref="O117:Q117"/>
    <mergeCell ref="O100:Q100"/>
    <mergeCell ref="O101:Q101"/>
    <mergeCell ref="O102:Q102"/>
    <mergeCell ref="O103:Q103"/>
    <mergeCell ref="O104:Q104"/>
    <mergeCell ref="O105:Q105"/>
    <mergeCell ref="O106:Q106"/>
    <mergeCell ref="O107:Q107"/>
    <mergeCell ref="O108:Q108"/>
    <mergeCell ref="O127:Q127"/>
    <mergeCell ref="O128:Q128"/>
    <mergeCell ref="O129:Q129"/>
    <mergeCell ref="O130:Q130"/>
    <mergeCell ref="O131:Q131"/>
    <mergeCell ref="O132:Q132"/>
    <mergeCell ref="O133:Q133"/>
    <mergeCell ref="O134:Q134"/>
    <mergeCell ref="O135:Q135"/>
    <mergeCell ref="O118:Q118"/>
    <mergeCell ref="O119:Q119"/>
    <mergeCell ref="O120:Q120"/>
    <mergeCell ref="O121:Q121"/>
    <mergeCell ref="O122:Q122"/>
    <mergeCell ref="O123:Q123"/>
    <mergeCell ref="O124:Q124"/>
    <mergeCell ref="O125:Q125"/>
    <mergeCell ref="O126:Q126"/>
    <mergeCell ref="O145:Q145"/>
    <mergeCell ref="O146:Q146"/>
    <mergeCell ref="O147:Q147"/>
    <mergeCell ref="O148:Q148"/>
    <mergeCell ref="O149:Q149"/>
    <mergeCell ref="O150:Q150"/>
    <mergeCell ref="O151:Q151"/>
    <mergeCell ref="O152:Q152"/>
    <mergeCell ref="O153:Q153"/>
    <mergeCell ref="O136:Q136"/>
    <mergeCell ref="O137:Q137"/>
    <mergeCell ref="O138:Q138"/>
    <mergeCell ref="O139:Q139"/>
    <mergeCell ref="O140:Q140"/>
    <mergeCell ref="O141:Q141"/>
    <mergeCell ref="O142:Q142"/>
    <mergeCell ref="O143:Q143"/>
    <mergeCell ref="O144:Q144"/>
    <mergeCell ref="O163:Q163"/>
    <mergeCell ref="O164:Q164"/>
    <mergeCell ref="O165:Q165"/>
    <mergeCell ref="O166:Q166"/>
    <mergeCell ref="O167:Q167"/>
    <mergeCell ref="O168:Q168"/>
    <mergeCell ref="O169:Q169"/>
    <mergeCell ref="O170:Q170"/>
    <mergeCell ref="O171:Q171"/>
    <mergeCell ref="O154:Q154"/>
    <mergeCell ref="O155:Q155"/>
    <mergeCell ref="O156:Q156"/>
    <mergeCell ref="O157:Q157"/>
    <mergeCell ref="O158:Q158"/>
    <mergeCell ref="O159:Q159"/>
    <mergeCell ref="O160:Q160"/>
    <mergeCell ref="O161:Q161"/>
    <mergeCell ref="O162:Q162"/>
    <mergeCell ref="O181:Q181"/>
    <mergeCell ref="O182:Q182"/>
    <mergeCell ref="O183:Q183"/>
    <mergeCell ref="O184:Q184"/>
    <mergeCell ref="O185:Q185"/>
    <mergeCell ref="O186:Q186"/>
    <mergeCell ref="O187:Q187"/>
    <mergeCell ref="O188:Q188"/>
    <mergeCell ref="O189:Q189"/>
    <mergeCell ref="O172:Q172"/>
    <mergeCell ref="O173:Q173"/>
    <mergeCell ref="O174:Q174"/>
    <mergeCell ref="O175:Q175"/>
    <mergeCell ref="O176:Q176"/>
    <mergeCell ref="O177:Q177"/>
    <mergeCell ref="O178:Q178"/>
    <mergeCell ref="O179:Q179"/>
    <mergeCell ref="O180:Q180"/>
    <mergeCell ref="O199:Q199"/>
    <mergeCell ref="O200:Q200"/>
    <mergeCell ref="O201:Q201"/>
    <mergeCell ref="O202:Q202"/>
    <mergeCell ref="O203:Q203"/>
    <mergeCell ref="O204:Q204"/>
    <mergeCell ref="O205:Q205"/>
    <mergeCell ref="O206:Q206"/>
    <mergeCell ref="O207:Q207"/>
    <mergeCell ref="O190:Q190"/>
    <mergeCell ref="O191:Q191"/>
    <mergeCell ref="O192:Q192"/>
    <mergeCell ref="O193:Q193"/>
    <mergeCell ref="O194:Q194"/>
    <mergeCell ref="O195:Q195"/>
    <mergeCell ref="O196:Q196"/>
    <mergeCell ref="O197:Q197"/>
    <mergeCell ref="O198:Q198"/>
    <mergeCell ref="O217:Q217"/>
    <mergeCell ref="O218:Q218"/>
    <mergeCell ref="O219:Q219"/>
    <mergeCell ref="O220:Q220"/>
    <mergeCell ref="O221:Q221"/>
    <mergeCell ref="O222:Q222"/>
    <mergeCell ref="O223:Q223"/>
    <mergeCell ref="O224:Q224"/>
    <mergeCell ref="O225:Q225"/>
    <mergeCell ref="O208:Q208"/>
    <mergeCell ref="O209:Q209"/>
    <mergeCell ref="O210:Q210"/>
    <mergeCell ref="O211:Q211"/>
    <mergeCell ref="O212:Q212"/>
    <mergeCell ref="O213:Q213"/>
    <mergeCell ref="O214:Q214"/>
    <mergeCell ref="O215:Q215"/>
    <mergeCell ref="O216:Q216"/>
    <mergeCell ref="O235:Q235"/>
    <mergeCell ref="O236:Q236"/>
    <mergeCell ref="O237:Q237"/>
    <mergeCell ref="O238:Q238"/>
    <mergeCell ref="O239:Q239"/>
    <mergeCell ref="O240:Q240"/>
    <mergeCell ref="O241:Q241"/>
    <mergeCell ref="O242:Q242"/>
    <mergeCell ref="O243:Q243"/>
    <mergeCell ref="O226:Q226"/>
    <mergeCell ref="O227:Q227"/>
    <mergeCell ref="O228:Q228"/>
    <mergeCell ref="O229:Q229"/>
    <mergeCell ref="O230:Q230"/>
    <mergeCell ref="O231:Q231"/>
    <mergeCell ref="O232:Q232"/>
    <mergeCell ref="O233:Q233"/>
    <mergeCell ref="O234:Q234"/>
    <mergeCell ref="O253:Q253"/>
    <mergeCell ref="O254:Q254"/>
    <mergeCell ref="O255:Q255"/>
    <mergeCell ref="O256:Q256"/>
    <mergeCell ref="O257:Q257"/>
    <mergeCell ref="O258:Q258"/>
    <mergeCell ref="O259:Q259"/>
    <mergeCell ref="O260:Q260"/>
    <mergeCell ref="O261:Q261"/>
    <mergeCell ref="O244:Q244"/>
    <mergeCell ref="O245:Q245"/>
    <mergeCell ref="O246:Q246"/>
    <mergeCell ref="O247:Q247"/>
    <mergeCell ref="O248:Q248"/>
    <mergeCell ref="O249:Q249"/>
    <mergeCell ref="O250:Q250"/>
    <mergeCell ref="O251:Q251"/>
    <mergeCell ref="O252:Q252"/>
    <mergeCell ref="O271:Q271"/>
    <mergeCell ref="O272:Q272"/>
    <mergeCell ref="O273:Q273"/>
    <mergeCell ref="O274:Q274"/>
    <mergeCell ref="O275:Q275"/>
    <mergeCell ref="O276:Q276"/>
    <mergeCell ref="O277:Q277"/>
    <mergeCell ref="O278:Q278"/>
    <mergeCell ref="O279:Q279"/>
    <mergeCell ref="O262:Q262"/>
    <mergeCell ref="O263:Q263"/>
    <mergeCell ref="O264:Q264"/>
    <mergeCell ref="O265:Q265"/>
    <mergeCell ref="O266:Q266"/>
    <mergeCell ref="O267:Q267"/>
    <mergeCell ref="O268:Q268"/>
    <mergeCell ref="O269:Q269"/>
    <mergeCell ref="O270:Q270"/>
    <mergeCell ref="O289:Q289"/>
    <mergeCell ref="O290:Q290"/>
    <mergeCell ref="O291:Q291"/>
    <mergeCell ref="O292:Q292"/>
    <mergeCell ref="O293:Q293"/>
    <mergeCell ref="O294:Q294"/>
    <mergeCell ref="O295:Q295"/>
    <mergeCell ref="O296:Q296"/>
    <mergeCell ref="O297:Q297"/>
    <mergeCell ref="O280:Q280"/>
    <mergeCell ref="O281:Q281"/>
    <mergeCell ref="O282:Q282"/>
    <mergeCell ref="O283:Q283"/>
    <mergeCell ref="O284:Q284"/>
    <mergeCell ref="O285:Q285"/>
    <mergeCell ref="O286:Q286"/>
    <mergeCell ref="O287:Q287"/>
    <mergeCell ref="O288:Q288"/>
    <mergeCell ref="O307:Q307"/>
    <mergeCell ref="O308:Q308"/>
    <mergeCell ref="O309:Q309"/>
    <mergeCell ref="O310:Q310"/>
    <mergeCell ref="O311:Q311"/>
    <mergeCell ref="O312:Q312"/>
    <mergeCell ref="O313:Q313"/>
    <mergeCell ref="O314:Q314"/>
    <mergeCell ref="O315:Q315"/>
    <mergeCell ref="O298:Q298"/>
    <mergeCell ref="O299:Q299"/>
    <mergeCell ref="O300:Q300"/>
    <mergeCell ref="O301:Q301"/>
    <mergeCell ref="O302:Q302"/>
    <mergeCell ref="O303:Q303"/>
    <mergeCell ref="O304:Q304"/>
    <mergeCell ref="O305:Q305"/>
    <mergeCell ref="O306:Q306"/>
    <mergeCell ref="O325:Q325"/>
    <mergeCell ref="O326:Q326"/>
    <mergeCell ref="O327:Q327"/>
    <mergeCell ref="O328:Q328"/>
    <mergeCell ref="O329:Q329"/>
    <mergeCell ref="O330:Q330"/>
    <mergeCell ref="O331:Q331"/>
    <mergeCell ref="O332:Q332"/>
    <mergeCell ref="O333:Q333"/>
    <mergeCell ref="O316:Q316"/>
    <mergeCell ref="O317:Q317"/>
    <mergeCell ref="O318:Q318"/>
    <mergeCell ref="O319:Q319"/>
    <mergeCell ref="O320:Q320"/>
    <mergeCell ref="O321:Q321"/>
    <mergeCell ref="O322:Q322"/>
    <mergeCell ref="O323:Q323"/>
    <mergeCell ref="O324:Q324"/>
    <mergeCell ref="O343:Q343"/>
    <mergeCell ref="O344:Q344"/>
    <mergeCell ref="O345:Q345"/>
    <mergeCell ref="O346:Q346"/>
    <mergeCell ref="O347:Q347"/>
    <mergeCell ref="O348:Q348"/>
    <mergeCell ref="O349:Q349"/>
    <mergeCell ref="O350:Q350"/>
    <mergeCell ref="O351:Q351"/>
    <mergeCell ref="O334:Q334"/>
    <mergeCell ref="O335:Q335"/>
    <mergeCell ref="O336:Q336"/>
    <mergeCell ref="O337:Q337"/>
    <mergeCell ref="O338:Q338"/>
    <mergeCell ref="O339:Q339"/>
    <mergeCell ref="O340:Q340"/>
    <mergeCell ref="O341:Q341"/>
    <mergeCell ref="O342:Q342"/>
    <mergeCell ref="O361:Q361"/>
    <mergeCell ref="O362:Q362"/>
    <mergeCell ref="O363:Q363"/>
    <mergeCell ref="O364:Q364"/>
    <mergeCell ref="O365:Q365"/>
    <mergeCell ref="O366:Q366"/>
    <mergeCell ref="O367:Q367"/>
    <mergeCell ref="O368:Q368"/>
    <mergeCell ref="O369:Q369"/>
    <mergeCell ref="O352:Q352"/>
    <mergeCell ref="O353:Q353"/>
    <mergeCell ref="O354:Q354"/>
    <mergeCell ref="O355:Q355"/>
    <mergeCell ref="O356:Q356"/>
    <mergeCell ref="O357:Q357"/>
    <mergeCell ref="O358:Q358"/>
    <mergeCell ref="O359:Q359"/>
    <mergeCell ref="O360:Q360"/>
    <mergeCell ref="O379:Q379"/>
    <mergeCell ref="O380:Q380"/>
    <mergeCell ref="O381:Q381"/>
    <mergeCell ref="O382:Q382"/>
    <mergeCell ref="O383:Q383"/>
    <mergeCell ref="O384:Q384"/>
    <mergeCell ref="O385:Q385"/>
    <mergeCell ref="O386:Q386"/>
    <mergeCell ref="O387:Q387"/>
    <mergeCell ref="O370:Q370"/>
    <mergeCell ref="O371:Q371"/>
    <mergeCell ref="O372:Q372"/>
    <mergeCell ref="O373:Q373"/>
    <mergeCell ref="O374:Q374"/>
    <mergeCell ref="O375:Q375"/>
    <mergeCell ref="O376:Q376"/>
    <mergeCell ref="O377:Q377"/>
    <mergeCell ref="O378:Q378"/>
    <mergeCell ref="O397:Q397"/>
    <mergeCell ref="O398:Q398"/>
    <mergeCell ref="O399:Q399"/>
    <mergeCell ref="O400:Q400"/>
    <mergeCell ref="O401:Q401"/>
    <mergeCell ref="O402:Q402"/>
    <mergeCell ref="O403:Q403"/>
    <mergeCell ref="O404:Q404"/>
    <mergeCell ref="O405:Q405"/>
    <mergeCell ref="O388:Q388"/>
    <mergeCell ref="O389:Q389"/>
    <mergeCell ref="O390:Q390"/>
    <mergeCell ref="O391:Q391"/>
    <mergeCell ref="O392:Q392"/>
    <mergeCell ref="O393:Q393"/>
    <mergeCell ref="O394:Q394"/>
    <mergeCell ref="O395:Q395"/>
    <mergeCell ref="O396:Q396"/>
    <mergeCell ref="O415:Q415"/>
    <mergeCell ref="O416:Q416"/>
    <mergeCell ref="O417:Q417"/>
    <mergeCell ref="O418:Q418"/>
    <mergeCell ref="O419:Q419"/>
    <mergeCell ref="O420:Q420"/>
    <mergeCell ref="O421:Q421"/>
    <mergeCell ref="O422:Q422"/>
    <mergeCell ref="O423:Q423"/>
    <mergeCell ref="O406:Q406"/>
    <mergeCell ref="O407:Q407"/>
    <mergeCell ref="O408:Q408"/>
    <mergeCell ref="O409:Q409"/>
    <mergeCell ref="O410:Q410"/>
    <mergeCell ref="O411:Q411"/>
    <mergeCell ref="O412:Q412"/>
    <mergeCell ref="O413:Q413"/>
    <mergeCell ref="O414:Q414"/>
    <mergeCell ref="O433:Q433"/>
    <mergeCell ref="O434:Q434"/>
    <mergeCell ref="O435:Q435"/>
    <mergeCell ref="O436:Q436"/>
    <mergeCell ref="O437:Q437"/>
    <mergeCell ref="O438:Q438"/>
    <mergeCell ref="O439:Q439"/>
    <mergeCell ref="O440:Q440"/>
    <mergeCell ref="O441:Q441"/>
    <mergeCell ref="O424:Q424"/>
    <mergeCell ref="O425:Q425"/>
    <mergeCell ref="O426:Q426"/>
    <mergeCell ref="O427:Q427"/>
    <mergeCell ref="O428:Q428"/>
    <mergeCell ref="O429:Q429"/>
    <mergeCell ref="O430:Q430"/>
    <mergeCell ref="O431:Q431"/>
    <mergeCell ref="O432:Q432"/>
    <mergeCell ref="O451:Q451"/>
    <mergeCell ref="O452:Q452"/>
    <mergeCell ref="O453:Q453"/>
    <mergeCell ref="O454:Q454"/>
    <mergeCell ref="O455:Q455"/>
    <mergeCell ref="O456:Q456"/>
    <mergeCell ref="O457:Q457"/>
    <mergeCell ref="O458:Q458"/>
    <mergeCell ref="O459:Q459"/>
    <mergeCell ref="O442:Q442"/>
    <mergeCell ref="O443:Q443"/>
    <mergeCell ref="O444:Q444"/>
    <mergeCell ref="O445:Q445"/>
    <mergeCell ref="O446:Q446"/>
    <mergeCell ref="O447:Q447"/>
    <mergeCell ref="O448:Q448"/>
    <mergeCell ref="O449:Q449"/>
    <mergeCell ref="O450:Q450"/>
    <mergeCell ref="O469:Q469"/>
    <mergeCell ref="O470:Q470"/>
    <mergeCell ref="O471:Q471"/>
    <mergeCell ref="O472:Q472"/>
    <mergeCell ref="O473:Q473"/>
    <mergeCell ref="O474:Q474"/>
    <mergeCell ref="O475:Q475"/>
    <mergeCell ref="O476:Q476"/>
    <mergeCell ref="O477:Q477"/>
    <mergeCell ref="O460:Q460"/>
    <mergeCell ref="O461:Q461"/>
    <mergeCell ref="O462:Q462"/>
    <mergeCell ref="O463:Q463"/>
    <mergeCell ref="O464:Q464"/>
    <mergeCell ref="O465:Q465"/>
    <mergeCell ref="O466:Q466"/>
    <mergeCell ref="O467:Q467"/>
    <mergeCell ref="O468:Q468"/>
    <mergeCell ref="O487:Q487"/>
    <mergeCell ref="O488:Q488"/>
    <mergeCell ref="O489:Q489"/>
    <mergeCell ref="O490:Q490"/>
    <mergeCell ref="O491:Q491"/>
    <mergeCell ref="O492:Q492"/>
    <mergeCell ref="O493:Q493"/>
    <mergeCell ref="O494:Q494"/>
    <mergeCell ref="O495:Q495"/>
    <mergeCell ref="O478:Q478"/>
    <mergeCell ref="O479:Q479"/>
    <mergeCell ref="O480:Q480"/>
    <mergeCell ref="O481:Q481"/>
    <mergeCell ref="O482:Q482"/>
    <mergeCell ref="O483:Q483"/>
    <mergeCell ref="O484:Q484"/>
    <mergeCell ref="O485:Q485"/>
    <mergeCell ref="O486:Q486"/>
    <mergeCell ref="O505:Q505"/>
    <mergeCell ref="O506:Q506"/>
    <mergeCell ref="O507:Q507"/>
    <mergeCell ref="O508:Q508"/>
    <mergeCell ref="O509:Q509"/>
    <mergeCell ref="O510:Q510"/>
    <mergeCell ref="O511:Q511"/>
    <mergeCell ref="O512:Q512"/>
    <mergeCell ref="O513:Q513"/>
    <mergeCell ref="O496:Q496"/>
    <mergeCell ref="O497:Q497"/>
    <mergeCell ref="O498:Q498"/>
    <mergeCell ref="O499:Q499"/>
    <mergeCell ref="O500:Q500"/>
    <mergeCell ref="O501:Q501"/>
    <mergeCell ref="O502:Q502"/>
    <mergeCell ref="O503:Q503"/>
    <mergeCell ref="O504:Q504"/>
    <mergeCell ref="O523:Q523"/>
    <mergeCell ref="O524:Q524"/>
    <mergeCell ref="O525:Q525"/>
    <mergeCell ref="O526:Q526"/>
    <mergeCell ref="O527:Q527"/>
    <mergeCell ref="O528:Q528"/>
    <mergeCell ref="O529:Q529"/>
    <mergeCell ref="O530:Q530"/>
    <mergeCell ref="O531:Q531"/>
    <mergeCell ref="O514:Q514"/>
    <mergeCell ref="O515:Q515"/>
    <mergeCell ref="O516:Q516"/>
    <mergeCell ref="O517:Q517"/>
    <mergeCell ref="O518:Q518"/>
    <mergeCell ref="O519:Q519"/>
    <mergeCell ref="O520:Q520"/>
    <mergeCell ref="O521:Q521"/>
    <mergeCell ref="O522:Q522"/>
    <mergeCell ref="O541:Q541"/>
    <mergeCell ref="O542:Q542"/>
    <mergeCell ref="O543:Q543"/>
    <mergeCell ref="O544:Q544"/>
    <mergeCell ref="O545:Q545"/>
    <mergeCell ref="O546:Q546"/>
    <mergeCell ref="O547:Q547"/>
    <mergeCell ref="O548:Q548"/>
    <mergeCell ref="O549:Q549"/>
    <mergeCell ref="O532:Q532"/>
    <mergeCell ref="O533:Q533"/>
    <mergeCell ref="O534:Q534"/>
    <mergeCell ref="O535:Q535"/>
    <mergeCell ref="O536:Q536"/>
    <mergeCell ref="O537:Q537"/>
    <mergeCell ref="O538:Q538"/>
    <mergeCell ref="O539:Q539"/>
    <mergeCell ref="O540:Q540"/>
    <mergeCell ref="O559:Q559"/>
    <mergeCell ref="O560:Q560"/>
    <mergeCell ref="O561:Q561"/>
    <mergeCell ref="O562:Q562"/>
    <mergeCell ref="O563:Q563"/>
    <mergeCell ref="O564:Q564"/>
    <mergeCell ref="O565:Q565"/>
    <mergeCell ref="O566:Q566"/>
    <mergeCell ref="O567:Q567"/>
    <mergeCell ref="O550:Q550"/>
    <mergeCell ref="O551:Q551"/>
    <mergeCell ref="O552:Q552"/>
    <mergeCell ref="O553:Q553"/>
    <mergeCell ref="O554:Q554"/>
    <mergeCell ref="O555:Q555"/>
    <mergeCell ref="O556:Q556"/>
    <mergeCell ref="O557:Q557"/>
    <mergeCell ref="O558:Q558"/>
    <mergeCell ref="O594:Q594"/>
    <mergeCell ref="O577:Q577"/>
    <mergeCell ref="O578:Q578"/>
    <mergeCell ref="O579:Q579"/>
    <mergeCell ref="O580:Q580"/>
    <mergeCell ref="O581:Q581"/>
    <mergeCell ref="O582:Q582"/>
    <mergeCell ref="O583:Q583"/>
    <mergeCell ref="O584:Q584"/>
    <mergeCell ref="O585:Q585"/>
    <mergeCell ref="O568:Q568"/>
    <mergeCell ref="O569:Q569"/>
    <mergeCell ref="O570:Q570"/>
    <mergeCell ref="O571:Q571"/>
    <mergeCell ref="O572:Q572"/>
    <mergeCell ref="O573:Q573"/>
    <mergeCell ref="O574:Q574"/>
    <mergeCell ref="O575:Q575"/>
    <mergeCell ref="O576:Q576"/>
    <mergeCell ref="O595:Q595"/>
    <mergeCell ref="O596:Q596"/>
    <mergeCell ref="O597:Q597"/>
    <mergeCell ref="O598:Q598"/>
    <mergeCell ref="O599:Q599"/>
    <mergeCell ref="O600:Q600"/>
    <mergeCell ref="S61:T61"/>
    <mergeCell ref="S62:T62"/>
    <mergeCell ref="S63:T63"/>
    <mergeCell ref="S64:T64"/>
    <mergeCell ref="S65:T65"/>
    <mergeCell ref="S66:T66"/>
    <mergeCell ref="S67:T67"/>
    <mergeCell ref="S68:T68"/>
    <mergeCell ref="S69:T69"/>
    <mergeCell ref="S70:T70"/>
    <mergeCell ref="S71:T71"/>
    <mergeCell ref="S72:T72"/>
    <mergeCell ref="S73:T73"/>
    <mergeCell ref="S74:T74"/>
    <mergeCell ref="S75:T75"/>
    <mergeCell ref="S76:T76"/>
    <mergeCell ref="S77:T77"/>
    <mergeCell ref="S78:T78"/>
    <mergeCell ref="O586:Q586"/>
    <mergeCell ref="O587:Q587"/>
    <mergeCell ref="O588:Q588"/>
    <mergeCell ref="O589:Q589"/>
    <mergeCell ref="O590:Q590"/>
    <mergeCell ref="O591:Q591"/>
    <mergeCell ref="O592:Q592"/>
    <mergeCell ref="O593:Q593"/>
    <mergeCell ref="S88:T88"/>
    <mergeCell ref="S89:T89"/>
    <mergeCell ref="S90:T90"/>
    <mergeCell ref="S91:T91"/>
    <mergeCell ref="S92:T92"/>
    <mergeCell ref="S93:T93"/>
    <mergeCell ref="S94:T94"/>
    <mergeCell ref="S95:T95"/>
    <mergeCell ref="S96:T96"/>
    <mergeCell ref="S79:T79"/>
    <mergeCell ref="S80:T80"/>
    <mergeCell ref="S81:T81"/>
    <mergeCell ref="S82:T82"/>
    <mergeCell ref="S83:T83"/>
    <mergeCell ref="S84:T84"/>
    <mergeCell ref="S85:T85"/>
    <mergeCell ref="S86:T86"/>
    <mergeCell ref="S87:T87"/>
    <mergeCell ref="S106:T106"/>
    <mergeCell ref="S107:T107"/>
    <mergeCell ref="S108:T108"/>
    <mergeCell ref="S109:T109"/>
    <mergeCell ref="S110:T110"/>
    <mergeCell ref="S111:T111"/>
    <mergeCell ref="S112:T112"/>
    <mergeCell ref="S113:T113"/>
    <mergeCell ref="S114:T114"/>
    <mergeCell ref="S97:T97"/>
    <mergeCell ref="S98:T98"/>
    <mergeCell ref="S99:T99"/>
    <mergeCell ref="S100:T100"/>
    <mergeCell ref="S101:T101"/>
    <mergeCell ref="S102:T102"/>
    <mergeCell ref="S103:T103"/>
    <mergeCell ref="S104:T104"/>
    <mergeCell ref="S105:T105"/>
    <mergeCell ref="S124:T124"/>
    <mergeCell ref="S125:T125"/>
    <mergeCell ref="S126:T126"/>
    <mergeCell ref="S127:T127"/>
    <mergeCell ref="S128:T128"/>
    <mergeCell ref="S129:T129"/>
    <mergeCell ref="S130:T130"/>
    <mergeCell ref="S131:T131"/>
    <mergeCell ref="S132:T132"/>
    <mergeCell ref="S115:T115"/>
    <mergeCell ref="S116:T116"/>
    <mergeCell ref="S117:T117"/>
    <mergeCell ref="S118:T118"/>
    <mergeCell ref="S119:T119"/>
    <mergeCell ref="S120:T120"/>
    <mergeCell ref="S121:T121"/>
    <mergeCell ref="S122:T122"/>
    <mergeCell ref="S123:T123"/>
    <mergeCell ref="S142:T142"/>
    <mergeCell ref="S143:T143"/>
    <mergeCell ref="S144:T144"/>
    <mergeCell ref="S145:T145"/>
    <mergeCell ref="S146:T146"/>
    <mergeCell ref="S147:T147"/>
    <mergeCell ref="S148:T148"/>
    <mergeCell ref="S149:T149"/>
    <mergeCell ref="S150:T150"/>
    <mergeCell ref="S133:T133"/>
    <mergeCell ref="S134:T134"/>
    <mergeCell ref="S135:T135"/>
    <mergeCell ref="S136:T136"/>
    <mergeCell ref="S137:T137"/>
    <mergeCell ref="S138:T138"/>
    <mergeCell ref="S139:T139"/>
    <mergeCell ref="S140:T140"/>
    <mergeCell ref="S141:T141"/>
    <mergeCell ref="S160:T160"/>
    <mergeCell ref="S161:T161"/>
    <mergeCell ref="S162:T162"/>
    <mergeCell ref="S163:T163"/>
    <mergeCell ref="S164:T164"/>
    <mergeCell ref="S165:T165"/>
    <mergeCell ref="S166:T166"/>
    <mergeCell ref="S167:T167"/>
    <mergeCell ref="S168:T168"/>
    <mergeCell ref="S151:T151"/>
    <mergeCell ref="S152:T152"/>
    <mergeCell ref="S153:T153"/>
    <mergeCell ref="S154:T154"/>
    <mergeCell ref="S155:T155"/>
    <mergeCell ref="S156:T156"/>
    <mergeCell ref="S157:T157"/>
    <mergeCell ref="S158:T158"/>
    <mergeCell ref="S159:T159"/>
    <mergeCell ref="S178:T178"/>
    <mergeCell ref="S179:T179"/>
    <mergeCell ref="S180:T180"/>
    <mergeCell ref="S181:T181"/>
    <mergeCell ref="S182:T182"/>
    <mergeCell ref="S183:T183"/>
    <mergeCell ref="S184:T184"/>
    <mergeCell ref="S185:T185"/>
    <mergeCell ref="S186:T186"/>
    <mergeCell ref="S169:T169"/>
    <mergeCell ref="S170:T170"/>
    <mergeCell ref="S171:T171"/>
    <mergeCell ref="S172:T172"/>
    <mergeCell ref="S173:T173"/>
    <mergeCell ref="S174:T174"/>
    <mergeCell ref="S175:T175"/>
    <mergeCell ref="S176:T176"/>
    <mergeCell ref="S177:T177"/>
    <mergeCell ref="S196:T196"/>
    <mergeCell ref="S197:T197"/>
    <mergeCell ref="S198:T198"/>
    <mergeCell ref="S199:T199"/>
    <mergeCell ref="S200:T200"/>
    <mergeCell ref="S201:T201"/>
    <mergeCell ref="S202:T202"/>
    <mergeCell ref="S203:T203"/>
    <mergeCell ref="S204:T204"/>
    <mergeCell ref="S187:T187"/>
    <mergeCell ref="S188:T188"/>
    <mergeCell ref="S189:T189"/>
    <mergeCell ref="S190:T190"/>
    <mergeCell ref="S191:T191"/>
    <mergeCell ref="S192:T192"/>
    <mergeCell ref="S193:T193"/>
    <mergeCell ref="S194:T194"/>
    <mergeCell ref="S195:T195"/>
    <mergeCell ref="S214:T214"/>
    <mergeCell ref="S215:T215"/>
    <mergeCell ref="S216:T216"/>
    <mergeCell ref="S217:T217"/>
    <mergeCell ref="S218:T218"/>
    <mergeCell ref="S219:T219"/>
    <mergeCell ref="S220:T220"/>
    <mergeCell ref="S221:T221"/>
    <mergeCell ref="S222:T222"/>
    <mergeCell ref="S205:T205"/>
    <mergeCell ref="S206:T206"/>
    <mergeCell ref="S207:T207"/>
    <mergeCell ref="S208:T208"/>
    <mergeCell ref="S209:T209"/>
    <mergeCell ref="S210:T210"/>
    <mergeCell ref="S211:T211"/>
    <mergeCell ref="S212:T212"/>
    <mergeCell ref="S213:T213"/>
    <mergeCell ref="S232:T232"/>
    <mergeCell ref="S233:T233"/>
    <mergeCell ref="S234:T234"/>
    <mergeCell ref="S235:T235"/>
    <mergeCell ref="S236:T236"/>
    <mergeCell ref="S237:T237"/>
    <mergeCell ref="S238:T238"/>
    <mergeCell ref="S239:T239"/>
    <mergeCell ref="S240:T240"/>
    <mergeCell ref="S223:T223"/>
    <mergeCell ref="S224:T224"/>
    <mergeCell ref="S225:T225"/>
    <mergeCell ref="S226:T226"/>
    <mergeCell ref="S227:T227"/>
    <mergeCell ref="S228:T228"/>
    <mergeCell ref="S229:T229"/>
    <mergeCell ref="S230:T230"/>
    <mergeCell ref="S231:T231"/>
    <mergeCell ref="S250:T250"/>
    <mergeCell ref="S251:T251"/>
    <mergeCell ref="S252:T252"/>
    <mergeCell ref="S253:T253"/>
    <mergeCell ref="S254:T254"/>
    <mergeCell ref="S255:T255"/>
    <mergeCell ref="S256:T256"/>
    <mergeCell ref="S257:T257"/>
    <mergeCell ref="S258:T258"/>
    <mergeCell ref="S241:T241"/>
    <mergeCell ref="S242:T242"/>
    <mergeCell ref="S243:T243"/>
    <mergeCell ref="S244:T244"/>
    <mergeCell ref="S245:T245"/>
    <mergeCell ref="S246:T246"/>
    <mergeCell ref="S247:T247"/>
    <mergeCell ref="S248:T248"/>
    <mergeCell ref="S249:T249"/>
    <mergeCell ref="S268:T268"/>
    <mergeCell ref="S269:T269"/>
    <mergeCell ref="S270:T270"/>
    <mergeCell ref="S271:T271"/>
    <mergeCell ref="S272:T272"/>
    <mergeCell ref="S273:T273"/>
    <mergeCell ref="S274:T274"/>
    <mergeCell ref="S275:T275"/>
    <mergeCell ref="S276:T276"/>
    <mergeCell ref="S259:T259"/>
    <mergeCell ref="S260:T260"/>
    <mergeCell ref="S261:T261"/>
    <mergeCell ref="S262:T262"/>
    <mergeCell ref="S263:T263"/>
    <mergeCell ref="S264:T264"/>
    <mergeCell ref="S265:T265"/>
    <mergeCell ref="S266:T266"/>
    <mergeCell ref="S267:T267"/>
    <mergeCell ref="S286:T286"/>
    <mergeCell ref="S287:T287"/>
    <mergeCell ref="S288:T288"/>
    <mergeCell ref="S289:T289"/>
    <mergeCell ref="S290:T290"/>
    <mergeCell ref="S291:T291"/>
    <mergeCell ref="S292:T292"/>
    <mergeCell ref="S293:T293"/>
    <mergeCell ref="S294:T294"/>
    <mergeCell ref="S277:T277"/>
    <mergeCell ref="S278:T278"/>
    <mergeCell ref="S279:T279"/>
    <mergeCell ref="S280:T280"/>
    <mergeCell ref="S281:T281"/>
    <mergeCell ref="S282:T282"/>
    <mergeCell ref="S283:T283"/>
    <mergeCell ref="S284:T284"/>
    <mergeCell ref="S285:T285"/>
    <mergeCell ref="S304:T304"/>
    <mergeCell ref="S305:T305"/>
    <mergeCell ref="S306:T306"/>
    <mergeCell ref="S307:T307"/>
    <mergeCell ref="S308:T308"/>
    <mergeCell ref="S309:T309"/>
    <mergeCell ref="S310:T310"/>
    <mergeCell ref="S311:T311"/>
    <mergeCell ref="S312:T312"/>
    <mergeCell ref="S295:T295"/>
    <mergeCell ref="S296:T296"/>
    <mergeCell ref="S297:T297"/>
    <mergeCell ref="S298:T298"/>
    <mergeCell ref="S299:T299"/>
    <mergeCell ref="S300:T300"/>
    <mergeCell ref="S301:T301"/>
    <mergeCell ref="S302:T302"/>
    <mergeCell ref="S303:T303"/>
    <mergeCell ref="S322:T322"/>
    <mergeCell ref="S323:T323"/>
    <mergeCell ref="S324:T324"/>
    <mergeCell ref="S325:T325"/>
    <mergeCell ref="S326:T326"/>
    <mergeCell ref="S327:T327"/>
    <mergeCell ref="S328:T328"/>
    <mergeCell ref="S329:T329"/>
    <mergeCell ref="S330:T330"/>
    <mergeCell ref="S313:T313"/>
    <mergeCell ref="S314:T314"/>
    <mergeCell ref="S315:T315"/>
    <mergeCell ref="S316:T316"/>
    <mergeCell ref="S317:T317"/>
    <mergeCell ref="S318:T318"/>
    <mergeCell ref="S319:T319"/>
    <mergeCell ref="S320:T320"/>
    <mergeCell ref="S321:T321"/>
    <mergeCell ref="S340:T340"/>
    <mergeCell ref="S341:T341"/>
    <mergeCell ref="S342:T342"/>
    <mergeCell ref="S343:T343"/>
    <mergeCell ref="S344:T344"/>
    <mergeCell ref="S345:T345"/>
    <mergeCell ref="S346:T346"/>
    <mergeCell ref="S347:T347"/>
    <mergeCell ref="S348:T348"/>
    <mergeCell ref="S331:T331"/>
    <mergeCell ref="S332:T332"/>
    <mergeCell ref="S333:T333"/>
    <mergeCell ref="S334:T334"/>
    <mergeCell ref="S335:T335"/>
    <mergeCell ref="S336:T336"/>
    <mergeCell ref="S337:T337"/>
    <mergeCell ref="S338:T338"/>
    <mergeCell ref="S339:T339"/>
    <mergeCell ref="S358:T358"/>
    <mergeCell ref="S359:T359"/>
    <mergeCell ref="S360:T360"/>
    <mergeCell ref="S361:T361"/>
    <mergeCell ref="S362:T362"/>
    <mergeCell ref="S363:T363"/>
    <mergeCell ref="S364:T364"/>
    <mergeCell ref="S365:T365"/>
    <mergeCell ref="S366:T366"/>
    <mergeCell ref="S349:T349"/>
    <mergeCell ref="S350:T350"/>
    <mergeCell ref="S351:T351"/>
    <mergeCell ref="S352:T352"/>
    <mergeCell ref="S353:T353"/>
    <mergeCell ref="S354:T354"/>
    <mergeCell ref="S355:T355"/>
    <mergeCell ref="S356:T356"/>
    <mergeCell ref="S357:T357"/>
    <mergeCell ref="S376:T376"/>
    <mergeCell ref="S377:T377"/>
    <mergeCell ref="S378:T378"/>
    <mergeCell ref="S379:T379"/>
    <mergeCell ref="S380:T380"/>
    <mergeCell ref="S381:T381"/>
    <mergeCell ref="S382:T382"/>
    <mergeCell ref="S383:T383"/>
    <mergeCell ref="S384:T384"/>
    <mergeCell ref="S367:T367"/>
    <mergeCell ref="S368:T368"/>
    <mergeCell ref="S369:T369"/>
    <mergeCell ref="S370:T370"/>
    <mergeCell ref="S371:T371"/>
    <mergeCell ref="S372:T372"/>
    <mergeCell ref="S373:T373"/>
    <mergeCell ref="S374:T374"/>
    <mergeCell ref="S375:T375"/>
    <mergeCell ref="S394:T394"/>
    <mergeCell ref="S395:T395"/>
    <mergeCell ref="S396:T396"/>
    <mergeCell ref="S397:T397"/>
    <mergeCell ref="S398:T398"/>
    <mergeCell ref="S399:T399"/>
    <mergeCell ref="S400:T400"/>
    <mergeCell ref="S401:T401"/>
    <mergeCell ref="S402:T402"/>
    <mergeCell ref="S385:T385"/>
    <mergeCell ref="S386:T386"/>
    <mergeCell ref="S387:T387"/>
    <mergeCell ref="S388:T388"/>
    <mergeCell ref="S389:T389"/>
    <mergeCell ref="S390:T390"/>
    <mergeCell ref="S391:T391"/>
    <mergeCell ref="S392:T392"/>
    <mergeCell ref="S393:T393"/>
    <mergeCell ref="S412:T412"/>
    <mergeCell ref="S413:T413"/>
    <mergeCell ref="S414:T414"/>
    <mergeCell ref="S415:T415"/>
    <mergeCell ref="S416:T416"/>
    <mergeCell ref="S417:T417"/>
    <mergeCell ref="S418:T418"/>
    <mergeCell ref="S419:T419"/>
    <mergeCell ref="S420:T420"/>
    <mergeCell ref="S403:T403"/>
    <mergeCell ref="S404:T404"/>
    <mergeCell ref="S405:T405"/>
    <mergeCell ref="S406:T406"/>
    <mergeCell ref="S407:T407"/>
    <mergeCell ref="S408:T408"/>
    <mergeCell ref="S409:T409"/>
    <mergeCell ref="S410:T410"/>
    <mergeCell ref="S411:T411"/>
    <mergeCell ref="S430:T430"/>
    <mergeCell ref="S431:T431"/>
    <mergeCell ref="S432:T432"/>
    <mergeCell ref="S433:T433"/>
    <mergeCell ref="S434:T434"/>
    <mergeCell ref="S435:T435"/>
    <mergeCell ref="S436:T436"/>
    <mergeCell ref="S437:T437"/>
    <mergeCell ref="S438:T438"/>
    <mergeCell ref="S421:T421"/>
    <mergeCell ref="S422:T422"/>
    <mergeCell ref="S423:T423"/>
    <mergeCell ref="S424:T424"/>
    <mergeCell ref="S425:T425"/>
    <mergeCell ref="S426:T426"/>
    <mergeCell ref="S427:T427"/>
    <mergeCell ref="S428:T428"/>
    <mergeCell ref="S429:T429"/>
    <mergeCell ref="S448:T448"/>
    <mergeCell ref="S449:T449"/>
    <mergeCell ref="S450:T450"/>
    <mergeCell ref="S451:T451"/>
    <mergeCell ref="S452:T452"/>
    <mergeCell ref="S453:T453"/>
    <mergeCell ref="S454:T454"/>
    <mergeCell ref="S455:T455"/>
    <mergeCell ref="S456:T456"/>
    <mergeCell ref="S439:T439"/>
    <mergeCell ref="S440:T440"/>
    <mergeCell ref="S441:T441"/>
    <mergeCell ref="S442:T442"/>
    <mergeCell ref="S443:T443"/>
    <mergeCell ref="S444:T444"/>
    <mergeCell ref="S445:T445"/>
    <mergeCell ref="S446:T446"/>
    <mergeCell ref="S447:T447"/>
    <mergeCell ref="S466:T466"/>
    <mergeCell ref="S467:T467"/>
    <mergeCell ref="S468:T468"/>
    <mergeCell ref="S469:T469"/>
    <mergeCell ref="S470:T470"/>
    <mergeCell ref="S471:T471"/>
    <mergeCell ref="S472:T472"/>
    <mergeCell ref="S473:T473"/>
    <mergeCell ref="S474:T474"/>
    <mergeCell ref="S457:T457"/>
    <mergeCell ref="S458:T458"/>
    <mergeCell ref="S459:T459"/>
    <mergeCell ref="S460:T460"/>
    <mergeCell ref="S461:T461"/>
    <mergeCell ref="S462:T462"/>
    <mergeCell ref="S463:T463"/>
    <mergeCell ref="S464:T464"/>
    <mergeCell ref="S465:T465"/>
    <mergeCell ref="S484:T484"/>
    <mergeCell ref="S485:T485"/>
    <mergeCell ref="S486:T486"/>
    <mergeCell ref="S487:T487"/>
    <mergeCell ref="S488:T488"/>
    <mergeCell ref="S489:T489"/>
    <mergeCell ref="S490:T490"/>
    <mergeCell ref="S491:T491"/>
    <mergeCell ref="S492:T492"/>
    <mergeCell ref="S475:T475"/>
    <mergeCell ref="S476:T476"/>
    <mergeCell ref="S477:T477"/>
    <mergeCell ref="S478:T478"/>
    <mergeCell ref="S479:T479"/>
    <mergeCell ref="S480:T480"/>
    <mergeCell ref="S481:T481"/>
    <mergeCell ref="S482:T482"/>
    <mergeCell ref="S483:T483"/>
    <mergeCell ref="S502:T502"/>
    <mergeCell ref="S503:T503"/>
    <mergeCell ref="S504:T504"/>
    <mergeCell ref="S505:T505"/>
    <mergeCell ref="S506:T506"/>
    <mergeCell ref="S507:T507"/>
    <mergeCell ref="S508:T508"/>
    <mergeCell ref="S509:T509"/>
    <mergeCell ref="S510:T510"/>
    <mergeCell ref="S493:T493"/>
    <mergeCell ref="S494:T494"/>
    <mergeCell ref="S495:T495"/>
    <mergeCell ref="S496:T496"/>
    <mergeCell ref="S497:T497"/>
    <mergeCell ref="S498:T498"/>
    <mergeCell ref="S499:T499"/>
    <mergeCell ref="S500:T500"/>
    <mergeCell ref="S501:T501"/>
    <mergeCell ref="S520:T520"/>
    <mergeCell ref="S521:T521"/>
    <mergeCell ref="S522:T522"/>
    <mergeCell ref="S523:T523"/>
    <mergeCell ref="S524:T524"/>
    <mergeCell ref="S525:T525"/>
    <mergeCell ref="S526:T526"/>
    <mergeCell ref="S527:T527"/>
    <mergeCell ref="S528:T528"/>
    <mergeCell ref="S511:T511"/>
    <mergeCell ref="S512:T512"/>
    <mergeCell ref="S513:T513"/>
    <mergeCell ref="S514:T514"/>
    <mergeCell ref="S515:T515"/>
    <mergeCell ref="S516:T516"/>
    <mergeCell ref="S517:T517"/>
    <mergeCell ref="S518:T518"/>
    <mergeCell ref="S519:T519"/>
    <mergeCell ref="S538:T538"/>
    <mergeCell ref="S539:T539"/>
    <mergeCell ref="S540:T540"/>
    <mergeCell ref="S541:T541"/>
    <mergeCell ref="S542:T542"/>
    <mergeCell ref="S543:T543"/>
    <mergeCell ref="S544:T544"/>
    <mergeCell ref="S545:T545"/>
    <mergeCell ref="S546:T546"/>
    <mergeCell ref="S529:T529"/>
    <mergeCell ref="S530:T530"/>
    <mergeCell ref="S531:T531"/>
    <mergeCell ref="S532:T532"/>
    <mergeCell ref="S533:T533"/>
    <mergeCell ref="S534:T534"/>
    <mergeCell ref="S535:T535"/>
    <mergeCell ref="S536:T536"/>
    <mergeCell ref="S537:T537"/>
    <mergeCell ref="S556:T556"/>
    <mergeCell ref="S557:T557"/>
    <mergeCell ref="S558:T558"/>
    <mergeCell ref="S559:T559"/>
    <mergeCell ref="S560:T560"/>
    <mergeCell ref="S561:T561"/>
    <mergeCell ref="S562:T562"/>
    <mergeCell ref="S563:T563"/>
    <mergeCell ref="S564:T564"/>
    <mergeCell ref="S547:T547"/>
    <mergeCell ref="S548:T548"/>
    <mergeCell ref="S549:T549"/>
    <mergeCell ref="S550:T550"/>
    <mergeCell ref="S551:T551"/>
    <mergeCell ref="S552:T552"/>
    <mergeCell ref="S553:T553"/>
    <mergeCell ref="S554:T554"/>
    <mergeCell ref="S555:T555"/>
    <mergeCell ref="S574:T574"/>
    <mergeCell ref="S575:T575"/>
    <mergeCell ref="S576:T576"/>
    <mergeCell ref="S577:T577"/>
    <mergeCell ref="S578:T578"/>
    <mergeCell ref="S579:T579"/>
    <mergeCell ref="S580:T580"/>
    <mergeCell ref="S581:T581"/>
    <mergeCell ref="S582:T582"/>
    <mergeCell ref="S565:T565"/>
    <mergeCell ref="S566:T566"/>
    <mergeCell ref="S567:T567"/>
    <mergeCell ref="S568:T568"/>
    <mergeCell ref="S569:T569"/>
    <mergeCell ref="S570:T570"/>
    <mergeCell ref="S571:T571"/>
    <mergeCell ref="S572:T572"/>
    <mergeCell ref="S573:T573"/>
    <mergeCell ref="S592:T592"/>
    <mergeCell ref="S593:T593"/>
    <mergeCell ref="S594:T594"/>
    <mergeCell ref="S595:T595"/>
    <mergeCell ref="S596:T596"/>
    <mergeCell ref="S597:T597"/>
    <mergeCell ref="S598:T598"/>
    <mergeCell ref="S599:T599"/>
    <mergeCell ref="S600:T600"/>
    <mergeCell ref="S583:T583"/>
    <mergeCell ref="S584:T584"/>
    <mergeCell ref="S585:T585"/>
    <mergeCell ref="S586:T586"/>
    <mergeCell ref="S587:T587"/>
    <mergeCell ref="S588:T588"/>
    <mergeCell ref="S589:T589"/>
    <mergeCell ref="S590:T590"/>
    <mergeCell ref="S591:T591"/>
  </mergeCells>
  <conditionalFormatting sqref="D30:F30">
    <cfRule type="expression" dxfId="0" priority="2">
      <formula>ROUND($D$30,2)&lt;&gt;ROUND($K$30,2)</formula>
    </cfRule>
  </conditionalFormatting>
  <printOptions horizontalCentered="1" verticalCentered="1"/>
  <pageMargins left="0.20972222222222223" right="0.25" top="0.19027777777777777" bottom="0.25" header="0.51180555555555551" footer="0.51180555555555551"/>
  <pageSetup paperSize="5" scale="98" firstPageNumber="0" orientation="portrait" r:id="rId1"/>
  <headerFooter alignWithMargins="0"/>
  <rowBreaks count="1" manualBreakCount="1">
    <brk id="63" max="16383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56"/>
  <sheetViews>
    <sheetView topLeftCell="A29" zoomScale="115" zoomScaleNormal="115" workbookViewId="0">
      <selection activeCell="C2" sqref="C2:D21"/>
    </sheetView>
  </sheetViews>
  <sheetFormatPr defaultRowHeight="12.5"/>
  <cols>
    <col min="2" max="2" width="28.54296875" bestFit="1" customWidth="1"/>
    <col min="3" max="3" width="9.1796875" style="39" customWidth="1"/>
    <col min="4" max="4" width="9.1796875" style="2"/>
    <col min="5" max="5" width="16.453125" style="2" customWidth="1"/>
    <col min="6" max="6" width="14.453125" style="43" bestFit="1" customWidth="1"/>
    <col min="7" max="7" width="14.453125" style="43" customWidth="1"/>
    <col min="8" max="8" width="29.1796875" bestFit="1" customWidth="1"/>
    <col min="9" max="9" width="22" style="43" bestFit="1" customWidth="1"/>
    <col min="11" max="11" width="29.1796875" bestFit="1" customWidth="1"/>
    <col min="12" max="12" width="22.81640625" style="48" bestFit="1" customWidth="1"/>
  </cols>
  <sheetData>
    <row r="1" spans="1:12" s="2" customFormat="1">
      <c r="A1" s="2" t="s">
        <v>313</v>
      </c>
      <c r="B1" s="2" t="s">
        <v>18</v>
      </c>
      <c r="C1" s="39" t="s">
        <v>314</v>
      </c>
      <c r="L1" s="47"/>
    </row>
    <row r="2" spans="1:12" ht="13">
      <c r="A2" s="33" t="s">
        <v>89</v>
      </c>
      <c r="B2" s="34" t="s">
        <v>90</v>
      </c>
      <c r="C2" s="40">
        <v>8</v>
      </c>
    </row>
    <row r="3" spans="1:12" ht="13">
      <c r="A3" s="33" t="s">
        <v>91</v>
      </c>
      <c r="B3" s="34" t="s">
        <v>92</v>
      </c>
      <c r="C3" s="40">
        <v>7</v>
      </c>
    </row>
    <row r="4" spans="1:12" ht="13">
      <c r="A4" s="33" t="s">
        <v>93</v>
      </c>
      <c r="B4" s="34" t="s">
        <v>94</v>
      </c>
      <c r="C4" s="40" t="s">
        <v>95</v>
      </c>
    </row>
    <row r="5" spans="1:12" ht="13">
      <c r="A5" s="33" t="s">
        <v>96</v>
      </c>
      <c r="B5" s="34" t="s">
        <v>94</v>
      </c>
      <c r="C5" s="40" t="s">
        <v>97</v>
      </c>
    </row>
    <row r="6" spans="1:12" ht="13">
      <c r="A6" s="33" t="s">
        <v>63</v>
      </c>
      <c r="B6" s="34" t="s">
        <v>94</v>
      </c>
      <c r="C6" s="40" t="s">
        <v>98</v>
      </c>
    </row>
    <row r="7" spans="1:12" ht="13">
      <c r="A7" s="33" t="s">
        <v>99</v>
      </c>
      <c r="B7" s="34" t="s">
        <v>94</v>
      </c>
      <c r="C7" s="40">
        <v>8</v>
      </c>
    </row>
    <row r="8" spans="1:12" ht="13">
      <c r="A8" s="33" t="s">
        <v>100</v>
      </c>
      <c r="B8" s="34" t="s">
        <v>101</v>
      </c>
      <c r="C8" s="40">
        <v>8</v>
      </c>
    </row>
    <row r="9" spans="1:12" ht="13">
      <c r="A9" s="33" t="s">
        <v>102</v>
      </c>
      <c r="B9" s="34" t="s">
        <v>101</v>
      </c>
      <c r="C9" s="40">
        <v>8</v>
      </c>
    </row>
    <row r="10" spans="1:12" ht="13">
      <c r="A10" s="33" t="s">
        <v>103</v>
      </c>
      <c r="B10" s="34" t="s">
        <v>104</v>
      </c>
      <c r="C10" s="40">
        <v>7</v>
      </c>
    </row>
    <row r="11" spans="1:12" ht="13">
      <c r="A11" s="33" t="s">
        <v>105</v>
      </c>
      <c r="B11" s="34" t="s">
        <v>104</v>
      </c>
      <c r="C11" s="40">
        <v>8</v>
      </c>
    </row>
    <row r="12" spans="1:12" ht="13">
      <c r="A12" s="33" t="s">
        <v>106</v>
      </c>
      <c r="B12" s="34" t="s">
        <v>107</v>
      </c>
      <c r="C12" s="40" t="s">
        <v>98</v>
      </c>
    </row>
    <row r="13" spans="1:12" ht="13">
      <c r="A13" s="33" t="s">
        <v>108</v>
      </c>
      <c r="B13" s="34" t="s">
        <v>109</v>
      </c>
      <c r="C13" s="40" t="s">
        <v>98</v>
      </c>
    </row>
    <row r="14" spans="1:12" ht="13">
      <c r="A14" s="33" t="s">
        <v>110</v>
      </c>
      <c r="B14" s="34" t="s">
        <v>111</v>
      </c>
      <c r="C14" s="40" t="s">
        <v>112</v>
      </c>
    </row>
    <row r="15" spans="1:12" ht="13">
      <c r="A15" s="33" t="s">
        <v>113</v>
      </c>
      <c r="B15" s="34" t="s">
        <v>111</v>
      </c>
      <c r="C15" s="40" t="s">
        <v>112</v>
      </c>
    </row>
    <row r="16" spans="1:12" ht="13">
      <c r="A16" s="41" t="s">
        <v>114</v>
      </c>
      <c r="B16" s="34" t="s">
        <v>115</v>
      </c>
      <c r="C16" s="40" t="s">
        <v>112</v>
      </c>
    </row>
    <row r="17" spans="1:3" ht="13">
      <c r="A17" s="41" t="s">
        <v>116</v>
      </c>
      <c r="B17" s="42" t="s">
        <v>115</v>
      </c>
      <c r="C17" s="40" t="s">
        <v>112</v>
      </c>
    </row>
    <row r="18" spans="1:3" ht="13">
      <c r="A18" s="33" t="s">
        <v>117</v>
      </c>
      <c r="B18" s="34" t="s">
        <v>115</v>
      </c>
      <c r="C18" s="40" t="s">
        <v>112</v>
      </c>
    </row>
    <row r="19" spans="1:3" ht="13">
      <c r="A19" s="33" t="s">
        <v>118</v>
      </c>
      <c r="B19" s="34" t="s">
        <v>115</v>
      </c>
      <c r="C19" s="40" t="s">
        <v>112</v>
      </c>
    </row>
    <row r="20" spans="1:3" ht="13">
      <c r="A20" s="33" t="s">
        <v>119</v>
      </c>
      <c r="B20" s="34" t="s">
        <v>115</v>
      </c>
      <c r="C20" s="40" t="s">
        <v>97</v>
      </c>
    </row>
    <row r="21" spans="1:3" ht="13">
      <c r="A21" s="33" t="s">
        <v>120</v>
      </c>
      <c r="B21" s="34" t="s">
        <v>115</v>
      </c>
      <c r="C21" s="40" t="s">
        <v>98</v>
      </c>
    </row>
    <row r="22" spans="1:3" ht="13">
      <c r="A22" s="33" t="s">
        <v>121</v>
      </c>
      <c r="B22" s="34" t="s">
        <v>122</v>
      </c>
      <c r="C22" s="40">
        <v>8</v>
      </c>
    </row>
    <row r="23" spans="1:3" ht="13">
      <c r="A23" s="33" t="s">
        <v>123</v>
      </c>
      <c r="B23" s="34" t="s">
        <v>124</v>
      </c>
      <c r="C23" s="40">
        <v>7</v>
      </c>
    </row>
    <row r="24" spans="1:3" ht="13">
      <c r="A24" s="33" t="s">
        <v>125</v>
      </c>
      <c r="B24" s="34" t="s">
        <v>124</v>
      </c>
      <c r="C24" s="40">
        <v>8</v>
      </c>
    </row>
    <row r="25" spans="1:3" ht="13">
      <c r="A25" s="33" t="s">
        <v>126</v>
      </c>
      <c r="B25" s="34" t="s">
        <v>127</v>
      </c>
      <c r="C25" s="40" t="s">
        <v>95</v>
      </c>
    </row>
    <row r="26" spans="1:3" ht="13">
      <c r="A26" s="33" t="s">
        <v>128</v>
      </c>
      <c r="B26" s="34" t="s">
        <v>127</v>
      </c>
      <c r="C26" s="40" t="s">
        <v>97</v>
      </c>
    </row>
    <row r="27" spans="1:3" ht="13">
      <c r="A27" s="33" t="s">
        <v>129</v>
      </c>
      <c r="B27" s="34" t="s">
        <v>130</v>
      </c>
      <c r="C27" s="40" t="s">
        <v>95</v>
      </c>
    </row>
    <row r="28" spans="1:3" ht="13">
      <c r="A28" s="33" t="s">
        <v>131</v>
      </c>
      <c r="B28" s="34" t="s">
        <v>130</v>
      </c>
      <c r="C28" s="40" t="s">
        <v>97</v>
      </c>
    </row>
    <row r="29" spans="1:3" ht="13">
      <c r="A29" s="33" t="s">
        <v>132</v>
      </c>
      <c r="B29" s="34" t="s">
        <v>130</v>
      </c>
      <c r="C29" s="40" t="s">
        <v>98</v>
      </c>
    </row>
    <row r="30" spans="1:3" ht="13">
      <c r="A30" s="33" t="s">
        <v>133</v>
      </c>
      <c r="B30" s="34" t="s">
        <v>134</v>
      </c>
      <c r="C30" s="40" t="s">
        <v>97</v>
      </c>
    </row>
    <row r="31" spans="1:3" ht="13">
      <c r="A31" s="33" t="s">
        <v>135</v>
      </c>
      <c r="B31" s="34" t="s">
        <v>134</v>
      </c>
      <c r="C31" s="40">
        <v>7</v>
      </c>
    </row>
    <row r="32" spans="1:3" ht="13">
      <c r="A32" s="33" t="s">
        <v>136</v>
      </c>
      <c r="B32" s="34" t="s">
        <v>137</v>
      </c>
      <c r="C32" s="40" t="s">
        <v>98</v>
      </c>
    </row>
    <row r="33" spans="1:3" ht="13">
      <c r="A33" s="33" t="s">
        <v>138</v>
      </c>
      <c r="B33" s="34" t="s">
        <v>139</v>
      </c>
      <c r="C33" s="40" t="s">
        <v>140</v>
      </c>
    </row>
    <row r="34" spans="1:3" ht="13">
      <c r="A34" s="33" t="s">
        <v>141</v>
      </c>
      <c r="B34" s="34" t="s">
        <v>142</v>
      </c>
      <c r="C34" s="40">
        <v>7</v>
      </c>
    </row>
    <row r="35" spans="1:3" ht="13">
      <c r="A35" s="33" t="s">
        <v>143</v>
      </c>
      <c r="B35" s="34" t="s">
        <v>142</v>
      </c>
      <c r="C35" s="40">
        <v>8</v>
      </c>
    </row>
    <row r="36" spans="1:3" ht="13">
      <c r="A36" s="33" t="s">
        <v>144</v>
      </c>
      <c r="B36" s="34" t="s">
        <v>142</v>
      </c>
      <c r="C36" s="40">
        <v>8</v>
      </c>
    </row>
    <row r="37" spans="1:3" ht="13">
      <c r="A37" s="33" t="s">
        <v>145</v>
      </c>
      <c r="B37" s="34" t="s">
        <v>142</v>
      </c>
      <c r="C37" s="40">
        <v>9</v>
      </c>
    </row>
    <row r="38" spans="1:3" ht="13">
      <c r="A38" s="33" t="s">
        <v>65</v>
      </c>
      <c r="B38" s="34" t="s">
        <v>146</v>
      </c>
      <c r="C38" s="40">
        <v>9</v>
      </c>
    </row>
    <row r="39" spans="1:3" ht="13">
      <c r="A39" s="33" t="s">
        <v>147</v>
      </c>
      <c r="B39" s="34" t="s">
        <v>148</v>
      </c>
      <c r="C39" s="40">
        <v>7</v>
      </c>
    </row>
    <row r="40" spans="1:3" ht="13">
      <c r="A40" s="33" t="s">
        <v>149</v>
      </c>
      <c r="B40" s="34" t="s">
        <v>150</v>
      </c>
      <c r="C40" s="40" t="s">
        <v>98</v>
      </c>
    </row>
    <row r="41" spans="1:3" ht="13">
      <c r="A41" s="33" t="s">
        <v>151</v>
      </c>
      <c r="B41" s="34" t="s">
        <v>152</v>
      </c>
      <c r="C41" s="40" t="s">
        <v>153</v>
      </c>
    </row>
    <row r="42" spans="1:3" ht="13">
      <c r="A42" s="33" t="s">
        <v>154</v>
      </c>
      <c r="B42" s="34" t="s">
        <v>155</v>
      </c>
      <c r="C42" s="40">
        <v>8</v>
      </c>
    </row>
    <row r="43" spans="1:3" ht="13">
      <c r="A43" s="33" t="s">
        <v>156</v>
      </c>
      <c r="B43" s="34" t="s">
        <v>157</v>
      </c>
      <c r="C43" s="40" t="s">
        <v>95</v>
      </c>
    </row>
    <row r="44" spans="1:3" ht="13">
      <c r="A44" s="33" t="s">
        <v>158</v>
      </c>
      <c r="B44" s="34" t="s">
        <v>157</v>
      </c>
      <c r="C44" s="40" t="s">
        <v>95</v>
      </c>
    </row>
    <row r="45" spans="1:3" ht="13">
      <c r="A45" s="33" t="s">
        <v>159</v>
      </c>
      <c r="B45" s="34" t="s">
        <v>160</v>
      </c>
      <c r="C45" s="40" t="s">
        <v>161</v>
      </c>
    </row>
    <row r="46" spans="1:3" ht="13">
      <c r="A46" s="33" t="s">
        <v>162</v>
      </c>
      <c r="B46" s="34" t="s">
        <v>160</v>
      </c>
      <c r="C46" s="40" t="s">
        <v>140</v>
      </c>
    </row>
    <row r="47" spans="1:3" ht="13">
      <c r="A47" s="33" t="s">
        <v>163</v>
      </c>
      <c r="B47" s="34" t="s">
        <v>160</v>
      </c>
      <c r="C47" s="40" t="s">
        <v>164</v>
      </c>
    </row>
    <row r="48" spans="1:3" ht="13">
      <c r="A48" s="33" t="s">
        <v>165</v>
      </c>
      <c r="B48" s="34" t="s">
        <v>166</v>
      </c>
      <c r="C48" s="40">
        <v>8</v>
      </c>
    </row>
    <row r="49" spans="1:3" ht="13">
      <c r="A49" s="33" t="s">
        <v>167</v>
      </c>
      <c r="B49" s="34" t="s">
        <v>168</v>
      </c>
      <c r="C49" s="40" t="s">
        <v>112</v>
      </c>
    </row>
    <row r="50" spans="1:3" ht="13">
      <c r="A50" s="33" t="s">
        <v>169</v>
      </c>
      <c r="B50" s="34" t="s">
        <v>168</v>
      </c>
      <c r="C50" s="40" t="s">
        <v>97</v>
      </c>
    </row>
    <row r="51" spans="1:3" ht="13">
      <c r="A51" s="33" t="s">
        <v>170</v>
      </c>
      <c r="B51" s="34" t="s">
        <v>168</v>
      </c>
      <c r="C51" s="40" t="s">
        <v>98</v>
      </c>
    </row>
    <row r="52" spans="1:3" ht="13">
      <c r="A52" s="33" t="s">
        <v>171</v>
      </c>
      <c r="B52" s="34" t="s">
        <v>172</v>
      </c>
      <c r="C52" s="40" t="s">
        <v>95</v>
      </c>
    </row>
    <row r="53" spans="1:3" ht="13">
      <c r="A53" s="33" t="s">
        <v>173</v>
      </c>
      <c r="B53" s="34" t="s">
        <v>172</v>
      </c>
      <c r="C53" s="40" t="s">
        <v>98</v>
      </c>
    </row>
    <row r="54" spans="1:3" ht="13">
      <c r="A54" s="33" t="s">
        <v>174</v>
      </c>
      <c r="B54" s="34" t="s">
        <v>172</v>
      </c>
      <c r="C54" s="40">
        <v>7</v>
      </c>
    </row>
    <row r="55" spans="1:3" ht="13">
      <c r="A55" s="33" t="s">
        <v>175</v>
      </c>
      <c r="B55" s="34" t="s">
        <v>172</v>
      </c>
      <c r="C55" s="40">
        <v>8</v>
      </c>
    </row>
    <row r="56" spans="1:3" ht="13">
      <c r="A56" s="33" t="s">
        <v>176</v>
      </c>
      <c r="B56" s="34" t="s">
        <v>177</v>
      </c>
      <c r="C56" s="40" t="s">
        <v>112</v>
      </c>
    </row>
    <row r="57" spans="1:3" ht="13">
      <c r="A57" s="33" t="s">
        <v>178</v>
      </c>
      <c r="B57" s="34" t="s">
        <v>177</v>
      </c>
      <c r="C57" s="40" t="s">
        <v>97</v>
      </c>
    </row>
    <row r="58" spans="1:3" ht="13">
      <c r="A58" s="33" t="s">
        <v>179</v>
      </c>
      <c r="B58" s="34" t="s">
        <v>177</v>
      </c>
      <c r="C58" s="40" t="s">
        <v>98</v>
      </c>
    </row>
    <row r="59" spans="1:3" ht="13">
      <c r="A59" s="33" t="s">
        <v>180</v>
      </c>
      <c r="B59" s="34" t="s">
        <v>181</v>
      </c>
      <c r="C59" s="40" t="s">
        <v>182</v>
      </c>
    </row>
    <row r="60" spans="1:3" ht="13">
      <c r="A60" s="33" t="s">
        <v>183</v>
      </c>
      <c r="B60" s="34" t="s">
        <v>181</v>
      </c>
      <c r="C60" s="40" t="s">
        <v>98</v>
      </c>
    </row>
    <row r="61" spans="1:3" ht="13">
      <c r="A61" s="33" t="s">
        <v>184</v>
      </c>
      <c r="B61" s="34" t="s">
        <v>181</v>
      </c>
      <c r="C61" s="40">
        <v>7</v>
      </c>
    </row>
    <row r="62" spans="1:3" ht="13">
      <c r="A62" s="33" t="s">
        <v>185</v>
      </c>
      <c r="B62" s="34" t="s">
        <v>181</v>
      </c>
      <c r="C62" s="40">
        <v>8</v>
      </c>
    </row>
    <row r="63" spans="1:3" ht="13">
      <c r="A63" s="33" t="s">
        <v>186</v>
      </c>
      <c r="B63" s="34" t="s">
        <v>187</v>
      </c>
      <c r="C63" s="40" t="s">
        <v>98</v>
      </c>
    </row>
    <row r="64" spans="1:3" ht="13">
      <c r="A64" s="33" t="s">
        <v>188</v>
      </c>
      <c r="B64" s="34" t="s">
        <v>189</v>
      </c>
      <c r="C64" s="40" t="s">
        <v>190</v>
      </c>
    </row>
    <row r="65" spans="1:3" ht="13">
      <c r="A65" s="33" t="s">
        <v>191</v>
      </c>
      <c r="B65" s="34" t="s">
        <v>189</v>
      </c>
      <c r="C65" s="40" t="s">
        <v>140</v>
      </c>
    </row>
    <row r="66" spans="1:3" ht="13">
      <c r="A66" s="33" t="s">
        <v>192</v>
      </c>
      <c r="B66" s="34" t="s">
        <v>193</v>
      </c>
      <c r="C66" s="40" t="s">
        <v>182</v>
      </c>
    </row>
    <row r="67" spans="1:3" ht="13">
      <c r="A67" s="33" t="s">
        <v>68</v>
      </c>
      <c r="B67" s="34" t="s">
        <v>194</v>
      </c>
      <c r="C67" s="40" t="s">
        <v>98</v>
      </c>
    </row>
    <row r="68" spans="1:3" ht="13">
      <c r="A68" s="33" t="s">
        <v>69</v>
      </c>
      <c r="B68" s="34" t="s">
        <v>194</v>
      </c>
      <c r="C68" s="40">
        <v>7</v>
      </c>
    </row>
    <row r="69" spans="1:3" ht="13">
      <c r="A69" s="33" t="s">
        <v>70</v>
      </c>
      <c r="B69" s="34" t="s">
        <v>194</v>
      </c>
      <c r="C69" s="40">
        <v>9</v>
      </c>
    </row>
    <row r="70" spans="1:3" ht="13">
      <c r="A70" s="33" t="s">
        <v>195</v>
      </c>
      <c r="B70" s="34" t="s">
        <v>196</v>
      </c>
      <c r="C70" s="40">
        <v>7</v>
      </c>
    </row>
    <row r="71" spans="1:3" ht="13">
      <c r="A71" s="33" t="s">
        <v>197</v>
      </c>
      <c r="B71" s="34" t="s">
        <v>198</v>
      </c>
      <c r="C71" s="40" t="s">
        <v>97</v>
      </c>
    </row>
    <row r="72" spans="1:3" ht="13">
      <c r="A72" s="33" t="s">
        <v>199</v>
      </c>
      <c r="B72" s="34" t="s">
        <v>198</v>
      </c>
      <c r="C72" s="40" t="s">
        <v>97</v>
      </c>
    </row>
    <row r="73" spans="1:3" ht="13">
      <c r="A73" s="33" t="s">
        <v>200</v>
      </c>
      <c r="B73" s="34" t="s">
        <v>198</v>
      </c>
      <c r="C73" s="40" t="s">
        <v>98</v>
      </c>
    </row>
    <row r="74" spans="1:3" ht="13">
      <c r="A74" s="33" t="s">
        <v>201</v>
      </c>
      <c r="B74" s="34" t="s">
        <v>202</v>
      </c>
      <c r="C74" s="40" t="s">
        <v>182</v>
      </c>
    </row>
    <row r="75" spans="1:3" ht="13">
      <c r="A75" s="33" t="s">
        <v>203</v>
      </c>
      <c r="B75" s="34" t="s">
        <v>202</v>
      </c>
      <c r="C75" s="40" t="s">
        <v>98</v>
      </c>
    </row>
    <row r="76" spans="1:3" ht="13">
      <c r="A76" s="33" t="s">
        <v>204</v>
      </c>
      <c r="B76" s="34" t="s">
        <v>202</v>
      </c>
      <c r="C76" s="40">
        <v>7</v>
      </c>
    </row>
    <row r="77" spans="1:3" ht="13">
      <c r="A77" s="33" t="s">
        <v>71</v>
      </c>
      <c r="B77" s="34" t="s">
        <v>205</v>
      </c>
      <c r="C77" s="40" t="s">
        <v>182</v>
      </c>
    </row>
    <row r="78" spans="1:3" ht="13">
      <c r="A78" s="33" t="s">
        <v>72</v>
      </c>
      <c r="B78" s="34" t="s">
        <v>205</v>
      </c>
      <c r="C78" s="40" t="s">
        <v>98</v>
      </c>
    </row>
    <row r="79" spans="1:3" ht="13">
      <c r="A79" s="33" t="s">
        <v>73</v>
      </c>
      <c r="B79" s="34" t="s">
        <v>205</v>
      </c>
      <c r="C79" s="40">
        <v>7</v>
      </c>
    </row>
    <row r="80" spans="1:3" ht="13">
      <c r="A80" s="33" t="s">
        <v>206</v>
      </c>
      <c r="B80" s="34" t="s">
        <v>207</v>
      </c>
      <c r="C80" s="40">
        <v>7</v>
      </c>
    </row>
    <row r="81" spans="1:3" ht="13">
      <c r="A81" s="33" t="s">
        <v>208</v>
      </c>
      <c r="B81" s="34" t="s">
        <v>207</v>
      </c>
      <c r="C81" s="40">
        <v>8</v>
      </c>
    </row>
    <row r="82" spans="1:3" ht="13">
      <c r="A82" s="33" t="s">
        <v>209</v>
      </c>
      <c r="B82" s="34" t="s">
        <v>210</v>
      </c>
      <c r="C82" s="40" t="s">
        <v>97</v>
      </c>
    </row>
    <row r="83" spans="1:3" ht="13">
      <c r="A83" s="33" t="s">
        <v>211</v>
      </c>
      <c r="B83" s="34" t="s">
        <v>210</v>
      </c>
      <c r="C83" s="40">
        <v>9</v>
      </c>
    </row>
    <row r="84" spans="1:3" ht="13">
      <c r="A84" s="33" t="s">
        <v>212</v>
      </c>
      <c r="B84" s="34" t="s">
        <v>213</v>
      </c>
      <c r="C84" s="40" t="s">
        <v>98</v>
      </c>
    </row>
    <row r="85" spans="1:3" ht="13">
      <c r="A85" s="33" t="s">
        <v>214</v>
      </c>
      <c r="B85" s="34" t="s">
        <v>213</v>
      </c>
      <c r="C85" s="40">
        <v>7</v>
      </c>
    </row>
    <row r="86" spans="1:3" ht="13">
      <c r="A86" s="33" t="s">
        <v>215</v>
      </c>
      <c r="B86" s="34" t="s">
        <v>216</v>
      </c>
      <c r="C86" s="40">
        <v>8</v>
      </c>
    </row>
    <row r="87" spans="1:3" ht="13">
      <c r="A87" s="33" t="s">
        <v>217</v>
      </c>
      <c r="B87" s="34" t="s">
        <v>218</v>
      </c>
      <c r="C87" s="40">
        <v>7</v>
      </c>
    </row>
    <row r="88" spans="1:3" ht="13">
      <c r="A88" s="33" t="s">
        <v>219</v>
      </c>
      <c r="B88" s="34" t="s">
        <v>220</v>
      </c>
      <c r="C88" s="40">
        <v>7</v>
      </c>
    </row>
    <row r="89" spans="1:3" ht="13">
      <c r="A89" s="33" t="s">
        <v>221</v>
      </c>
      <c r="B89" s="34" t="s">
        <v>220</v>
      </c>
      <c r="C89" s="40">
        <v>8</v>
      </c>
    </row>
    <row r="90" spans="1:3" ht="13">
      <c r="A90" s="33" t="s">
        <v>222</v>
      </c>
      <c r="B90" s="34" t="s">
        <v>223</v>
      </c>
      <c r="C90" s="40">
        <v>7</v>
      </c>
    </row>
    <row r="91" spans="1:3" ht="13">
      <c r="A91" s="33" t="s">
        <v>224</v>
      </c>
      <c r="B91" s="34" t="s">
        <v>223</v>
      </c>
      <c r="C91" s="40">
        <v>8</v>
      </c>
    </row>
    <row r="92" spans="1:3" ht="13">
      <c r="A92" s="33" t="s">
        <v>225</v>
      </c>
      <c r="B92" s="34" t="s">
        <v>226</v>
      </c>
      <c r="C92" s="40" t="s">
        <v>182</v>
      </c>
    </row>
    <row r="93" spans="1:3" ht="13">
      <c r="A93" s="33" t="s">
        <v>227</v>
      </c>
      <c r="B93" s="34" t="s">
        <v>226</v>
      </c>
      <c r="C93" s="40" t="s">
        <v>98</v>
      </c>
    </row>
    <row r="94" spans="1:3" ht="13">
      <c r="A94" s="33" t="s">
        <v>228</v>
      </c>
      <c r="B94" s="34" t="s">
        <v>226</v>
      </c>
      <c r="C94" s="40">
        <v>7</v>
      </c>
    </row>
    <row r="95" spans="1:3" ht="13">
      <c r="A95" s="33" t="s">
        <v>229</v>
      </c>
      <c r="B95" s="34" t="s">
        <v>226</v>
      </c>
      <c r="C95" s="40">
        <v>8</v>
      </c>
    </row>
    <row r="96" spans="1:3" ht="13">
      <c r="A96" s="33" t="s">
        <v>230</v>
      </c>
      <c r="B96" s="34" t="s">
        <v>231</v>
      </c>
      <c r="C96" s="40">
        <v>8</v>
      </c>
    </row>
    <row r="97" spans="1:3" ht="13">
      <c r="A97" s="33" t="s">
        <v>232</v>
      </c>
      <c r="B97" s="34" t="s">
        <v>231</v>
      </c>
      <c r="C97" s="40">
        <v>8</v>
      </c>
    </row>
    <row r="98" spans="1:3" ht="13">
      <c r="A98" s="33" t="s">
        <v>233</v>
      </c>
      <c r="B98" s="34" t="s">
        <v>231</v>
      </c>
      <c r="C98" s="40">
        <v>8</v>
      </c>
    </row>
    <row r="99" spans="1:3" ht="13">
      <c r="A99" s="33" t="s">
        <v>234</v>
      </c>
      <c r="B99" s="34" t="s">
        <v>235</v>
      </c>
      <c r="C99" s="40" t="s">
        <v>112</v>
      </c>
    </row>
    <row r="100" spans="1:3" ht="13">
      <c r="A100" s="33" t="s">
        <v>236</v>
      </c>
      <c r="B100" s="34" t="s">
        <v>237</v>
      </c>
      <c r="C100" s="40" t="s">
        <v>98</v>
      </c>
    </row>
    <row r="101" spans="1:3" ht="13">
      <c r="A101" s="33" t="s">
        <v>238</v>
      </c>
      <c r="B101" s="34" t="s">
        <v>239</v>
      </c>
      <c r="C101" s="40">
        <v>7</v>
      </c>
    </row>
    <row r="102" spans="1:3" ht="13">
      <c r="A102" s="33" t="s">
        <v>240</v>
      </c>
      <c r="B102" s="34" t="s">
        <v>241</v>
      </c>
      <c r="C102" s="40">
        <v>9</v>
      </c>
    </row>
    <row r="103" spans="1:3" ht="13">
      <c r="A103" s="33" t="s">
        <v>242</v>
      </c>
      <c r="B103" s="34" t="s">
        <v>241</v>
      </c>
      <c r="C103" s="40">
        <v>9</v>
      </c>
    </row>
    <row r="104" spans="1:3" ht="13">
      <c r="A104" s="33" t="s">
        <v>243</v>
      </c>
      <c r="B104" s="34" t="s">
        <v>244</v>
      </c>
      <c r="C104" s="40" t="s">
        <v>97</v>
      </c>
    </row>
    <row r="105" spans="1:3" ht="13">
      <c r="A105" s="33" t="s">
        <v>245</v>
      </c>
      <c r="B105" s="34" t="s">
        <v>246</v>
      </c>
      <c r="C105" s="40" t="s">
        <v>97</v>
      </c>
    </row>
    <row r="106" spans="1:3" ht="13">
      <c r="A106" s="33" t="s">
        <v>247</v>
      </c>
      <c r="B106" s="34" t="s">
        <v>248</v>
      </c>
      <c r="C106" s="40" t="s">
        <v>97</v>
      </c>
    </row>
    <row r="107" spans="1:3" ht="13">
      <c r="A107" s="33" t="s">
        <v>249</v>
      </c>
      <c r="B107" s="34" t="s">
        <v>248</v>
      </c>
      <c r="C107" s="40" t="s">
        <v>97</v>
      </c>
    </row>
    <row r="108" spans="1:3" ht="13">
      <c r="A108" s="33" t="s">
        <v>250</v>
      </c>
      <c r="B108" s="34" t="s">
        <v>251</v>
      </c>
      <c r="C108" s="40" t="s">
        <v>95</v>
      </c>
    </row>
    <row r="109" spans="1:3" ht="13">
      <c r="A109" s="33" t="s">
        <v>252</v>
      </c>
      <c r="B109" s="34" t="s">
        <v>251</v>
      </c>
      <c r="C109" s="40" t="s">
        <v>182</v>
      </c>
    </row>
    <row r="110" spans="1:3" ht="13">
      <c r="A110" s="33" t="s">
        <v>253</v>
      </c>
      <c r="B110" s="34" t="s">
        <v>254</v>
      </c>
      <c r="C110" s="40">
        <v>10</v>
      </c>
    </row>
    <row r="111" spans="1:3" ht="13">
      <c r="A111" s="33" t="s">
        <v>255</v>
      </c>
      <c r="B111" s="34" t="s">
        <v>256</v>
      </c>
      <c r="C111" s="40" t="s">
        <v>112</v>
      </c>
    </row>
    <row r="112" spans="1:3" ht="13">
      <c r="A112" s="33" t="s">
        <v>257</v>
      </c>
      <c r="B112" s="34" t="s">
        <v>256</v>
      </c>
      <c r="C112" s="40" t="s">
        <v>182</v>
      </c>
    </row>
    <row r="113" spans="1:3" ht="13">
      <c r="A113" s="33" t="s">
        <v>258</v>
      </c>
      <c r="B113" s="34" t="s">
        <v>256</v>
      </c>
      <c r="C113" s="40" t="s">
        <v>182</v>
      </c>
    </row>
    <row r="114" spans="1:3" ht="13">
      <c r="A114" s="33" t="s">
        <v>259</v>
      </c>
      <c r="B114" s="34" t="s">
        <v>260</v>
      </c>
      <c r="C114" s="40">
        <v>7</v>
      </c>
    </row>
    <row r="115" spans="1:3" ht="13">
      <c r="A115" s="33" t="s">
        <v>261</v>
      </c>
      <c r="B115" s="34" t="s">
        <v>262</v>
      </c>
      <c r="C115" s="40" t="s">
        <v>182</v>
      </c>
    </row>
    <row r="116" spans="1:3" ht="13">
      <c r="A116" s="33" t="s">
        <v>263</v>
      </c>
      <c r="B116" s="34" t="s">
        <v>262</v>
      </c>
      <c r="C116" s="40" t="s">
        <v>98</v>
      </c>
    </row>
    <row r="117" spans="1:3" ht="13">
      <c r="A117" s="33" t="s">
        <v>264</v>
      </c>
      <c r="B117" s="34" t="s">
        <v>262</v>
      </c>
      <c r="C117" s="40">
        <v>7</v>
      </c>
    </row>
    <row r="118" spans="1:3" ht="13">
      <c r="A118" s="33" t="s">
        <v>265</v>
      </c>
      <c r="B118" s="34" t="s">
        <v>266</v>
      </c>
      <c r="C118" s="40" t="s">
        <v>112</v>
      </c>
    </row>
    <row r="119" spans="1:3" ht="13">
      <c r="A119" s="33" t="s">
        <v>267</v>
      </c>
      <c r="B119" s="34" t="s">
        <v>268</v>
      </c>
      <c r="C119" s="40" t="s">
        <v>95</v>
      </c>
    </row>
    <row r="120" spans="1:3" ht="13">
      <c r="A120" s="33" t="s">
        <v>269</v>
      </c>
      <c r="B120" s="34" t="s">
        <v>268</v>
      </c>
      <c r="C120" s="40" t="s">
        <v>97</v>
      </c>
    </row>
    <row r="121" spans="1:3" ht="13">
      <c r="A121" s="33" t="s">
        <v>270</v>
      </c>
      <c r="B121" s="34" t="s">
        <v>271</v>
      </c>
      <c r="C121" s="40">
        <v>9</v>
      </c>
    </row>
    <row r="122" spans="1:3" ht="13">
      <c r="A122" s="33" t="s">
        <v>272</v>
      </c>
      <c r="B122" s="34" t="s">
        <v>271</v>
      </c>
      <c r="C122" s="40">
        <v>9</v>
      </c>
    </row>
    <row r="123" spans="1:3" ht="13">
      <c r="A123" s="33" t="s">
        <v>273</v>
      </c>
      <c r="B123" s="34" t="s">
        <v>274</v>
      </c>
      <c r="C123" s="40" t="s">
        <v>153</v>
      </c>
    </row>
    <row r="124" spans="1:3" ht="13">
      <c r="A124" s="33" t="s">
        <v>275</v>
      </c>
      <c r="B124" s="34" t="s">
        <v>274</v>
      </c>
      <c r="C124" s="40" t="s">
        <v>112</v>
      </c>
    </row>
    <row r="125" spans="1:3" ht="13">
      <c r="A125" s="33" t="s">
        <v>276</v>
      </c>
      <c r="B125" s="34" t="s">
        <v>277</v>
      </c>
      <c r="C125" s="40" t="s">
        <v>112</v>
      </c>
    </row>
    <row r="126" spans="1:3" ht="13">
      <c r="A126" s="33" t="s">
        <v>278</v>
      </c>
      <c r="B126" s="34" t="s">
        <v>277</v>
      </c>
      <c r="C126" s="40" t="s">
        <v>112</v>
      </c>
    </row>
    <row r="127" spans="1:3" ht="13">
      <c r="A127" s="33" t="s">
        <v>74</v>
      </c>
      <c r="B127" s="34" t="s">
        <v>277</v>
      </c>
      <c r="C127" s="40" t="s">
        <v>97</v>
      </c>
    </row>
    <row r="128" spans="1:3" ht="13">
      <c r="A128" s="33" t="s">
        <v>279</v>
      </c>
      <c r="B128" s="34" t="s">
        <v>277</v>
      </c>
      <c r="C128" s="40" t="s">
        <v>98</v>
      </c>
    </row>
    <row r="129" spans="1:3" ht="13">
      <c r="A129" s="33" t="s">
        <v>75</v>
      </c>
      <c r="B129" s="34" t="s">
        <v>277</v>
      </c>
      <c r="C129" s="40">
        <v>8</v>
      </c>
    </row>
    <row r="130" spans="1:3" ht="13">
      <c r="A130" s="33" t="s">
        <v>280</v>
      </c>
      <c r="B130" s="34" t="s">
        <v>277</v>
      </c>
      <c r="C130" s="40">
        <v>8</v>
      </c>
    </row>
    <row r="131" spans="1:3" ht="13">
      <c r="A131" s="33" t="s">
        <v>281</v>
      </c>
      <c r="B131" s="34" t="s">
        <v>282</v>
      </c>
      <c r="C131" s="40" t="s">
        <v>97</v>
      </c>
    </row>
    <row r="132" spans="1:3" ht="13">
      <c r="A132" s="33" t="s">
        <v>283</v>
      </c>
      <c r="B132" s="34" t="s">
        <v>282</v>
      </c>
      <c r="C132" s="40" t="s">
        <v>98</v>
      </c>
    </row>
    <row r="133" spans="1:3" ht="13">
      <c r="A133" s="33" t="s">
        <v>284</v>
      </c>
      <c r="B133" s="34" t="s">
        <v>282</v>
      </c>
      <c r="C133" s="40">
        <v>8</v>
      </c>
    </row>
    <row r="134" spans="1:3" ht="13">
      <c r="A134" s="33" t="s">
        <v>285</v>
      </c>
      <c r="B134" s="34" t="s">
        <v>282</v>
      </c>
      <c r="C134" s="40">
        <v>8</v>
      </c>
    </row>
    <row r="135" spans="1:3" ht="13">
      <c r="A135" s="33" t="s">
        <v>286</v>
      </c>
      <c r="B135" s="34" t="s">
        <v>287</v>
      </c>
      <c r="C135" s="40" t="s">
        <v>98</v>
      </c>
    </row>
    <row r="136" spans="1:3" ht="13">
      <c r="A136" s="33" t="s">
        <v>76</v>
      </c>
      <c r="B136" s="34" t="s">
        <v>287</v>
      </c>
      <c r="C136" s="40" t="s">
        <v>98</v>
      </c>
    </row>
    <row r="137" spans="1:3" ht="13">
      <c r="A137" s="33" t="s">
        <v>77</v>
      </c>
      <c r="B137" s="34" t="s">
        <v>287</v>
      </c>
      <c r="C137" s="40">
        <v>7</v>
      </c>
    </row>
    <row r="138" spans="1:3" ht="13">
      <c r="A138" s="33" t="s">
        <v>288</v>
      </c>
      <c r="B138" s="34" t="s">
        <v>289</v>
      </c>
      <c r="C138" s="40" t="s">
        <v>97</v>
      </c>
    </row>
    <row r="139" spans="1:3" ht="13">
      <c r="A139" s="33" t="s">
        <v>290</v>
      </c>
      <c r="B139" s="34" t="s">
        <v>291</v>
      </c>
      <c r="C139" s="40" t="s">
        <v>190</v>
      </c>
    </row>
    <row r="140" spans="1:3" ht="13">
      <c r="A140" s="33" t="s">
        <v>292</v>
      </c>
      <c r="B140" s="34" t="s">
        <v>291</v>
      </c>
      <c r="C140" s="40" t="s">
        <v>190</v>
      </c>
    </row>
    <row r="141" spans="1:3" ht="13">
      <c r="A141" s="33" t="s">
        <v>293</v>
      </c>
      <c r="B141" s="34" t="s">
        <v>291</v>
      </c>
      <c r="C141" s="40" t="s">
        <v>140</v>
      </c>
    </row>
    <row r="142" spans="1:3" ht="13">
      <c r="A142" s="33" t="s">
        <v>294</v>
      </c>
      <c r="B142" s="34" t="s">
        <v>291</v>
      </c>
      <c r="C142" s="40">
        <v>7</v>
      </c>
    </row>
    <row r="143" spans="1:3" ht="13">
      <c r="A143" s="33" t="s">
        <v>295</v>
      </c>
      <c r="B143" s="34" t="s">
        <v>296</v>
      </c>
      <c r="C143" s="40">
        <v>8</v>
      </c>
    </row>
    <row r="144" spans="1:3" ht="13">
      <c r="A144" s="33" t="s">
        <v>297</v>
      </c>
      <c r="B144" s="34" t="s">
        <v>298</v>
      </c>
      <c r="C144" s="40" t="s">
        <v>182</v>
      </c>
    </row>
    <row r="145" spans="1:3" ht="13">
      <c r="A145" s="33" t="s">
        <v>299</v>
      </c>
      <c r="B145" s="34" t="s">
        <v>298</v>
      </c>
      <c r="C145" s="40" t="s">
        <v>98</v>
      </c>
    </row>
    <row r="146" spans="1:3" ht="13">
      <c r="A146" s="33" t="s">
        <v>300</v>
      </c>
      <c r="B146" s="34" t="s">
        <v>298</v>
      </c>
      <c r="C146" s="40">
        <v>7</v>
      </c>
    </row>
    <row r="147" spans="1:3" ht="13">
      <c r="A147" s="33" t="s">
        <v>301</v>
      </c>
      <c r="B147" s="34" t="s">
        <v>302</v>
      </c>
      <c r="C147" s="40">
        <v>8</v>
      </c>
    </row>
    <row r="148" spans="1:3" ht="13">
      <c r="A148" s="33" t="s">
        <v>303</v>
      </c>
      <c r="B148" s="34" t="s">
        <v>304</v>
      </c>
      <c r="C148" s="40" t="s">
        <v>97</v>
      </c>
    </row>
    <row r="149" spans="1:3" ht="13">
      <c r="A149" s="33" t="s">
        <v>305</v>
      </c>
      <c r="B149" s="34" t="s">
        <v>304</v>
      </c>
      <c r="C149" s="40">
        <v>7</v>
      </c>
    </row>
    <row r="150" spans="1:3" ht="13">
      <c r="A150" s="33" t="s">
        <v>306</v>
      </c>
      <c r="B150" s="34" t="s">
        <v>304</v>
      </c>
      <c r="C150" s="40">
        <v>8</v>
      </c>
    </row>
    <row r="151" spans="1:3" ht="13">
      <c r="A151" s="33" t="s">
        <v>307</v>
      </c>
      <c r="B151" s="34" t="s">
        <v>308</v>
      </c>
      <c r="C151" s="40" t="s">
        <v>182</v>
      </c>
    </row>
    <row r="152" spans="1:3" ht="13">
      <c r="A152" s="33" t="s">
        <v>309</v>
      </c>
      <c r="B152" s="34" t="s">
        <v>308</v>
      </c>
      <c r="C152" s="40" t="s">
        <v>98</v>
      </c>
    </row>
    <row r="153" spans="1:3" ht="13">
      <c r="A153" s="33"/>
      <c r="B153" s="34"/>
      <c r="C153" s="40"/>
    </row>
    <row r="154" spans="1:3" ht="13">
      <c r="A154" s="33"/>
      <c r="B154" s="34"/>
      <c r="C154" s="40"/>
    </row>
    <row r="155" spans="1:3" ht="13">
      <c r="A155" s="33"/>
      <c r="B155" s="34"/>
      <c r="C155" s="40"/>
    </row>
    <row r="156" spans="1:3" ht="13">
      <c r="A156" s="33"/>
      <c r="B156" s="34"/>
      <c r="C156" s="40"/>
    </row>
  </sheetData>
  <sheetProtection selectLockedCells="1" selectUnlockedCells="1"/>
  <sortState xmlns:xlrd2="http://schemas.microsoft.com/office/spreadsheetml/2017/richdata2" ref="K2:L73">
    <sortCondition descending="1" ref="L2:L73"/>
  </sortState>
  <pageMargins left="0.74791666666666667" right="0.74791666666666667" top="0.98402777777777772" bottom="0.98402777777777772" header="0.51180555555555551" footer="0.51180555555555551"/>
  <pageSetup firstPageNumber="0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SGW</vt:lpstr>
      <vt:lpstr>soils2</vt:lpstr>
      <vt:lpstr>SGW!Print_Area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Scott</dc:creator>
  <cp:lastModifiedBy>Veronica Mileski</cp:lastModifiedBy>
  <cp:lastPrinted>2025-05-21T15:39:05Z</cp:lastPrinted>
  <dcterms:created xsi:type="dcterms:W3CDTF">2015-11-23T16:01:13Z</dcterms:created>
  <dcterms:modified xsi:type="dcterms:W3CDTF">2025-09-05T17:56:12Z</dcterms:modified>
</cp:coreProperties>
</file>