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GIS\Reya\SWCD Tools\assets\"/>
    </mc:Choice>
  </mc:AlternateContent>
  <xr:revisionPtr revIDLastSave="0" documentId="13_ncr:1_{1893871C-68A3-4000-9EA0-AF342C652AC8}" xr6:coauthVersionLast="47" xr6:coauthVersionMax="47" xr10:uidLastSave="{00000000-0000-0000-0000-000000000000}"/>
  <bookViews>
    <workbookView xWindow="28680" yWindow="-120" windowWidth="29040" windowHeight="15840" tabRatio="846" xr2:uid="{00000000-000D-0000-FFFF-FFFF00000000}"/>
  </bookViews>
  <sheets>
    <sheet name="SGW" sheetId="1" r:id="rId1"/>
    <sheet name="soils2" sheetId="2" r:id="rId2"/>
  </sheets>
  <definedNames>
    <definedName name="_xlnm.Print_Area" localSheetId="0">SGW!$A$1:$K$134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4" i="1" l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33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E34" i="1"/>
  <c r="B34" i="1"/>
  <c r="R33" i="1"/>
  <c r="K24" i="1"/>
  <c r="K26" i="1"/>
  <c r="I60" i="1"/>
  <c r="I61" i="1"/>
  <c r="K48" i="1" l="1"/>
  <c r="K45" i="1"/>
  <c r="K57" i="1"/>
  <c r="K38" i="1"/>
  <c r="K40" i="1"/>
  <c r="K49" i="1"/>
  <c r="K41" i="1"/>
  <c r="K42" i="1"/>
  <c r="K50" i="1"/>
  <c r="K43" i="1"/>
  <c r="K51" i="1"/>
  <c r="K36" i="1"/>
  <c r="K44" i="1"/>
  <c r="K54" i="1"/>
  <c r="K37" i="1"/>
  <c r="K55" i="1"/>
  <c r="K46" i="1"/>
  <c r="K56" i="1"/>
  <c r="K39" i="1"/>
  <c r="K47" i="1"/>
  <c r="K59" i="1" l="1"/>
  <c r="K22" i="1" s="1"/>
  <c r="K30" i="1" s="1"/>
  <c r="D30" i="1" s="1"/>
</calcChain>
</file>

<file path=xl/sharedStrings.xml><?xml version="1.0" encoding="utf-8"?>
<sst xmlns="http://schemas.openxmlformats.org/spreadsheetml/2006/main" count="21904" uniqueCount="4251">
  <si>
    <t>APD-1 (Rev. 12/05)</t>
  </si>
  <si>
    <t>New York State</t>
  </si>
  <si>
    <t>Department of Agriculture and Markets</t>
  </si>
  <si>
    <t>SECTION A: Worksheet</t>
  </si>
  <si>
    <t>Division of Agricultural Protection and Development Services</t>
  </si>
  <si>
    <t>Information</t>
  </si>
  <si>
    <t>10B Airline Drive</t>
  </si>
  <si>
    <r>
      <t xml:space="preserve">Page    </t>
    </r>
    <r>
      <rPr>
        <sz val="10"/>
        <color indexed="12"/>
        <rFont val="Times New Roman"/>
        <family val="1"/>
      </rPr>
      <t>1</t>
    </r>
  </si>
  <si>
    <r>
      <t xml:space="preserve">of        </t>
    </r>
    <r>
      <rPr>
        <sz val="10"/>
        <color indexed="12"/>
        <rFont val="Times New Roman"/>
        <family val="1"/>
      </rPr>
      <t>1</t>
    </r>
  </si>
  <si>
    <t>Albany, NY 12235</t>
  </si>
  <si>
    <r>
      <t xml:space="preserve">    </t>
    </r>
    <r>
      <rPr>
        <sz val="10"/>
        <color indexed="12"/>
        <rFont val="Times New Roman"/>
        <family val="1"/>
      </rPr>
      <t>X</t>
    </r>
    <r>
      <rPr>
        <sz val="10"/>
        <rFont val="Times New Roman"/>
        <family val="1"/>
      </rPr>
      <t xml:space="preserve">    New Worksheet</t>
    </r>
  </si>
  <si>
    <t xml:space="preserve">           Revised Worksheet</t>
  </si>
  <si>
    <t>SOIL GROUP WORKSHEET</t>
  </si>
  <si>
    <t>SECTION B. LANDOWNER NAME AND PROPERTY IDENTIFICATION</t>
  </si>
  <si>
    <t>Landowner</t>
  </si>
  <si>
    <t>Last</t>
  </si>
  <si>
    <t>First</t>
  </si>
  <si>
    <t>Middle Initial</t>
  </si>
  <si>
    <t>Name</t>
  </si>
  <si>
    <t>Mailing</t>
  </si>
  <si>
    <t>Street/Road No. and Name</t>
  </si>
  <si>
    <t>City, Town, Village</t>
  </si>
  <si>
    <t>State</t>
  </si>
  <si>
    <t>Zip Code</t>
  </si>
  <si>
    <t>Address</t>
  </si>
  <si>
    <t>Property Location</t>
  </si>
  <si>
    <t>County</t>
  </si>
  <si>
    <t>Town/City</t>
  </si>
  <si>
    <t>Village</t>
  </si>
  <si>
    <t>Filing Status:</t>
  </si>
  <si>
    <r>
      <t>__</t>
    </r>
    <r>
      <rPr>
        <sz val="10"/>
        <rFont val="Times New Roman"/>
        <family val="1"/>
      </rPr>
      <t>Individual Commitment</t>
    </r>
  </si>
  <si>
    <t>SECTION D: PARCEL ACREAGE SUMMARY*</t>
  </si>
  <si>
    <t>ACRES</t>
  </si>
  <si>
    <t>SECTION C: TAX MAP &amp; ASSESSMENT ROLL INFORMATION</t>
  </si>
  <si>
    <t xml:space="preserve">    (1) Agricultural Land</t>
  </si>
  <si>
    <t>SWIS Code (six digits)</t>
  </si>
  <si>
    <t xml:space="preserve">    (2) Farm Woodland (&lt;/= 50 Acres)</t>
  </si>
  <si>
    <t>section</t>
  </si>
  <si>
    <t>block</t>
  </si>
  <si>
    <t>lot</t>
  </si>
  <si>
    <t xml:space="preserve">Tax Map Identifier </t>
  </si>
  <si>
    <t xml:space="preserve">    (3) Excess Farm Woodland</t>
  </si>
  <si>
    <t>Roll Identifier (if different)</t>
  </si>
  <si>
    <t xml:space="preserve">    (4) Non-Agricultural Land</t>
  </si>
  <si>
    <t>Total Parcel Acres</t>
  </si>
  <si>
    <t xml:space="preserve">    TOTAL ACREAGE</t>
  </si>
  <si>
    <t>SECTION E: SOIL MAP BREAKDOWN OF AGRICULTURAL LAND</t>
  </si>
  <si>
    <t>SECTION F:</t>
  </si>
  <si>
    <t>SOIL MAP</t>
  </si>
  <si>
    <t>SOIL</t>
  </si>
  <si>
    <t>NUMBER</t>
  </si>
  <si>
    <t>AGRICULTURAL LAND</t>
  </si>
  <si>
    <t>B</t>
  </si>
  <si>
    <t>C</t>
  </si>
  <si>
    <t>D</t>
  </si>
  <si>
    <t>SYMBOL</t>
  </si>
  <si>
    <t>SOIL MAP UNIT NAME</t>
  </si>
  <si>
    <t>GROUP</t>
  </si>
  <si>
    <t>SOIL GROUP SUMMARY</t>
  </si>
  <si>
    <t>a</t>
  </si>
  <si>
    <t>b</t>
  </si>
  <si>
    <t>BfD</t>
  </si>
  <si>
    <t>Mineral</t>
  </si>
  <si>
    <t>Fg</t>
  </si>
  <si>
    <t>Soil Group</t>
  </si>
  <si>
    <t>Acres</t>
  </si>
  <si>
    <t>LpC</t>
  </si>
  <si>
    <t>LpD</t>
  </si>
  <si>
    <t>LrE</t>
  </si>
  <si>
    <t>MeB</t>
  </si>
  <si>
    <t>MeC</t>
  </si>
  <si>
    <t>MeD</t>
  </si>
  <si>
    <t>VaC</t>
  </si>
  <si>
    <t>VaE</t>
  </si>
  <si>
    <t>VoB</t>
  </si>
  <si>
    <t>VoC</t>
  </si>
  <si>
    <t>Organic (muck)</t>
  </si>
  <si>
    <t xml:space="preserve">A </t>
  </si>
  <si>
    <t>* SEE EXPLANATION OF TERMS ON BACK</t>
  </si>
  <si>
    <t>SOIL GROUP</t>
  </si>
  <si>
    <t>SECTION G: DATE AND SIGNATURES</t>
  </si>
  <si>
    <t>TOTAL ACRES</t>
  </si>
  <si>
    <t>Jointly Reviewed and Concurred:</t>
  </si>
  <si>
    <t>Date:</t>
  </si>
  <si>
    <t>Time:</t>
  </si>
  <si>
    <t>Completed by</t>
  </si>
  <si>
    <t>Signature:</t>
  </si>
  <si>
    <t>Ad</t>
  </si>
  <si>
    <t>ALDEN</t>
  </si>
  <si>
    <t>At</t>
  </si>
  <si>
    <t>ATHERTON</t>
  </si>
  <si>
    <t>BfB</t>
  </si>
  <si>
    <t>BATH</t>
  </si>
  <si>
    <t>BfC</t>
  </si>
  <si>
    <t>BfE</t>
  </si>
  <si>
    <t>BhC</t>
  </si>
  <si>
    <t>BATH-LACKAWANNA</t>
  </si>
  <si>
    <t>BhE</t>
  </si>
  <si>
    <t>Cb</t>
  </si>
  <si>
    <t>CANANDAIGUA</t>
  </si>
  <si>
    <t>Cc</t>
  </si>
  <si>
    <t>Cd</t>
  </si>
  <si>
    <t>CARBONDALE</t>
  </si>
  <si>
    <t>Ce</t>
  </si>
  <si>
    <t>CARLISLE</t>
  </si>
  <si>
    <t>CfA</t>
  </si>
  <si>
    <t>CASTILE</t>
  </si>
  <si>
    <t>CfB</t>
  </si>
  <si>
    <t>CHENANGO</t>
  </si>
  <si>
    <t>ChA</t>
  </si>
  <si>
    <t>CnB</t>
  </si>
  <si>
    <t>ChB</t>
  </si>
  <si>
    <t>ChC</t>
  </si>
  <si>
    <t>ChD</t>
  </si>
  <si>
    <t>ClE</t>
  </si>
  <si>
    <t>CHENANGO-HOWARD-TUNKHA</t>
  </si>
  <si>
    <t>Cp</t>
  </si>
  <si>
    <t>CHIPPEWA-NORWICH</t>
  </si>
  <si>
    <t>Cr</t>
  </si>
  <si>
    <t>CsB</t>
  </si>
  <si>
    <t>CONESUS</t>
  </si>
  <si>
    <t>CsC</t>
  </si>
  <si>
    <t>DaB</t>
  </si>
  <si>
    <t>DANLEY-NUNDA</t>
  </si>
  <si>
    <t>DaC</t>
  </si>
  <si>
    <t>DaD</t>
  </si>
  <si>
    <t>DeB</t>
  </si>
  <si>
    <t>DARIEN-BURDETT</t>
  </si>
  <si>
    <t>DeC</t>
  </si>
  <si>
    <t>Ed</t>
  </si>
  <si>
    <t>EDWARDS</t>
  </si>
  <si>
    <t>FaB</t>
  </si>
  <si>
    <t>FARMINGTON</t>
  </si>
  <si>
    <t>FeB</t>
  </si>
  <si>
    <t>FARMINGTON-ROCK OUTCRO</t>
  </si>
  <si>
    <t>FeC</t>
  </si>
  <si>
    <t>FeD</t>
  </si>
  <si>
    <t>FeF</t>
  </si>
  <si>
    <t>FLUVAQUENTS-UDIFLUVENT</t>
  </si>
  <si>
    <t>Fo</t>
  </si>
  <si>
    <t>FONDA</t>
  </si>
  <si>
    <t>GrB</t>
  </si>
  <si>
    <t>GREENE-TULLER</t>
  </si>
  <si>
    <t>Hb</t>
  </si>
  <si>
    <t>HAMPLAIN</t>
  </si>
  <si>
    <t>HdC</t>
  </si>
  <si>
    <t>HAWKSNEST</t>
  </si>
  <si>
    <t>HeA</t>
  </si>
  <si>
    <t>HERKIMER</t>
  </si>
  <si>
    <t>HeB</t>
  </si>
  <si>
    <t>HnB</t>
  </si>
  <si>
    <t>HONEOYE</t>
  </si>
  <si>
    <t>HnC</t>
  </si>
  <si>
    <t>HnD</t>
  </si>
  <si>
    <t>HoE</t>
  </si>
  <si>
    <t>HONEOYE-LANSING</t>
  </si>
  <si>
    <t>HrB</t>
  </si>
  <si>
    <t>HOWARD</t>
  </si>
  <si>
    <t>HrC</t>
  </si>
  <si>
    <t>HrD</t>
  </si>
  <si>
    <t>LaB</t>
  </si>
  <si>
    <t>LACKAWANNA</t>
  </si>
  <si>
    <t>LaC</t>
  </si>
  <si>
    <t>LaD</t>
  </si>
  <si>
    <t>LaE</t>
  </si>
  <si>
    <t>LeB</t>
  </si>
  <si>
    <t>LANSING</t>
  </si>
  <si>
    <t>LeC</t>
  </si>
  <si>
    <t>LeD</t>
  </si>
  <si>
    <t>LfB</t>
  </si>
  <si>
    <t>LEWBATH</t>
  </si>
  <si>
    <t>LfC</t>
  </si>
  <si>
    <t>LfD</t>
  </si>
  <si>
    <t>LfE</t>
  </si>
  <si>
    <t>LhC</t>
  </si>
  <si>
    <t>LEWBEACH</t>
  </si>
  <si>
    <t>LkB</t>
  </si>
  <si>
    <t>LIMA</t>
  </si>
  <si>
    <t>LkC</t>
  </si>
  <si>
    <t>LoB</t>
  </si>
  <si>
    <t>LORDSTOWN-ARNOT</t>
  </si>
  <si>
    <t>LORDSTOWN-CHADAKOIN</t>
  </si>
  <si>
    <t>Ly</t>
  </si>
  <si>
    <t>LYONS</t>
  </si>
  <si>
    <t>MaA</t>
  </si>
  <si>
    <t>MANHEIM</t>
  </si>
  <si>
    <t>MaB</t>
  </si>
  <si>
    <t>MaC</t>
  </si>
  <si>
    <t>McB</t>
  </si>
  <si>
    <t>MANLIUS</t>
  </si>
  <si>
    <t>McC</t>
  </si>
  <si>
    <t>McD</t>
  </si>
  <si>
    <t>MARDIN</t>
  </si>
  <si>
    <t>MmC</t>
  </si>
  <si>
    <t>MONGAUP-FRANKLINVILLE</t>
  </si>
  <si>
    <t>MmD</t>
  </si>
  <si>
    <t>MnB</t>
  </si>
  <si>
    <t>MONGAUP-HAWKSNEST</t>
  </si>
  <si>
    <t>MnE</t>
  </si>
  <si>
    <t>MoB</t>
  </si>
  <si>
    <t>MORRIS</t>
  </si>
  <si>
    <t>MoC</t>
  </si>
  <si>
    <t>MpC</t>
  </si>
  <si>
    <t>MORRIS-VOLUSIA</t>
  </si>
  <si>
    <t>Np</t>
  </si>
  <si>
    <t>NORCHIP</t>
  </si>
  <si>
    <t>ObB</t>
  </si>
  <si>
    <t>ONTEORA</t>
  </si>
  <si>
    <t>ObC</t>
  </si>
  <si>
    <t>OeB</t>
  </si>
  <si>
    <t>ONTUSIA</t>
  </si>
  <si>
    <t>OeC</t>
  </si>
  <si>
    <t>OgB</t>
  </si>
  <si>
    <t>OQUAGA-ARNOT</t>
  </si>
  <si>
    <t>OgC</t>
  </si>
  <si>
    <t>OgD</t>
  </si>
  <si>
    <t>OgE</t>
  </si>
  <si>
    <t>OpB</t>
  </si>
  <si>
    <t>OQUAGA-LORDSTOWN</t>
  </si>
  <si>
    <t>OpC</t>
  </si>
  <si>
    <t>OpD</t>
  </si>
  <si>
    <t>Ot</t>
  </si>
  <si>
    <t>OTEGO</t>
  </si>
  <si>
    <t>Pa</t>
  </si>
  <si>
    <t>PALMS</t>
  </si>
  <si>
    <t>PdB</t>
  </si>
  <si>
    <t>PATCHIN</t>
  </si>
  <si>
    <t>Pt</t>
  </si>
  <si>
    <t>PITS</t>
  </si>
  <si>
    <t>Pu</t>
  </si>
  <si>
    <t>Ra</t>
  </si>
  <si>
    <t>RAYNHAM</t>
  </si>
  <si>
    <t>Re</t>
  </si>
  <si>
    <t>RED HOOK</t>
  </si>
  <si>
    <t>RhA</t>
  </si>
  <si>
    <t>RHINEBECK</t>
  </si>
  <si>
    <t>RhB</t>
  </si>
  <si>
    <t>RlA</t>
  </si>
  <si>
    <t>RIVERHEAD</t>
  </si>
  <si>
    <t>RlB</t>
  </si>
  <si>
    <t>Sa</t>
  </si>
  <si>
    <t>SAPRISTS-AQUENTS</t>
  </si>
  <si>
    <t>ScA</t>
  </si>
  <si>
    <t>SCIO</t>
  </si>
  <si>
    <t>SbB</t>
  </si>
  <si>
    <t>ScB</t>
  </si>
  <si>
    <t>ThB</t>
  </si>
  <si>
    <t>TORULL-GRETOR</t>
  </si>
  <si>
    <t>TkB</t>
  </si>
  <si>
    <t>TOWERVILLE</t>
  </si>
  <si>
    <t>TkC</t>
  </si>
  <si>
    <t>TkD</t>
  </si>
  <si>
    <t>TlB</t>
  </si>
  <si>
    <t>TRESTLE-DEPOSIT</t>
  </si>
  <si>
    <t>TpB</t>
  </si>
  <si>
    <t>TUNKHANNOCK</t>
  </si>
  <si>
    <t>TpC</t>
  </si>
  <si>
    <t>Ud</t>
  </si>
  <si>
    <t>UDORTHENTS</t>
  </si>
  <si>
    <t>Ue</t>
  </si>
  <si>
    <t>UnA</t>
  </si>
  <si>
    <t>UNADILLA</t>
  </si>
  <si>
    <t>UnB</t>
  </si>
  <si>
    <t>VcB</t>
  </si>
  <si>
    <t>VALOIS</t>
  </si>
  <si>
    <t>VaB</t>
  </si>
  <si>
    <t>VaD</t>
  </si>
  <si>
    <t>VaF</t>
  </si>
  <si>
    <t>VlB</t>
  </si>
  <si>
    <t>VLY</t>
  </si>
  <si>
    <t>VlC</t>
  </si>
  <si>
    <t>VlD</t>
  </si>
  <si>
    <t>VlE</t>
  </si>
  <si>
    <t>VoA</t>
  </si>
  <si>
    <t>VOLUSIA</t>
  </si>
  <si>
    <t>Wb</t>
  </si>
  <si>
    <t>WAKEVILLE</t>
  </si>
  <si>
    <t>WeA</t>
  </si>
  <si>
    <t>WASSAIC</t>
  </si>
  <si>
    <t>WeB</t>
  </si>
  <si>
    <t>WeC</t>
  </si>
  <si>
    <t>WeD</t>
  </si>
  <si>
    <t>Wg</t>
  </si>
  <si>
    <t>WAYLAND</t>
  </si>
  <si>
    <t>WlB</t>
  </si>
  <si>
    <t>WELLSBORO</t>
  </si>
  <si>
    <t>WlC</t>
  </si>
  <si>
    <t>WlD</t>
  </si>
  <si>
    <t>WmC</t>
  </si>
  <si>
    <t>WELLSBORO-MARDIN</t>
  </si>
  <si>
    <t>WpB</t>
  </si>
  <si>
    <t>WILLDIN</t>
  </si>
  <si>
    <t>WpC</t>
  </si>
  <si>
    <t>WpD</t>
  </si>
  <si>
    <t>WsB</t>
  </si>
  <si>
    <t>WILLOWEMOC</t>
  </si>
  <si>
    <t>WsC</t>
  </si>
  <si>
    <t>Otsego</t>
  </si>
  <si>
    <t xml:space="preserve">__ </t>
  </si>
  <si>
    <t>Agricultural District</t>
  </si>
  <si>
    <t>Code</t>
  </si>
  <si>
    <t>MSG</t>
  </si>
  <si>
    <t>Overflow Soils</t>
  </si>
  <si>
    <t>UvC</t>
  </si>
  <si>
    <t>URBAN LAND-RIVERHEAD</t>
  </si>
  <si>
    <t>UwB</t>
  </si>
  <si>
    <t>URBAN LAND-WOODBRIDGE</t>
  </si>
  <si>
    <t>UDIFLUVENTS-FLUVAQUENT</t>
  </si>
  <si>
    <t>496E</t>
  </si>
  <si>
    <t>GILPIN</t>
  </si>
  <si>
    <t>496F</t>
  </si>
  <si>
    <t>BeC</t>
  </si>
  <si>
    <t>BENSON</t>
  </si>
  <si>
    <t>BkD</t>
  </si>
  <si>
    <t>GlB</t>
  </si>
  <si>
    <t>GALWAY-FARMINGTON-URBA</t>
  </si>
  <si>
    <t>GlC</t>
  </si>
  <si>
    <t>Ae</t>
  </si>
  <si>
    <t>ALLIS</t>
  </si>
  <si>
    <t>AnA</t>
  </si>
  <si>
    <t>ANGOLA</t>
  </si>
  <si>
    <t>AnB</t>
  </si>
  <si>
    <t>AnC</t>
  </si>
  <si>
    <t>ArC</t>
  </si>
  <si>
    <t>ARNOT</t>
  </si>
  <si>
    <t>AsB</t>
  </si>
  <si>
    <t>ARNOT-ROCK OUTCROP</t>
  </si>
  <si>
    <t>AsF</t>
  </si>
  <si>
    <t>Br</t>
  </si>
  <si>
    <t>BIRDSALL</t>
  </si>
  <si>
    <t>BuA</t>
  </si>
  <si>
    <t>BURDETT</t>
  </si>
  <si>
    <t>BuB</t>
  </si>
  <si>
    <t>BuC</t>
  </si>
  <si>
    <t>BvB</t>
  </si>
  <si>
    <t>BxA</t>
  </si>
  <si>
    <t>BUSTI</t>
  </si>
  <si>
    <t>BxB</t>
  </si>
  <si>
    <t>Ca</t>
  </si>
  <si>
    <t>CeA</t>
  </si>
  <si>
    <t>CeB</t>
  </si>
  <si>
    <t>CgB</t>
  </si>
  <si>
    <t>CHAUTAUQUA</t>
  </si>
  <si>
    <t>CgC</t>
  </si>
  <si>
    <t>CkB</t>
  </si>
  <si>
    <t>ClA</t>
  </si>
  <si>
    <t>CLAVERACK</t>
  </si>
  <si>
    <t>ClB</t>
  </si>
  <si>
    <t>CoA</t>
  </si>
  <si>
    <t>COLONIE</t>
  </si>
  <si>
    <t>CoB</t>
  </si>
  <si>
    <t>CoC</t>
  </si>
  <si>
    <t>CoD</t>
  </si>
  <si>
    <t>CoE</t>
  </si>
  <si>
    <t>Cs</t>
  </si>
  <si>
    <t>COSAD</t>
  </si>
  <si>
    <t>Du</t>
  </si>
  <si>
    <t>DUMPS</t>
  </si>
  <si>
    <t>ElA</t>
  </si>
  <si>
    <t>ELMRIDGE</t>
  </si>
  <si>
    <t>ElB</t>
  </si>
  <si>
    <t>EnA</t>
  </si>
  <si>
    <t>ELNORA</t>
  </si>
  <si>
    <t>EnB</t>
  </si>
  <si>
    <t>FrB</t>
  </si>
  <si>
    <t>FrC</t>
  </si>
  <si>
    <t>FrF</t>
  </si>
  <si>
    <t>FwC</t>
  </si>
  <si>
    <t>FARMINGTON-WASSAIC-ROC</t>
  </si>
  <si>
    <t>Fx</t>
  </si>
  <si>
    <t>Gr</t>
  </si>
  <si>
    <t>GRANBY</t>
  </si>
  <si>
    <t>Ha</t>
  </si>
  <si>
    <t>HAMLIN</t>
  </si>
  <si>
    <t>HnA</t>
  </si>
  <si>
    <t>HORNELL</t>
  </si>
  <si>
    <t>HoA</t>
  </si>
  <si>
    <t>HoB</t>
  </si>
  <si>
    <t>HoC</t>
  </si>
  <si>
    <t>HuB</t>
  </si>
  <si>
    <t>HUDSON</t>
  </si>
  <si>
    <t>HuC</t>
  </si>
  <si>
    <t>HuD</t>
  </si>
  <si>
    <t>HuE</t>
  </si>
  <si>
    <t>In</t>
  </si>
  <si>
    <t>ILION</t>
  </si>
  <si>
    <t>KeB</t>
  </si>
  <si>
    <t>KEARSARGE</t>
  </si>
  <si>
    <t>LcE</t>
  </si>
  <si>
    <t>LoA</t>
  </si>
  <si>
    <t>LORDSTOWN</t>
  </si>
  <si>
    <t>LoC</t>
  </si>
  <si>
    <t>LoD</t>
  </si>
  <si>
    <t>Ma</t>
  </si>
  <si>
    <t>MADALIN</t>
  </si>
  <si>
    <t>MbB</t>
  </si>
  <si>
    <t>MbC</t>
  </si>
  <si>
    <t>MbD</t>
  </si>
  <si>
    <t>MbE</t>
  </si>
  <si>
    <t>Mh</t>
  </si>
  <si>
    <t>MEDIHEMISTS-HYDRAQUEN</t>
  </si>
  <si>
    <t>Mk</t>
  </si>
  <si>
    <t>MIDDLEBURY</t>
  </si>
  <si>
    <t>MrB</t>
  </si>
  <si>
    <t>NaB</t>
  </si>
  <si>
    <t>NASSAU</t>
  </si>
  <si>
    <t>NaC</t>
  </si>
  <si>
    <t>NrC</t>
  </si>
  <si>
    <t>NrD</t>
  </si>
  <si>
    <t>NuB</t>
  </si>
  <si>
    <t>NUNDA</t>
  </si>
  <si>
    <t>NuC</t>
  </si>
  <si>
    <t>NuD</t>
  </si>
  <si>
    <t>NuE</t>
  </si>
  <si>
    <t>NvC</t>
  </si>
  <si>
    <t>NvE</t>
  </si>
  <si>
    <t>OqB</t>
  </si>
  <si>
    <t>OQUAGA</t>
  </si>
  <si>
    <t>OqC</t>
  </si>
  <si>
    <t>OqD</t>
  </si>
  <si>
    <t>Pm</t>
  </si>
  <si>
    <t>Pn</t>
  </si>
  <si>
    <t>RkA</t>
  </si>
  <si>
    <t>RkB</t>
  </si>
  <si>
    <t>RkC</t>
  </si>
  <si>
    <t>Sh</t>
  </si>
  <si>
    <t>SHAKER</t>
  </si>
  <si>
    <t>St</t>
  </si>
  <si>
    <t>STAFFORD</t>
  </si>
  <si>
    <t>SuA</t>
  </si>
  <si>
    <t>SUDBURY</t>
  </si>
  <si>
    <t>SuB</t>
  </si>
  <si>
    <t>Te</t>
  </si>
  <si>
    <t>TEEL</t>
  </si>
  <si>
    <t>TmA</t>
  </si>
  <si>
    <t>TIMAKWA</t>
  </si>
  <si>
    <t>To</t>
  </si>
  <si>
    <t>TIOGA</t>
  </si>
  <si>
    <t>TuB</t>
  </si>
  <si>
    <t>TULLER-GREENE</t>
  </si>
  <si>
    <t>UDIPSAMMENTS</t>
  </si>
  <si>
    <t>Uf</t>
  </si>
  <si>
    <t>UDIPSAMMENTS-URBAN</t>
  </si>
  <si>
    <t>Ug</t>
  </si>
  <si>
    <t>Uh</t>
  </si>
  <si>
    <t>UDORTHENTS-URBAN</t>
  </si>
  <si>
    <t>Uk</t>
  </si>
  <si>
    <t>UnC</t>
  </si>
  <si>
    <t>UnD</t>
  </si>
  <si>
    <t>Ur</t>
  </si>
  <si>
    <t>URBAN LAND</t>
  </si>
  <si>
    <t>Us</t>
  </si>
  <si>
    <t>URBAN LAND-UDIPSAMMENT</t>
  </si>
  <si>
    <t>Ut</t>
  </si>
  <si>
    <t>URBAN LAND-UDORTHENTS</t>
  </si>
  <si>
    <t>Wa</t>
  </si>
  <si>
    <t>WAKELAND</t>
  </si>
  <si>
    <t>WcA</t>
  </si>
  <si>
    <t>WcB</t>
  </si>
  <si>
    <t>WcC</t>
  </si>
  <si>
    <t>WnC</t>
  </si>
  <si>
    <t>WASSAIC-NELLIS</t>
  </si>
  <si>
    <t>Wo</t>
  </si>
  <si>
    <t>WrB</t>
  </si>
  <si>
    <t>WrC</t>
  </si>
  <si>
    <t>WrD</t>
  </si>
  <si>
    <t>1A</t>
  </si>
  <si>
    <t>UDIFLUVENTS-FLUVAQVENT</t>
  </si>
  <si>
    <t>3A</t>
  </si>
  <si>
    <t>5A</t>
  </si>
  <si>
    <t>WAYLAND SOIL</t>
  </si>
  <si>
    <t>6A</t>
  </si>
  <si>
    <t>WYALUSING</t>
  </si>
  <si>
    <t>8A</t>
  </si>
  <si>
    <t>9A</t>
  </si>
  <si>
    <t>PAWLING</t>
  </si>
  <si>
    <t>11B</t>
  </si>
  <si>
    <t>ISCHUA</t>
  </si>
  <si>
    <t>11C</t>
  </si>
  <si>
    <t>11D</t>
  </si>
  <si>
    <t>11E</t>
  </si>
  <si>
    <t>11F</t>
  </si>
  <si>
    <t>12C</t>
  </si>
  <si>
    <t>FRANKLINVILLE</t>
  </si>
  <si>
    <t>12D</t>
  </si>
  <si>
    <t>12E</t>
  </si>
  <si>
    <t>12F</t>
  </si>
  <si>
    <t>14A</t>
  </si>
  <si>
    <t>HORNELLSVILLE</t>
  </si>
  <si>
    <t>14B</t>
  </si>
  <si>
    <t>14C</t>
  </si>
  <si>
    <t>14D</t>
  </si>
  <si>
    <t>14E</t>
  </si>
  <si>
    <t>15A</t>
  </si>
  <si>
    <t>15B</t>
  </si>
  <si>
    <t>15C</t>
  </si>
  <si>
    <t>15D</t>
  </si>
  <si>
    <t>16A</t>
  </si>
  <si>
    <t>ALMOND</t>
  </si>
  <si>
    <t>16B</t>
  </si>
  <si>
    <t>16C</t>
  </si>
  <si>
    <t>17B</t>
  </si>
  <si>
    <t>SALAMANCA</t>
  </si>
  <si>
    <t>17C</t>
  </si>
  <si>
    <t>17D</t>
  </si>
  <si>
    <t>17E</t>
  </si>
  <si>
    <t>18F</t>
  </si>
  <si>
    <t>ROCK OUTCROP-ARNOT</t>
  </si>
  <si>
    <t>19A</t>
  </si>
  <si>
    <t>OLEAN</t>
  </si>
  <si>
    <t>19B</t>
  </si>
  <si>
    <t>20A</t>
  </si>
  <si>
    <t>20B</t>
  </si>
  <si>
    <t>20C</t>
  </si>
  <si>
    <t>20D</t>
  </si>
  <si>
    <t>20E</t>
  </si>
  <si>
    <t>21A</t>
  </si>
  <si>
    <t>ORAMEL</t>
  </si>
  <si>
    <t>21B</t>
  </si>
  <si>
    <t>21C</t>
  </si>
  <si>
    <t>22A</t>
  </si>
  <si>
    <t>ALLARD</t>
  </si>
  <si>
    <t>22B</t>
  </si>
  <si>
    <t>22C</t>
  </si>
  <si>
    <t>25A</t>
  </si>
  <si>
    <t>25B</t>
  </si>
  <si>
    <t>25C</t>
  </si>
  <si>
    <t>25D</t>
  </si>
  <si>
    <t>25E</t>
  </si>
  <si>
    <t>25F</t>
  </si>
  <si>
    <t>26A</t>
  </si>
  <si>
    <t>26B</t>
  </si>
  <si>
    <t>27A</t>
  </si>
  <si>
    <t>27B</t>
  </si>
  <si>
    <t>28A</t>
  </si>
  <si>
    <t>29B</t>
  </si>
  <si>
    <t>ARKPORT</t>
  </si>
  <si>
    <t>29C</t>
  </si>
  <si>
    <t>29D</t>
  </si>
  <si>
    <t>29E</t>
  </si>
  <si>
    <t>29F</t>
  </si>
  <si>
    <t>31A</t>
  </si>
  <si>
    <t>COLLAMER</t>
  </si>
  <si>
    <t>31B</t>
  </si>
  <si>
    <t>31C</t>
  </si>
  <si>
    <t>31D</t>
  </si>
  <si>
    <t>32A</t>
  </si>
  <si>
    <t>CHURCHVILLE</t>
  </si>
  <si>
    <t>32B</t>
  </si>
  <si>
    <t>33A</t>
  </si>
  <si>
    <t>WALLINGTON</t>
  </si>
  <si>
    <t>34A</t>
  </si>
  <si>
    <t>35A</t>
  </si>
  <si>
    <t>35B</t>
  </si>
  <si>
    <t>35C</t>
  </si>
  <si>
    <t>36A</t>
  </si>
  <si>
    <t>CANADICE</t>
  </si>
  <si>
    <t>37A</t>
  </si>
  <si>
    <t>TONAWANDA</t>
  </si>
  <si>
    <t>37B</t>
  </si>
  <si>
    <t>38A</t>
  </si>
  <si>
    <t>NIAGARA</t>
  </si>
  <si>
    <t>38B</t>
  </si>
  <si>
    <t>38C</t>
  </si>
  <si>
    <t>39A</t>
  </si>
  <si>
    <t>43A</t>
  </si>
  <si>
    <t>44A</t>
  </si>
  <si>
    <t>46A</t>
  </si>
  <si>
    <t>46B</t>
  </si>
  <si>
    <t>49A</t>
  </si>
  <si>
    <t>50A</t>
  </si>
  <si>
    <t>CANASERAGA</t>
  </si>
  <si>
    <t>50B</t>
  </si>
  <si>
    <t>50C</t>
  </si>
  <si>
    <t>51C</t>
  </si>
  <si>
    <t>CHADAKOIN</t>
  </si>
  <si>
    <t>51D</t>
  </si>
  <si>
    <t>51E</t>
  </si>
  <si>
    <t>51F</t>
  </si>
  <si>
    <t>52A</t>
  </si>
  <si>
    <t>52B</t>
  </si>
  <si>
    <t>52C</t>
  </si>
  <si>
    <t>52D</t>
  </si>
  <si>
    <t>52E</t>
  </si>
  <si>
    <t>52F</t>
  </si>
  <si>
    <t>53C</t>
  </si>
  <si>
    <t>VALOIS-VOLUSIA-MARDIN</t>
  </si>
  <si>
    <t>58A</t>
  </si>
  <si>
    <t>RUSHFORD</t>
  </si>
  <si>
    <t>58B</t>
  </si>
  <si>
    <t>58C</t>
  </si>
  <si>
    <t>58D</t>
  </si>
  <si>
    <t>58E</t>
  </si>
  <si>
    <t>59B</t>
  </si>
  <si>
    <t>YORKSHIRE</t>
  </si>
  <si>
    <t>59C</t>
  </si>
  <si>
    <t>59D</t>
  </si>
  <si>
    <t>60A</t>
  </si>
  <si>
    <t>NAPOLI</t>
  </si>
  <si>
    <t>60B</t>
  </si>
  <si>
    <t>60C</t>
  </si>
  <si>
    <t>60D</t>
  </si>
  <si>
    <t>61B</t>
  </si>
  <si>
    <t>SCHUYLER</t>
  </si>
  <si>
    <t>61C</t>
  </si>
  <si>
    <t>61D</t>
  </si>
  <si>
    <t>61E</t>
  </si>
  <si>
    <t>61F</t>
  </si>
  <si>
    <t>62B</t>
  </si>
  <si>
    <t>62C</t>
  </si>
  <si>
    <t>62D</t>
  </si>
  <si>
    <t>62E</t>
  </si>
  <si>
    <t>64C</t>
  </si>
  <si>
    <t>64D</t>
  </si>
  <si>
    <t>66B</t>
  </si>
  <si>
    <t>VOLUSIA-MORRIS</t>
  </si>
  <si>
    <t>66C</t>
  </si>
  <si>
    <t>67A</t>
  </si>
  <si>
    <t>DALTON</t>
  </si>
  <si>
    <t>67B</t>
  </si>
  <si>
    <t>67C</t>
  </si>
  <si>
    <t>68A</t>
  </si>
  <si>
    <t>68B</t>
  </si>
  <si>
    <t>68C</t>
  </si>
  <si>
    <t>68D</t>
  </si>
  <si>
    <t>69A</t>
  </si>
  <si>
    <t>ERIE</t>
  </si>
  <si>
    <t>69B</t>
  </si>
  <si>
    <t>69C</t>
  </si>
  <si>
    <t>71B</t>
  </si>
  <si>
    <t>MONGAUP</t>
  </si>
  <si>
    <t>71C</t>
  </si>
  <si>
    <t>71D</t>
  </si>
  <si>
    <t>MONGAUP-ISCHUA</t>
  </si>
  <si>
    <t>71E</t>
  </si>
  <si>
    <t>71F</t>
  </si>
  <si>
    <t>72B</t>
  </si>
  <si>
    <t>72C</t>
  </si>
  <si>
    <t>72D</t>
  </si>
  <si>
    <t>72E</t>
  </si>
  <si>
    <t>72F</t>
  </si>
  <si>
    <t>73A</t>
  </si>
  <si>
    <t>GRETOR</t>
  </si>
  <si>
    <t>73B</t>
  </si>
  <si>
    <t>73C</t>
  </si>
  <si>
    <t>75A</t>
  </si>
  <si>
    <t>76A</t>
  </si>
  <si>
    <t>ORPARK</t>
  </si>
  <si>
    <t>76B</t>
  </si>
  <si>
    <t>76C</t>
  </si>
  <si>
    <t>77A</t>
  </si>
  <si>
    <t>CHIPPEWA</t>
  </si>
  <si>
    <t>77B</t>
  </si>
  <si>
    <t>78A</t>
  </si>
  <si>
    <t>78B</t>
  </si>
  <si>
    <t>78C</t>
  </si>
  <si>
    <t>78D</t>
  </si>
  <si>
    <t>78E</t>
  </si>
  <si>
    <t>79B</t>
  </si>
  <si>
    <t>79C</t>
  </si>
  <si>
    <t>79D</t>
  </si>
  <si>
    <t>79E</t>
  </si>
  <si>
    <t>79F</t>
  </si>
  <si>
    <t>80A</t>
  </si>
  <si>
    <t>FREMONT</t>
  </si>
  <si>
    <t>80B</t>
  </si>
  <si>
    <t>80C</t>
  </si>
  <si>
    <t>80D</t>
  </si>
  <si>
    <t>81A</t>
  </si>
  <si>
    <t>VARYSBURG</t>
  </si>
  <si>
    <t>81B</t>
  </si>
  <si>
    <t>81C</t>
  </si>
  <si>
    <t>81D</t>
  </si>
  <si>
    <t>81E</t>
  </si>
  <si>
    <t>81F</t>
  </si>
  <si>
    <t>84B</t>
  </si>
  <si>
    <t>ELKO</t>
  </si>
  <si>
    <t>85B</t>
  </si>
  <si>
    <t>ONOVILLE</t>
  </si>
  <si>
    <t>85C</t>
  </si>
  <si>
    <t>85D</t>
  </si>
  <si>
    <t>86C</t>
  </si>
  <si>
    <t>ELDRED</t>
  </si>
  <si>
    <t>86D</t>
  </si>
  <si>
    <t>87A</t>
  </si>
  <si>
    <t>SHONGO</t>
  </si>
  <si>
    <t>87B</t>
  </si>
  <si>
    <t>87C</t>
  </si>
  <si>
    <t>88A</t>
  </si>
  <si>
    <t>IVORY</t>
  </si>
  <si>
    <t>88B</t>
  </si>
  <si>
    <t>88C</t>
  </si>
  <si>
    <t>89B</t>
  </si>
  <si>
    <t>PORTVILLE</t>
  </si>
  <si>
    <t>89C</t>
  </si>
  <si>
    <t>91A</t>
  </si>
  <si>
    <t>NATCHAUG</t>
  </si>
  <si>
    <t>92A</t>
  </si>
  <si>
    <t>CATDEN</t>
  </si>
  <si>
    <t>93A</t>
  </si>
  <si>
    <t>AQUEPTS-AQUENTS-SAPRIS</t>
  </si>
  <si>
    <t>95B</t>
  </si>
  <si>
    <t>MANDY</t>
  </si>
  <si>
    <t>95C</t>
  </si>
  <si>
    <t>95D</t>
  </si>
  <si>
    <t>95E</t>
  </si>
  <si>
    <t>95F</t>
  </si>
  <si>
    <t>96B</t>
  </si>
  <si>
    <t>CARROLLTON</t>
  </si>
  <si>
    <t>96C</t>
  </si>
  <si>
    <t>96D</t>
  </si>
  <si>
    <t>96E</t>
  </si>
  <si>
    <t>96F</t>
  </si>
  <si>
    <t>97D</t>
  </si>
  <si>
    <t>KINZUA</t>
  </si>
  <si>
    <t>97E</t>
  </si>
  <si>
    <t>97F</t>
  </si>
  <si>
    <t>98D</t>
  </si>
  <si>
    <t>98E</t>
  </si>
  <si>
    <t>98F</t>
  </si>
  <si>
    <t>99B</t>
  </si>
  <si>
    <t>BUCHANAN</t>
  </si>
  <si>
    <t>99C</t>
  </si>
  <si>
    <t>99D</t>
  </si>
  <si>
    <t>100D</t>
  </si>
  <si>
    <t>101D</t>
  </si>
  <si>
    <t>103C</t>
  </si>
  <si>
    <t>KNAPP CREEK-ROCK OUTCR</t>
  </si>
  <si>
    <t>111A</t>
  </si>
  <si>
    <t>MIDDLEBROOK</t>
  </si>
  <si>
    <t>111B</t>
  </si>
  <si>
    <t>111C</t>
  </si>
  <si>
    <t>114B</t>
  </si>
  <si>
    <t>114C</t>
  </si>
  <si>
    <t>114D</t>
  </si>
  <si>
    <t>114E</t>
  </si>
  <si>
    <t>115B</t>
  </si>
  <si>
    <t>115C</t>
  </si>
  <si>
    <t>115D</t>
  </si>
  <si>
    <t>116A</t>
  </si>
  <si>
    <t>116B</t>
  </si>
  <si>
    <t>116C</t>
  </si>
  <si>
    <t>117C</t>
  </si>
  <si>
    <t>117D</t>
  </si>
  <si>
    <t>118B</t>
  </si>
  <si>
    <t>118C</t>
  </si>
  <si>
    <t>120A</t>
  </si>
  <si>
    <t>120B</t>
  </si>
  <si>
    <t>120C</t>
  </si>
  <si>
    <t>122B</t>
  </si>
  <si>
    <t>122C</t>
  </si>
  <si>
    <t>122D</t>
  </si>
  <si>
    <t>122E</t>
  </si>
  <si>
    <t>122F</t>
  </si>
  <si>
    <t>124B</t>
  </si>
  <si>
    <t>124C</t>
  </si>
  <si>
    <t>124D</t>
  </si>
  <si>
    <t>124E</t>
  </si>
  <si>
    <t>125A</t>
  </si>
  <si>
    <t>125B</t>
  </si>
  <si>
    <t>125C</t>
  </si>
  <si>
    <t>125D</t>
  </si>
  <si>
    <t>125E</t>
  </si>
  <si>
    <t>125F</t>
  </si>
  <si>
    <t>126A</t>
  </si>
  <si>
    <t>126B</t>
  </si>
  <si>
    <t>126C</t>
  </si>
  <si>
    <t>126D</t>
  </si>
  <si>
    <t>132A</t>
  </si>
  <si>
    <t>WISCOY-VOLUSIA</t>
  </si>
  <si>
    <t>132B</t>
  </si>
  <si>
    <t>132C</t>
  </si>
  <si>
    <t>134C</t>
  </si>
  <si>
    <t>134D</t>
  </si>
  <si>
    <t>134E</t>
  </si>
  <si>
    <t>135B</t>
  </si>
  <si>
    <t>135C</t>
  </si>
  <si>
    <t>135D</t>
  </si>
  <si>
    <t>135E</t>
  </si>
  <si>
    <t>135F</t>
  </si>
  <si>
    <t>140E</t>
  </si>
  <si>
    <t>DUNKIRK</t>
  </si>
  <si>
    <t>150B</t>
  </si>
  <si>
    <t>167A</t>
  </si>
  <si>
    <t>167B</t>
  </si>
  <si>
    <t>171C</t>
  </si>
  <si>
    <t>171D</t>
  </si>
  <si>
    <t>LORDSTOWN-TOWERVILLE</t>
  </si>
  <si>
    <t>171E</t>
  </si>
  <si>
    <t>171F</t>
  </si>
  <si>
    <t>177A</t>
  </si>
  <si>
    <t>177B</t>
  </si>
  <si>
    <t>179B</t>
  </si>
  <si>
    <t>179C</t>
  </si>
  <si>
    <t>179D</t>
  </si>
  <si>
    <t>179E</t>
  </si>
  <si>
    <t>179F</t>
  </si>
  <si>
    <t>185B</t>
  </si>
  <si>
    <t>185C</t>
  </si>
  <si>
    <t>185D</t>
  </si>
  <si>
    <t>187B</t>
  </si>
  <si>
    <t>187C</t>
  </si>
  <si>
    <t>188B</t>
  </si>
  <si>
    <t>KANONA</t>
  </si>
  <si>
    <t>188C</t>
  </si>
  <si>
    <t>195C</t>
  </si>
  <si>
    <t>195D</t>
  </si>
  <si>
    <t>195E</t>
  </si>
  <si>
    <t>195F</t>
  </si>
  <si>
    <t>200D</t>
  </si>
  <si>
    <t>216B</t>
  </si>
  <si>
    <t>216C</t>
  </si>
  <si>
    <t>289B</t>
  </si>
  <si>
    <t>CERES</t>
  </si>
  <si>
    <t>289C</t>
  </si>
  <si>
    <t>289D</t>
  </si>
  <si>
    <t>289E</t>
  </si>
  <si>
    <t>289F</t>
  </si>
  <si>
    <t>292A</t>
  </si>
  <si>
    <t>BARBOUR RN:POPE</t>
  </si>
  <si>
    <t>293A</t>
  </si>
  <si>
    <t>BASHER RN:PHILO</t>
  </si>
  <si>
    <t>300A</t>
  </si>
  <si>
    <t>496C</t>
  </si>
  <si>
    <t>496D</t>
  </si>
  <si>
    <t>497D</t>
  </si>
  <si>
    <t>RAYNE</t>
  </si>
  <si>
    <t>497E</t>
  </si>
  <si>
    <t>800A</t>
  </si>
  <si>
    <t>HOLDERTON</t>
  </si>
  <si>
    <t>PG</t>
  </si>
  <si>
    <t>PQ</t>
  </si>
  <si>
    <t>UR</t>
  </si>
  <si>
    <t>AcA</t>
  </si>
  <si>
    <t>ALDEN-CHIPPEWA</t>
  </si>
  <si>
    <t>ALLUVIAL LAND</t>
  </si>
  <si>
    <t>ArD</t>
  </si>
  <si>
    <t>BRACEVILLE</t>
  </si>
  <si>
    <t>CaB</t>
  </si>
  <si>
    <t>CaC</t>
  </si>
  <si>
    <t>CcC</t>
  </si>
  <si>
    <t>CcD</t>
  </si>
  <si>
    <t>CcE</t>
  </si>
  <si>
    <t>CHENANGO-HOWARD</t>
  </si>
  <si>
    <t>ChE</t>
  </si>
  <si>
    <t>CpB</t>
  </si>
  <si>
    <t>CuB</t>
  </si>
  <si>
    <t>CuC</t>
  </si>
  <si>
    <t>CULVERS</t>
  </si>
  <si>
    <t>CuD</t>
  </si>
  <si>
    <t>Cv</t>
  </si>
  <si>
    <t>CUT AND FILL LAND</t>
  </si>
  <si>
    <t>Cw</t>
  </si>
  <si>
    <t>Cy</t>
  </si>
  <si>
    <t>LdB</t>
  </si>
  <si>
    <t>LdC</t>
  </si>
  <si>
    <t>LdD</t>
  </si>
  <si>
    <t>LoE</t>
  </si>
  <si>
    <t>LORDSTOWN-OQUAGA</t>
  </si>
  <si>
    <t>LrF</t>
  </si>
  <si>
    <t>LsE</t>
  </si>
  <si>
    <t>Mf</t>
  </si>
  <si>
    <t>MADE LAND</t>
  </si>
  <si>
    <t>MhB</t>
  </si>
  <si>
    <t>MhC</t>
  </si>
  <si>
    <t>MhD</t>
  </si>
  <si>
    <t>MhE</t>
  </si>
  <si>
    <t>MmB</t>
  </si>
  <si>
    <t>MnC</t>
  </si>
  <si>
    <t>MARDIN-CHENANGO</t>
  </si>
  <si>
    <t>MnD</t>
  </si>
  <si>
    <t>MrF</t>
  </si>
  <si>
    <t>Ms</t>
  </si>
  <si>
    <t>MtB</t>
  </si>
  <si>
    <t>MtC</t>
  </si>
  <si>
    <t>MuD</t>
  </si>
  <si>
    <t>MORRIS-TULLER</t>
  </si>
  <si>
    <t>OuC</t>
  </si>
  <si>
    <t>OuD</t>
  </si>
  <si>
    <t>PEAT-MUCK</t>
  </si>
  <si>
    <t>Sc</t>
  </si>
  <si>
    <t>Ta</t>
  </si>
  <si>
    <t>Tg</t>
  </si>
  <si>
    <t>TuD</t>
  </si>
  <si>
    <t>TULLER</t>
  </si>
  <si>
    <t>VoC3</t>
  </si>
  <si>
    <t>VoD</t>
  </si>
  <si>
    <t>Wd</t>
  </si>
  <si>
    <t>7A</t>
  </si>
  <si>
    <t>PHILO</t>
  </si>
  <si>
    <t>ATKINS</t>
  </si>
  <si>
    <t>12B</t>
  </si>
  <si>
    <t>18A</t>
  </si>
  <si>
    <t>POPE</t>
  </si>
  <si>
    <t>29A</t>
  </si>
  <si>
    <t>GETZVILLE</t>
  </si>
  <si>
    <t>HALSEY</t>
  </si>
  <si>
    <t>40A</t>
  </si>
  <si>
    <t>WILLIAMSON</t>
  </si>
  <si>
    <t>40B</t>
  </si>
  <si>
    <t>40C</t>
  </si>
  <si>
    <t>41A</t>
  </si>
  <si>
    <t>BARCELONA</t>
  </si>
  <si>
    <t>41B</t>
  </si>
  <si>
    <t>42A</t>
  </si>
  <si>
    <t>42B</t>
  </si>
  <si>
    <t>SWORMVILLE</t>
  </si>
  <si>
    <t>47A</t>
  </si>
  <si>
    <t>MINOA</t>
  </si>
  <si>
    <t>48A</t>
  </si>
  <si>
    <t>48B</t>
  </si>
  <si>
    <t>48C</t>
  </si>
  <si>
    <t>51B</t>
  </si>
  <si>
    <t>55A</t>
  </si>
  <si>
    <t>DARIEN</t>
  </si>
  <si>
    <t>55B</t>
  </si>
  <si>
    <t>55C</t>
  </si>
  <si>
    <t>56B</t>
  </si>
  <si>
    <t>56C</t>
  </si>
  <si>
    <t>56D</t>
  </si>
  <si>
    <t>57A</t>
  </si>
  <si>
    <t>57B</t>
  </si>
  <si>
    <t>57C</t>
  </si>
  <si>
    <t>63B</t>
  </si>
  <si>
    <t>LANGFORD</t>
  </si>
  <si>
    <t>63C</t>
  </si>
  <si>
    <t>63D</t>
  </si>
  <si>
    <t>ASHVILLE</t>
  </si>
  <si>
    <t>78F</t>
  </si>
  <si>
    <t>HORNELL-HUDSON</t>
  </si>
  <si>
    <t>82F</t>
  </si>
  <si>
    <t>ROCK OUTCROP-MANLIUS</t>
  </si>
  <si>
    <t>84C</t>
  </si>
  <si>
    <t>86B</t>
  </si>
  <si>
    <t>88D</t>
  </si>
  <si>
    <t>90A</t>
  </si>
  <si>
    <t>BRINKERTON</t>
  </si>
  <si>
    <t>90B</t>
  </si>
  <si>
    <t>SAPRISTS</t>
  </si>
  <si>
    <t>94B</t>
  </si>
  <si>
    <t>FREWSBURG</t>
  </si>
  <si>
    <t>94C</t>
  </si>
  <si>
    <t>97B</t>
  </si>
  <si>
    <t>97C</t>
  </si>
  <si>
    <t>102C</t>
  </si>
  <si>
    <t>MANDY-ROCK OUTCROP</t>
  </si>
  <si>
    <t>104B</t>
  </si>
  <si>
    <t>FLATIRON</t>
  </si>
  <si>
    <t>104C</t>
  </si>
  <si>
    <t>104D</t>
  </si>
  <si>
    <t>104E</t>
  </si>
  <si>
    <t>108D</t>
  </si>
  <si>
    <t>HARTLETON</t>
  </si>
  <si>
    <t>108E</t>
  </si>
  <si>
    <t>108F</t>
  </si>
  <si>
    <t>LAMSON</t>
  </si>
  <si>
    <t>WISCOY</t>
  </si>
  <si>
    <t>140D</t>
  </si>
  <si>
    <t>CAVODE</t>
  </si>
  <si>
    <t>188D</t>
  </si>
  <si>
    <t>189B</t>
  </si>
  <si>
    <t>189C</t>
  </si>
  <si>
    <t>199C</t>
  </si>
  <si>
    <t>199D</t>
  </si>
  <si>
    <t>496B</t>
  </si>
  <si>
    <t>497F</t>
  </si>
  <si>
    <t>498E</t>
  </si>
  <si>
    <t>Pg</t>
  </si>
  <si>
    <t>Ac</t>
  </si>
  <si>
    <t>Al</t>
  </si>
  <si>
    <t>AmA</t>
  </si>
  <si>
    <t>ALTON</t>
  </si>
  <si>
    <t>AmB</t>
  </si>
  <si>
    <t>AoD</t>
  </si>
  <si>
    <t>ALTON-HOWARD</t>
  </si>
  <si>
    <t>ArB</t>
  </si>
  <si>
    <t>APPLETON-LYONS</t>
  </si>
  <si>
    <t>AtB</t>
  </si>
  <si>
    <t>AtC</t>
  </si>
  <si>
    <t>AuC</t>
  </si>
  <si>
    <t>AuD</t>
  </si>
  <si>
    <t>AvE</t>
  </si>
  <si>
    <t>AwB</t>
  </si>
  <si>
    <t>AURORA</t>
  </si>
  <si>
    <t>AwC</t>
  </si>
  <si>
    <t>AwC3</t>
  </si>
  <si>
    <t>AwD3</t>
  </si>
  <si>
    <t>AwE</t>
  </si>
  <si>
    <t>AxB</t>
  </si>
  <si>
    <t>AyD</t>
  </si>
  <si>
    <t>AURORA-FARMINGTON</t>
  </si>
  <si>
    <t>AyE</t>
  </si>
  <si>
    <t>AzF</t>
  </si>
  <si>
    <t>AURORA-FARMINGTON-BEN</t>
  </si>
  <si>
    <t>BeB</t>
  </si>
  <si>
    <t>BlB</t>
  </si>
  <si>
    <t>BROCKPORT-LOCKPORT</t>
  </si>
  <si>
    <t>CAMILLUS</t>
  </si>
  <si>
    <t>CaC3</t>
  </si>
  <si>
    <t>CAZENOVIA</t>
  </si>
  <si>
    <t>CeC</t>
  </si>
  <si>
    <t>CeC3</t>
  </si>
  <si>
    <t>CeCK</t>
  </si>
  <si>
    <t>CeD</t>
  </si>
  <si>
    <t>CAZENOVIA-SCHOHARIE</t>
  </si>
  <si>
    <t>CmB</t>
  </si>
  <si>
    <t>CmC</t>
  </si>
  <si>
    <t>CpD</t>
  </si>
  <si>
    <t>COLONIE-ARKPORT</t>
  </si>
  <si>
    <t>CsA</t>
  </si>
  <si>
    <t>DuB</t>
  </si>
  <si>
    <t>DuC3</t>
  </si>
  <si>
    <t>DuD3</t>
  </si>
  <si>
    <t>DvE</t>
  </si>
  <si>
    <t>Ee</t>
  </si>
  <si>
    <t>EEL</t>
  </si>
  <si>
    <t>Eh</t>
  </si>
  <si>
    <t>CHIPPEWA-ALDEN</t>
  </si>
  <si>
    <t>ErA</t>
  </si>
  <si>
    <t>ErB</t>
  </si>
  <si>
    <t>EsA</t>
  </si>
  <si>
    <t>EsB</t>
  </si>
  <si>
    <t>FaC</t>
  </si>
  <si>
    <t>Fr</t>
  </si>
  <si>
    <t>FREDON</t>
  </si>
  <si>
    <t>Fw</t>
  </si>
  <si>
    <t>FRESH WATER MARSH</t>
  </si>
  <si>
    <t>GaA</t>
  </si>
  <si>
    <t>GALEN</t>
  </si>
  <si>
    <t>GaB</t>
  </si>
  <si>
    <t>Gn</t>
  </si>
  <si>
    <t>GENESEE</t>
  </si>
  <si>
    <t>Go</t>
  </si>
  <si>
    <t>Gv</t>
  </si>
  <si>
    <t>HlA</t>
  </si>
  <si>
    <t>HILTON</t>
  </si>
  <si>
    <t>HlB</t>
  </si>
  <si>
    <t>HsD</t>
  </si>
  <si>
    <t>HwA</t>
  </si>
  <si>
    <t>HwB</t>
  </si>
  <si>
    <t>HwC</t>
  </si>
  <si>
    <t>IrA</t>
  </si>
  <si>
    <t>IRA</t>
  </si>
  <si>
    <t>IrB</t>
  </si>
  <si>
    <t>IsD</t>
  </si>
  <si>
    <t>IRA-SODUS</t>
  </si>
  <si>
    <t>KENDAIA</t>
  </si>
  <si>
    <t>KlA</t>
  </si>
  <si>
    <t>KENDAIA-LYONS</t>
  </si>
  <si>
    <t>Lb</t>
  </si>
  <si>
    <t>LAKE BEACHES</t>
  </si>
  <si>
    <t>Lc</t>
  </si>
  <si>
    <t>LAKEMONT</t>
  </si>
  <si>
    <t>Le</t>
  </si>
  <si>
    <t>Lf</t>
  </si>
  <si>
    <t>LgB</t>
  </si>
  <si>
    <t>LgC</t>
  </si>
  <si>
    <t>LgCK</t>
  </si>
  <si>
    <t>LgD</t>
  </si>
  <si>
    <t>LhB</t>
  </si>
  <si>
    <t>LANGFORD-HOWARD</t>
  </si>
  <si>
    <t>LhD</t>
  </si>
  <si>
    <t>LhE</t>
  </si>
  <si>
    <t>LnB</t>
  </si>
  <si>
    <t>LsB</t>
  </si>
  <si>
    <t>LsC</t>
  </si>
  <si>
    <t>LtA</t>
  </si>
  <si>
    <t>LtB</t>
  </si>
  <si>
    <t>LwB</t>
  </si>
  <si>
    <t>LwC</t>
  </si>
  <si>
    <t>Mb</t>
  </si>
  <si>
    <t>Mc</t>
  </si>
  <si>
    <t>Md</t>
  </si>
  <si>
    <t>Mr</t>
  </si>
  <si>
    <t>MUCK-DEEP</t>
  </si>
  <si>
    <t>MUCK-SHALLOW</t>
  </si>
  <si>
    <t>Na</t>
  </si>
  <si>
    <t>Nc</t>
  </si>
  <si>
    <t>NIAGARA-CANANDAIGUA</t>
  </si>
  <si>
    <t>OdA</t>
  </si>
  <si>
    <t>ODESSA</t>
  </si>
  <si>
    <t>OdB</t>
  </si>
  <si>
    <t>OfB</t>
  </si>
  <si>
    <t>ONTARIO</t>
  </si>
  <si>
    <t>OfC</t>
  </si>
  <si>
    <t>OnB</t>
  </si>
  <si>
    <t>OnC</t>
  </si>
  <si>
    <t>OnD</t>
  </si>
  <si>
    <t>OrA</t>
  </si>
  <si>
    <t>OrB</t>
  </si>
  <si>
    <t>OrC</t>
  </si>
  <si>
    <t>OtE</t>
  </si>
  <si>
    <t>ONTARIO-HONEOYE-LANSI</t>
  </si>
  <si>
    <t>OtF</t>
  </si>
  <si>
    <t>OvA</t>
  </si>
  <si>
    <t>OVID</t>
  </si>
  <si>
    <t>OvB</t>
  </si>
  <si>
    <t>PaB</t>
  </si>
  <si>
    <t>PALMYRA</t>
  </si>
  <si>
    <t>PaC</t>
  </si>
  <si>
    <t>PgA</t>
  </si>
  <si>
    <t>PgB</t>
  </si>
  <si>
    <t>PgC</t>
  </si>
  <si>
    <t>PmD</t>
  </si>
  <si>
    <t>PnE</t>
  </si>
  <si>
    <t>PALMYRA-HOWARD-ALTON</t>
  </si>
  <si>
    <t>Pv</t>
  </si>
  <si>
    <t>PHELPS</t>
  </si>
  <si>
    <t>RgB</t>
  </si>
  <si>
    <t>RIGA-LAIRDSVILLE</t>
  </si>
  <si>
    <t>RlC3</t>
  </si>
  <si>
    <t>Ro</t>
  </si>
  <si>
    <t>ROMULUS</t>
  </si>
  <si>
    <t>SeB</t>
  </si>
  <si>
    <t>SCHOHARIE</t>
  </si>
  <si>
    <t>ShC</t>
  </si>
  <si>
    <t>ShD</t>
  </si>
  <si>
    <t>Sk</t>
  </si>
  <si>
    <t>SCRIBA</t>
  </si>
  <si>
    <t>Sm</t>
  </si>
  <si>
    <t>Sn</t>
  </si>
  <si>
    <t>SLOAN</t>
  </si>
  <si>
    <t>SoB</t>
  </si>
  <si>
    <t>SODUS</t>
  </si>
  <si>
    <t>SoC</t>
  </si>
  <si>
    <t>SoC3</t>
  </si>
  <si>
    <t>SoCK</t>
  </si>
  <si>
    <t>SoD</t>
  </si>
  <si>
    <t>SoE</t>
  </si>
  <si>
    <t>Uc</t>
  </si>
  <si>
    <t>URBAN LAND-CAZENOVIA</t>
  </si>
  <si>
    <t>Va</t>
  </si>
  <si>
    <t>VARICK</t>
  </si>
  <si>
    <t>WaA</t>
  </si>
  <si>
    <t>WAMPSVILLE</t>
  </si>
  <si>
    <t>WaB</t>
  </si>
  <si>
    <t>We</t>
  </si>
  <si>
    <t>WARNERS</t>
  </si>
  <si>
    <t>Wf</t>
  </si>
  <si>
    <t>WmA</t>
  </si>
  <si>
    <t>WmB</t>
  </si>
  <si>
    <t>WmC3</t>
  </si>
  <si>
    <t>AlA</t>
  </si>
  <si>
    <t>AlB</t>
  </si>
  <si>
    <t>As</t>
  </si>
  <si>
    <t>BrA</t>
  </si>
  <si>
    <t>BrB</t>
  </si>
  <si>
    <t>BsA</t>
  </si>
  <si>
    <t>BsB</t>
  </si>
  <si>
    <t>BsC</t>
  </si>
  <si>
    <t>CdB</t>
  </si>
  <si>
    <t>CdC</t>
  </si>
  <si>
    <t>CfC</t>
  </si>
  <si>
    <t>CfD</t>
  </si>
  <si>
    <t>ChF</t>
  </si>
  <si>
    <t>CkC</t>
  </si>
  <si>
    <t>CkD</t>
  </si>
  <si>
    <t>CnA</t>
  </si>
  <si>
    <t>CnC</t>
  </si>
  <si>
    <t>CnD</t>
  </si>
  <si>
    <t>CnE</t>
  </si>
  <si>
    <t>CpA</t>
  </si>
  <si>
    <t>CpC</t>
  </si>
  <si>
    <t>CvB</t>
  </si>
  <si>
    <t>CvC</t>
  </si>
  <si>
    <t>DaA</t>
  </si>
  <si>
    <t>DeA</t>
  </si>
  <si>
    <t>DkD</t>
  </si>
  <si>
    <t>DkE</t>
  </si>
  <si>
    <t>ErC</t>
  </si>
  <si>
    <t>Fe</t>
  </si>
  <si>
    <t>FmA</t>
  </si>
  <si>
    <t>FmB</t>
  </si>
  <si>
    <t>FmC</t>
  </si>
  <si>
    <t>FmD</t>
  </si>
  <si>
    <t>Ge</t>
  </si>
  <si>
    <t>He</t>
  </si>
  <si>
    <t>Hm</t>
  </si>
  <si>
    <t>HENRIETTA</t>
  </si>
  <si>
    <t>HINESBURG</t>
  </si>
  <si>
    <t>Ho</t>
  </si>
  <si>
    <t>HrA</t>
  </si>
  <si>
    <t>IvB</t>
  </si>
  <si>
    <t>KnE</t>
  </si>
  <si>
    <t>La</t>
  </si>
  <si>
    <t>LnC</t>
  </si>
  <si>
    <t>MdB</t>
  </si>
  <si>
    <t>MdC</t>
  </si>
  <si>
    <t>MdD</t>
  </si>
  <si>
    <t>Me</t>
  </si>
  <si>
    <t>Mn</t>
  </si>
  <si>
    <t>NgA</t>
  </si>
  <si>
    <t>NgB</t>
  </si>
  <si>
    <t>OrD</t>
  </si>
  <si>
    <t>Po</t>
  </si>
  <si>
    <t>POMPTON</t>
  </si>
  <si>
    <t>RaA</t>
  </si>
  <si>
    <t>RaB</t>
  </si>
  <si>
    <t>Rf</t>
  </si>
  <si>
    <t>Rh</t>
  </si>
  <si>
    <t>RnA</t>
  </si>
  <si>
    <t>RoF</t>
  </si>
  <si>
    <t>ShB</t>
  </si>
  <si>
    <t>ShE</t>
  </si>
  <si>
    <t>ShF</t>
  </si>
  <si>
    <t>SoA</t>
  </si>
  <si>
    <t>Sw</t>
  </si>
  <si>
    <t>ToB</t>
  </si>
  <si>
    <t>ToC</t>
  </si>
  <si>
    <t>ToD</t>
  </si>
  <si>
    <t>ToE</t>
  </si>
  <si>
    <t>ToF</t>
  </si>
  <si>
    <t>VcC</t>
  </si>
  <si>
    <t>Wy</t>
  </si>
  <si>
    <t>Ab</t>
  </si>
  <si>
    <t>HOMER</t>
  </si>
  <si>
    <t>HoD</t>
  </si>
  <si>
    <t>HsB</t>
  </si>
  <si>
    <t>HtC3</t>
  </si>
  <si>
    <t>HtE3</t>
  </si>
  <si>
    <t>LbB</t>
  </si>
  <si>
    <t>LbC</t>
  </si>
  <si>
    <t>LbD</t>
  </si>
  <si>
    <t>LnD</t>
  </si>
  <si>
    <t>LoF</t>
  </si>
  <si>
    <t>Mu</t>
  </si>
  <si>
    <t>MUCK</t>
  </si>
  <si>
    <t>PAPAKATING</t>
  </si>
  <si>
    <t>PhA</t>
  </si>
  <si>
    <t>Tf</t>
  </si>
  <si>
    <t>Th</t>
  </si>
  <si>
    <t>WlA</t>
  </si>
  <si>
    <t>AsC</t>
  </si>
  <si>
    <t>BaB</t>
  </si>
  <si>
    <t>BaC</t>
  </si>
  <si>
    <t>BaD</t>
  </si>
  <si>
    <t>BATH-VALOIS</t>
  </si>
  <si>
    <t>BvC</t>
  </si>
  <si>
    <t>BvD</t>
  </si>
  <si>
    <t>CbB</t>
  </si>
  <si>
    <t>CbC</t>
  </si>
  <si>
    <t>CdA</t>
  </si>
  <si>
    <t>CkA</t>
  </si>
  <si>
    <t>Cm</t>
  </si>
  <si>
    <t>Cn</t>
  </si>
  <si>
    <t>GREENE</t>
  </si>
  <si>
    <t>GrC</t>
  </si>
  <si>
    <t>HpA</t>
  </si>
  <si>
    <t>HpB</t>
  </si>
  <si>
    <t>HpC</t>
  </si>
  <si>
    <t>MaD</t>
  </si>
  <si>
    <t>MARDIN-LACKAWANNA</t>
  </si>
  <si>
    <t>MARDIN-WELLSBORO</t>
  </si>
  <si>
    <t>MoA</t>
  </si>
  <si>
    <t>OaB</t>
  </si>
  <si>
    <t>OaC</t>
  </si>
  <si>
    <t>OlB</t>
  </si>
  <si>
    <t>OlC</t>
  </si>
  <si>
    <t>OlE</t>
  </si>
  <si>
    <t>PhB</t>
  </si>
  <si>
    <t>RhC</t>
  </si>
  <si>
    <t>Tr</t>
  </si>
  <si>
    <t>TRESTLE</t>
  </si>
  <si>
    <t>Tu</t>
  </si>
  <si>
    <t>UDIFLUVENTS-FLUVAQUEN</t>
  </si>
  <si>
    <t>VpB</t>
  </si>
  <si>
    <t>10A</t>
  </si>
  <si>
    <t>PLEASANT LAKE-BURNT VL</t>
  </si>
  <si>
    <t>LOXLEY-BESEMAN</t>
  </si>
  <si>
    <t>BESEMAN-RUMNEY-LOXLEY</t>
  </si>
  <si>
    <t>211A</t>
  </si>
  <si>
    <t>BURNT VLY-HUMAQUEPTS-P</t>
  </si>
  <si>
    <t>SEARSPORT-BOROSAP-NAUM</t>
  </si>
  <si>
    <t>375C</t>
  </si>
  <si>
    <t>COLTON-ADAMS</t>
  </si>
  <si>
    <t>375F</t>
  </si>
  <si>
    <t>393B</t>
  </si>
  <si>
    <t>ADAMS-WOLF POND</t>
  </si>
  <si>
    <t>650C</t>
  </si>
  <si>
    <t>MONADNOCK-ADAMS-COLTON</t>
  </si>
  <si>
    <t>651C</t>
  </si>
  <si>
    <t>MONADNOCK-TUNBRIDGE-SA</t>
  </si>
  <si>
    <t>651D</t>
  </si>
  <si>
    <t>653C</t>
  </si>
  <si>
    <t>MONADNOCK</t>
  </si>
  <si>
    <t>654C</t>
  </si>
  <si>
    <t>MONADNOCK-SABATTIS</t>
  </si>
  <si>
    <t>655B</t>
  </si>
  <si>
    <t>SUNAPEE-MONADNOCK</t>
  </si>
  <si>
    <t>661C</t>
  </si>
  <si>
    <t>HERMON</t>
  </si>
  <si>
    <t>661D</t>
  </si>
  <si>
    <t>708B</t>
  </si>
  <si>
    <t>ADIRONDACK-SABATTIS-TU</t>
  </si>
  <si>
    <t>710B</t>
  </si>
  <si>
    <t>ADIRONDACK-SABATTIS</t>
  </si>
  <si>
    <t>721C</t>
  </si>
  <si>
    <t>BECKET-TUNBRIDGE-SKERR</t>
  </si>
  <si>
    <t>721D</t>
  </si>
  <si>
    <t>BECKET-TUNBRIDGE</t>
  </si>
  <si>
    <t>723C</t>
  </si>
  <si>
    <t>BECKET</t>
  </si>
  <si>
    <t>723D</t>
  </si>
  <si>
    <t>725B</t>
  </si>
  <si>
    <t>SKERRY-BECKET</t>
  </si>
  <si>
    <t>727B</t>
  </si>
  <si>
    <t>SKERRY-ADIRONDACK</t>
  </si>
  <si>
    <t>831C</t>
  </si>
  <si>
    <t>TUNBRIDGE-LYMAN</t>
  </si>
  <si>
    <t>831D</t>
  </si>
  <si>
    <t>831F</t>
  </si>
  <si>
    <t>861F</t>
  </si>
  <si>
    <t>LYMAN-KNOB LOCK</t>
  </si>
  <si>
    <t>931C</t>
  </si>
  <si>
    <t>MUNDALITE-RAWSONVLE-AMPERSAND</t>
  </si>
  <si>
    <t>931D</t>
  </si>
  <si>
    <t>MUNDALITE-RAWSONVILLE</t>
  </si>
  <si>
    <t>933C</t>
  </si>
  <si>
    <t>MUNDALITE-AMPERSAND</t>
  </si>
  <si>
    <t>941C</t>
  </si>
  <si>
    <t>RAWSONVILLE-HOGBACK</t>
  </si>
  <si>
    <t>941D</t>
  </si>
  <si>
    <t>941F</t>
  </si>
  <si>
    <t>943C</t>
  </si>
  <si>
    <t>RAWSONVILLE-BOROSAP-RI</t>
  </si>
  <si>
    <t>944F</t>
  </si>
  <si>
    <t>HOGBACK-KNOB LOCK</t>
  </si>
  <si>
    <t>945F</t>
  </si>
  <si>
    <t>HOGBACK-RICKER</t>
  </si>
  <si>
    <t>948F</t>
  </si>
  <si>
    <t>ROCK-KNOB LOCK-HOGBACK</t>
  </si>
  <si>
    <t>949F</t>
  </si>
  <si>
    <t>ROCK OUTCROP-RICKER-HO</t>
  </si>
  <si>
    <t>991D</t>
  </si>
  <si>
    <t>GLEBE-SKYLIGHT</t>
  </si>
  <si>
    <t>997F</t>
  </si>
  <si>
    <t>RICKER-SKYLIGHT-ROCK</t>
  </si>
  <si>
    <t>AbA</t>
  </si>
  <si>
    <t>ADAMS</t>
  </si>
  <si>
    <t>AbB</t>
  </si>
  <si>
    <t>AbC</t>
  </si>
  <si>
    <t>AbD</t>
  </si>
  <si>
    <t>AgB</t>
  </si>
  <si>
    <t>ADIRONDACK</t>
  </si>
  <si>
    <t>AhB</t>
  </si>
  <si>
    <t>Ak</t>
  </si>
  <si>
    <t>ADJIDAUMO</t>
  </si>
  <si>
    <t>COLTON</t>
  </si>
  <si>
    <t>Am</t>
  </si>
  <si>
    <t>AtA</t>
  </si>
  <si>
    <t>AMENIA</t>
  </si>
  <si>
    <t>AwA</t>
  </si>
  <si>
    <t>APPLETON</t>
  </si>
  <si>
    <t>BcB</t>
  </si>
  <si>
    <t>BcC</t>
  </si>
  <si>
    <t>BeD</t>
  </si>
  <si>
    <t>BgC</t>
  </si>
  <si>
    <t>BgE</t>
  </si>
  <si>
    <t>Bo</t>
  </si>
  <si>
    <t>BESEMAN</t>
  </si>
  <si>
    <t>BICE</t>
  </si>
  <si>
    <t>BrC</t>
  </si>
  <si>
    <t>BsD</t>
  </si>
  <si>
    <t>BOMBAY</t>
  </si>
  <si>
    <t>Bx</t>
  </si>
  <si>
    <t>BUCKSPORT</t>
  </si>
  <si>
    <t>CgA</t>
  </si>
  <si>
    <t>CHAMPLAIN</t>
  </si>
  <si>
    <t>CHAMPLAIN-ADAMS</t>
  </si>
  <si>
    <t>Ck</t>
  </si>
  <si>
    <t>CHURUBUSCO</t>
  </si>
  <si>
    <t>ClC</t>
  </si>
  <si>
    <t>COLOSSE-HERMON</t>
  </si>
  <si>
    <t>COLOSSE-TROUT RIVER</t>
  </si>
  <si>
    <t>CpE</t>
  </si>
  <si>
    <t>Crk</t>
  </si>
  <si>
    <t>COOK</t>
  </si>
  <si>
    <t>Crr</t>
  </si>
  <si>
    <t>CORNISH</t>
  </si>
  <si>
    <t>COVERT</t>
  </si>
  <si>
    <t>CtsA</t>
  </si>
  <si>
    <t>COVERTFALLS</t>
  </si>
  <si>
    <t>CtsB</t>
  </si>
  <si>
    <t>CttB</t>
  </si>
  <si>
    <t>CvA</t>
  </si>
  <si>
    <t>COVEYTOWN</t>
  </si>
  <si>
    <t>CwB</t>
  </si>
  <si>
    <t>CxA</t>
  </si>
  <si>
    <t>CROGHAN</t>
  </si>
  <si>
    <t>CxB</t>
  </si>
  <si>
    <t>DEERFIELD</t>
  </si>
  <si>
    <t>Df</t>
  </si>
  <si>
    <t>DEINACHE</t>
  </si>
  <si>
    <t>FAHEY</t>
  </si>
  <si>
    <t>FhB</t>
  </si>
  <si>
    <t>FkB</t>
  </si>
  <si>
    <t>FERNLAKE</t>
  </si>
  <si>
    <t>FlB</t>
  </si>
  <si>
    <t>FlC</t>
  </si>
  <si>
    <t>FlD</t>
  </si>
  <si>
    <t>FlF</t>
  </si>
  <si>
    <t>FLACKVILLE</t>
  </si>
  <si>
    <t>Fn</t>
  </si>
  <si>
    <t>GfC</t>
  </si>
  <si>
    <t>GARDENISLE-BENSON</t>
  </si>
  <si>
    <t>Gl</t>
  </si>
  <si>
    <t>GOUGEVILLE</t>
  </si>
  <si>
    <t>GrA</t>
  </si>
  <si>
    <t>GRATTAN</t>
  </si>
  <si>
    <t>GvB</t>
  </si>
  <si>
    <t>GRENVILLE</t>
  </si>
  <si>
    <t>GwC</t>
  </si>
  <si>
    <t>HAILESBORO</t>
  </si>
  <si>
    <t>HeC</t>
  </si>
  <si>
    <t>HfC</t>
  </si>
  <si>
    <t>HfD</t>
  </si>
  <si>
    <t>HgC</t>
  </si>
  <si>
    <t>HERMON-ADIRONDACK</t>
  </si>
  <si>
    <t>HEUVELTON</t>
  </si>
  <si>
    <t>HlD</t>
  </si>
  <si>
    <t>HOGANSBURG</t>
  </si>
  <si>
    <t>InB</t>
  </si>
  <si>
    <t>IRONA-CONIC</t>
  </si>
  <si>
    <t>Jn</t>
  </si>
  <si>
    <t>JUNIUS</t>
  </si>
  <si>
    <t>KhB</t>
  </si>
  <si>
    <t>KALURAH</t>
  </si>
  <si>
    <t>KlB</t>
  </si>
  <si>
    <t>Kr</t>
  </si>
  <si>
    <t>KINGSBURY-RHINEBECK</t>
  </si>
  <si>
    <t>Ld</t>
  </si>
  <si>
    <t>LOVEWELL</t>
  </si>
  <si>
    <t>LOXLEY</t>
  </si>
  <si>
    <t>LtF</t>
  </si>
  <si>
    <t>LYMAN-TUNBRIDGE-ROCK</t>
  </si>
  <si>
    <t>Lv</t>
  </si>
  <si>
    <t>LYONMOUNTEN</t>
  </si>
  <si>
    <t>MADRID</t>
  </si>
  <si>
    <t>MeA</t>
  </si>
  <si>
    <t>MALONE</t>
  </si>
  <si>
    <t>MfB</t>
  </si>
  <si>
    <t>MARKEY</t>
  </si>
  <si>
    <t>MASSENA</t>
  </si>
  <si>
    <t>Mp</t>
  </si>
  <si>
    <t>MEDOMAK</t>
  </si>
  <si>
    <t>MINO</t>
  </si>
  <si>
    <t>MuC</t>
  </si>
  <si>
    <t>MuF</t>
  </si>
  <si>
    <t>MvA</t>
  </si>
  <si>
    <t>MOOERS</t>
  </si>
  <si>
    <t>MvB</t>
  </si>
  <si>
    <t>MwA</t>
  </si>
  <si>
    <t>MUSKELLUNGE</t>
  </si>
  <si>
    <t>MwB</t>
  </si>
  <si>
    <t>NeC</t>
  </si>
  <si>
    <t>NECKROCK-SUMMERVILLE</t>
  </si>
  <si>
    <t>NoB</t>
  </si>
  <si>
    <t>NICHOLVILLE</t>
  </si>
  <si>
    <t>NrA</t>
  </si>
  <si>
    <t>NORTHWAY</t>
  </si>
  <si>
    <t>NrB</t>
  </si>
  <si>
    <t>OcA</t>
  </si>
  <si>
    <t>OCCUR</t>
  </si>
  <si>
    <t>OcB</t>
  </si>
  <si>
    <t>OGDENSBURG</t>
  </si>
  <si>
    <t>PeA</t>
  </si>
  <si>
    <t>PEASLEEVILLE</t>
  </si>
  <si>
    <t>PeB</t>
  </si>
  <si>
    <t>PfB</t>
  </si>
  <si>
    <t>PINCONNING</t>
  </si>
  <si>
    <t>Ph</t>
  </si>
  <si>
    <t>PIPESTONE</t>
  </si>
  <si>
    <t>Pp</t>
  </si>
  <si>
    <t>PtA</t>
  </si>
  <si>
    <t>PLAINFIELD</t>
  </si>
  <si>
    <t>PtB</t>
  </si>
  <si>
    <t>PtC</t>
  </si>
  <si>
    <t>PvF</t>
  </si>
  <si>
    <t>PLAINFIELD-GRATTAN</t>
  </si>
  <si>
    <t>RoB</t>
  </si>
  <si>
    <t>ROCK OUTCROP-RICKER</t>
  </si>
  <si>
    <t>Rr</t>
  </si>
  <si>
    <t>ROUNDABOUT</t>
  </si>
  <si>
    <t>Ry</t>
  </si>
  <si>
    <t>RUNEBERG</t>
  </si>
  <si>
    <t>Sb</t>
  </si>
  <si>
    <t>SABATTIS</t>
  </si>
  <si>
    <t>Se</t>
  </si>
  <si>
    <t>SCHROON</t>
  </si>
  <si>
    <t>SkB</t>
  </si>
  <si>
    <t>SCIOTA</t>
  </si>
  <si>
    <t>So</t>
  </si>
  <si>
    <t>SpB</t>
  </si>
  <si>
    <t>SHEDDENBROOK</t>
  </si>
  <si>
    <t>SrB</t>
  </si>
  <si>
    <t>SKERRY</t>
  </si>
  <si>
    <t>SsB</t>
  </si>
  <si>
    <t>SsC</t>
  </si>
  <si>
    <t>StD</t>
  </si>
  <si>
    <t>SUCCESS</t>
  </si>
  <si>
    <t>SwB</t>
  </si>
  <si>
    <t>SUNAPEE</t>
  </si>
  <si>
    <t>SxB</t>
  </si>
  <si>
    <t>Sz</t>
  </si>
  <si>
    <t>SWANTON</t>
  </si>
  <si>
    <t>TcB</t>
  </si>
  <si>
    <t>TOPKNOT-CHAZY</t>
  </si>
  <si>
    <t>TnC</t>
  </si>
  <si>
    <t>TnE</t>
  </si>
  <si>
    <t>UDIPSAMMENTS-PSAMMAQUE</t>
  </si>
  <si>
    <t>Un</t>
  </si>
  <si>
    <t>UpA</t>
  </si>
  <si>
    <t>URBAN LAND-PLAINFIELD</t>
  </si>
  <si>
    <t>UpB</t>
  </si>
  <si>
    <t>WdB</t>
  </si>
  <si>
    <t>WADDINGTON</t>
  </si>
  <si>
    <t>Wn</t>
  </si>
  <si>
    <t>WAINOLA</t>
  </si>
  <si>
    <t>WALLACE</t>
  </si>
  <si>
    <t>WsE</t>
  </si>
  <si>
    <t>Wu</t>
  </si>
  <si>
    <t>WONSQUEAK</t>
  </si>
  <si>
    <t>Au</t>
  </si>
  <si>
    <t>AURELIE</t>
  </si>
  <si>
    <t>BERNARDSTON</t>
  </si>
  <si>
    <t>BeE</t>
  </si>
  <si>
    <t>Bh</t>
  </si>
  <si>
    <t>BlA</t>
  </si>
  <si>
    <t>BLASDELL</t>
  </si>
  <si>
    <t>BlC</t>
  </si>
  <si>
    <t>BlD</t>
  </si>
  <si>
    <t>BmA</t>
  </si>
  <si>
    <t>BmB</t>
  </si>
  <si>
    <t>En</t>
  </si>
  <si>
    <t>FaD</t>
  </si>
  <si>
    <t>FdE</t>
  </si>
  <si>
    <t>GEORGIA</t>
  </si>
  <si>
    <t>GaC</t>
  </si>
  <si>
    <t>HOOSIC</t>
  </si>
  <si>
    <t>HpE</t>
  </si>
  <si>
    <t>HOOSIC-BLASDELL</t>
  </si>
  <si>
    <t>HvA</t>
  </si>
  <si>
    <t>HUDSON-VERGENNES</t>
  </si>
  <si>
    <t>HvB</t>
  </si>
  <si>
    <t>HvC</t>
  </si>
  <si>
    <t>HvD</t>
  </si>
  <si>
    <t>HvE</t>
  </si>
  <si>
    <t>KnA</t>
  </si>
  <si>
    <t>KnB</t>
  </si>
  <si>
    <t>KrA</t>
  </si>
  <si>
    <t>KNICKERBOCKER</t>
  </si>
  <si>
    <t>KrB</t>
  </si>
  <si>
    <t>KrC</t>
  </si>
  <si>
    <t>KrD</t>
  </si>
  <si>
    <t>LANESBORO</t>
  </si>
  <si>
    <t>LaF</t>
  </si>
  <si>
    <t>LmC</t>
  </si>
  <si>
    <t>LANESBORO-MONARDA</t>
  </si>
  <si>
    <t>Ln</t>
  </si>
  <si>
    <t>LIMERICK</t>
  </si>
  <si>
    <t>Lo</t>
  </si>
  <si>
    <t>LINLITHGO</t>
  </si>
  <si>
    <t>Lt</t>
  </si>
  <si>
    <t>LIVINGSTON-MADALIN</t>
  </si>
  <si>
    <t>MACOMBER-TACONIC</t>
  </si>
  <si>
    <t>MnA</t>
  </si>
  <si>
    <t>MsA</t>
  </si>
  <si>
    <t>MsB</t>
  </si>
  <si>
    <t>NbC</t>
  </si>
  <si>
    <t>NbD</t>
  </si>
  <si>
    <t>NbE</t>
  </si>
  <si>
    <t>NcA</t>
  </si>
  <si>
    <t>Om</t>
  </si>
  <si>
    <t>OCCUM</t>
  </si>
  <si>
    <t>Pr</t>
  </si>
  <si>
    <t>Ps</t>
  </si>
  <si>
    <t>PITTSTOWN</t>
  </si>
  <si>
    <t>PtD</t>
  </si>
  <si>
    <t>PuA</t>
  </si>
  <si>
    <t>PUNSIT</t>
  </si>
  <si>
    <t>PuB</t>
  </si>
  <si>
    <t>PuC</t>
  </si>
  <si>
    <t>StB</t>
  </si>
  <si>
    <t>STOCKBRIDGE</t>
  </si>
  <si>
    <t>StC</t>
  </si>
  <si>
    <t>StE</t>
  </si>
  <si>
    <t>STOCKBRIDGE-FARMINGTON</t>
  </si>
  <si>
    <t>SuC</t>
  </si>
  <si>
    <t>SvD</t>
  </si>
  <si>
    <t>SUN</t>
  </si>
  <si>
    <t>TmF</t>
  </si>
  <si>
    <t>TACONIC-MACOMBER</t>
  </si>
  <si>
    <t>UrB</t>
  </si>
  <si>
    <t>URBAN LAND-HUDSON-VERG</t>
  </si>
  <si>
    <t>WALPOLE</t>
  </si>
  <si>
    <t>2A</t>
  </si>
  <si>
    <t>4A</t>
  </si>
  <si>
    <t>WAYLAND-NATCHAUG</t>
  </si>
  <si>
    <t>GENESEO</t>
  </si>
  <si>
    <t>DEPOSIT</t>
  </si>
  <si>
    <t>11A</t>
  </si>
  <si>
    <t>HEMLOCK</t>
  </si>
  <si>
    <t>53B</t>
  </si>
  <si>
    <t>VALOIS-HOWARD</t>
  </si>
  <si>
    <t>53D</t>
  </si>
  <si>
    <t>53E</t>
  </si>
  <si>
    <t>ROCKRIFT-MONGAUP</t>
  </si>
  <si>
    <t>CATDEN-NATCHAUG</t>
  </si>
  <si>
    <t>107B</t>
  </si>
  <si>
    <t>108B</t>
  </si>
  <si>
    <t>108C</t>
  </si>
  <si>
    <t>122A</t>
  </si>
  <si>
    <t>133E</t>
  </si>
  <si>
    <t>BATH-MARDIN</t>
  </si>
  <si>
    <t>134B</t>
  </si>
  <si>
    <t>162B</t>
  </si>
  <si>
    <t>162C</t>
  </si>
  <si>
    <t>162D</t>
  </si>
  <si>
    <t>CADOSIA-LORDSTOWN</t>
  </si>
  <si>
    <t>210A</t>
  </si>
  <si>
    <t>304B</t>
  </si>
  <si>
    <t>Bc</t>
  </si>
  <si>
    <t>BARBOUR</t>
  </si>
  <si>
    <t>Bg</t>
  </si>
  <si>
    <t>BARBOUR-TRESTLE</t>
  </si>
  <si>
    <t>Bs</t>
  </si>
  <si>
    <t>BASHER</t>
  </si>
  <si>
    <t>BtB</t>
  </si>
  <si>
    <t>BtC</t>
  </si>
  <si>
    <t>BtD</t>
  </si>
  <si>
    <t>BtE</t>
  </si>
  <si>
    <t>Bw</t>
  </si>
  <si>
    <t>BUCKSPORT-WONSQUEAK</t>
  </si>
  <si>
    <t>CaE</t>
  </si>
  <si>
    <t>CADOSIA</t>
  </si>
  <si>
    <t>CaF</t>
  </si>
  <si>
    <t>CARLISLE-PALMS</t>
  </si>
  <si>
    <t>De</t>
  </si>
  <si>
    <t>EdC</t>
  </si>
  <si>
    <t>ELKA</t>
  </si>
  <si>
    <t>EdD</t>
  </si>
  <si>
    <t>EdE</t>
  </si>
  <si>
    <t>EkC</t>
  </si>
  <si>
    <t>ELKA-VLY</t>
  </si>
  <si>
    <t>EkD</t>
  </si>
  <si>
    <t>ElC</t>
  </si>
  <si>
    <t>ElE</t>
  </si>
  <si>
    <t>ElF</t>
  </si>
  <si>
    <t>Ff</t>
  </si>
  <si>
    <t>HcC</t>
  </si>
  <si>
    <t>HALCOTT-MONGAUP-VLY</t>
  </si>
  <si>
    <t>HcE</t>
  </si>
  <si>
    <t>HcF</t>
  </si>
  <si>
    <t>LcD</t>
  </si>
  <si>
    <t>LACKAWANNA-MORRIS</t>
  </si>
  <si>
    <t>LACKAWANNA-BATH</t>
  </si>
  <si>
    <t>LdE</t>
  </si>
  <si>
    <t>LdF</t>
  </si>
  <si>
    <t>LeE</t>
  </si>
  <si>
    <t>LEWBEACH-LEWBATH</t>
  </si>
  <si>
    <t>LkE</t>
  </si>
  <si>
    <t>LkF</t>
  </si>
  <si>
    <t>MAPLECREST</t>
  </si>
  <si>
    <t>MaE</t>
  </si>
  <si>
    <t>MkB</t>
  </si>
  <si>
    <t>MIDDLEBROOK-MONGAUP</t>
  </si>
  <si>
    <t>MkC</t>
  </si>
  <si>
    <t>MrA</t>
  </si>
  <si>
    <t>MrC</t>
  </si>
  <si>
    <t>No</t>
  </si>
  <si>
    <t>Nr</t>
  </si>
  <si>
    <t>OeA</t>
  </si>
  <si>
    <t>ONTEORA-ONTUSIA</t>
  </si>
  <si>
    <t>OnA</t>
  </si>
  <si>
    <t>OpE</t>
  </si>
  <si>
    <t>OpF</t>
  </si>
  <si>
    <t>OQUAGA-LORDSTOWN-ARNOT</t>
  </si>
  <si>
    <t>OrE</t>
  </si>
  <si>
    <t>OrF</t>
  </si>
  <si>
    <t>Pc</t>
  </si>
  <si>
    <t>Rb</t>
  </si>
  <si>
    <t>RAYPOL</t>
  </si>
  <si>
    <t>RhD</t>
  </si>
  <si>
    <t>RrE</t>
  </si>
  <si>
    <t>ROCKRIFT</t>
  </si>
  <si>
    <t>RrF</t>
  </si>
  <si>
    <t>TeB</t>
  </si>
  <si>
    <t>TkA</t>
  </si>
  <si>
    <t>TkE</t>
  </si>
  <si>
    <t>TtA</t>
  </si>
  <si>
    <t>TUNKHANNOCK-CHENANGO</t>
  </si>
  <si>
    <t>TtB</t>
  </si>
  <si>
    <t>CHARLTON</t>
  </si>
  <si>
    <t>W</t>
  </si>
  <si>
    <t>WATER</t>
  </si>
  <si>
    <t>WfC</t>
  </si>
  <si>
    <t>WENONAH</t>
  </si>
  <si>
    <t>WhB</t>
  </si>
  <si>
    <t>WhC</t>
  </si>
  <si>
    <t>WhD</t>
  </si>
  <si>
    <t>WmD</t>
  </si>
  <si>
    <t>WILLOWEMOC-WILLDIN</t>
  </si>
  <si>
    <t>BgB</t>
  </si>
  <si>
    <t>BERNARDSTON-URBAN LAND</t>
  </si>
  <si>
    <t>ClD</t>
  </si>
  <si>
    <t>CrB</t>
  </si>
  <si>
    <t>CHARLTON-CHATFIELD</t>
  </si>
  <si>
    <t>CrC</t>
  </si>
  <si>
    <t>CrD</t>
  </si>
  <si>
    <t>CrE</t>
  </si>
  <si>
    <t>CtB</t>
  </si>
  <si>
    <t>CHATFIELD-HOLLIS</t>
  </si>
  <si>
    <t>CtC</t>
  </si>
  <si>
    <t>CtD</t>
  </si>
  <si>
    <t>CuA</t>
  </si>
  <si>
    <t>COPAKE</t>
  </si>
  <si>
    <t>CuE</t>
  </si>
  <si>
    <t>CwA</t>
  </si>
  <si>
    <t>COPAKE-URBAN LAND</t>
  </si>
  <si>
    <t>DUTCHESS</t>
  </si>
  <si>
    <t>DuC</t>
  </si>
  <si>
    <t>DuD</t>
  </si>
  <si>
    <t>DwB</t>
  </si>
  <si>
    <t>DUTCHESS-CARDIGAN</t>
  </si>
  <si>
    <t>DwC</t>
  </si>
  <si>
    <t>DwD</t>
  </si>
  <si>
    <t>DxB</t>
  </si>
  <si>
    <t>DUTCHESS-CARDIGAN-URBA</t>
  </si>
  <si>
    <t>DxC</t>
  </si>
  <si>
    <t>FcB</t>
  </si>
  <si>
    <t>FARMINGTON-GALWAY</t>
  </si>
  <si>
    <t>FcC</t>
  </si>
  <si>
    <t>FcD</t>
  </si>
  <si>
    <t>FeE</t>
  </si>
  <si>
    <t>GfB</t>
  </si>
  <si>
    <t>GALWAY-FARMINGTON</t>
  </si>
  <si>
    <t>GfD</t>
  </si>
  <si>
    <t>GsA</t>
  </si>
  <si>
    <t>GsB</t>
  </si>
  <si>
    <t>GsC</t>
  </si>
  <si>
    <t>HAVEN</t>
  </si>
  <si>
    <t>Hf</t>
  </si>
  <si>
    <t>HAVEN-URBAN LAND</t>
  </si>
  <si>
    <t>HOLLIS-CHATFIELD-ROCK</t>
  </si>
  <si>
    <t>HoF</t>
  </si>
  <si>
    <t>HsA</t>
  </si>
  <si>
    <t>HsC</t>
  </si>
  <si>
    <t>HsE</t>
  </si>
  <si>
    <t>HtA</t>
  </si>
  <si>
    <t>HtB</t>
  </si>
  <si>
    <t>HuA</t>
  </si>
  <si>
    <t>HOOSIC-URBAN LAND</t>
  </si>
  <si>
    <t>Hy</t>
  </si>
  <si>
    <t>HYDRAQUENTS-MEDISAPRIS</t>
  </si>
  <si>
    <t>Kn</t>
  </si>
  <si>
    <t>KuA</t>
  </si>
  <si>
    <t>KNICKERBOCKER-URBAN</t>
  </si>
  <si>
    <t>KuB</t>
  </si>
  <si>
    <t>LIVINGSTON</t>
  </si>
  <si>
    <t>NwB</t>
  </si>
  <si>
    <t>NASSAU-CARDIGAN</t>
  </si>
  <si>
    <t>NwC</t>
  </si>
  <si>
    <t>NwD</t>
  </si>
  <si>
    <t>NxE</t>
  </si>
  <si>
    <t>NASSAU-ROCK OUTCROP</t>
  </si>
  <si>
    <t>NxF</t>
  </si>
  <si>
    <t>NyA</t>
  </si>
  <si>
    <t>PwB</t>
  </si>
  <si>
    <t>PwC</t>
  </si>
  <si>
    <t>PzA</t>
  </si>
  <si>
    <t>PzB</t>
  </si>
  <si>
    <t>SkC</t>
  </si>
  <si>
    <t>SkD</t>
  </si>
  <si>
    <t>SkE</t>
  </si>
  <si>
    <t>SmB</t>
  </si>
  <si>
    <t>SmC</t>
  </si>
  <si>
    <t>SmD</t>
  </si>
  <si>
    <t>STOCKBRIDGE-URBAN</t>
  </si>
  <si>
    <t>Su</t>
  </si>
  <si>
    <t>TmD</t>
  </si>
  <si>
    <t>TACONIC-MACOMBER-ROCK</t>
  </si>
  <si>
    <t>TrE</t>
  </si>
  <si>
    <t>TACONIC-ROCK OUTCROP</t>
  </si>
  <si>
    <t>TrF</t>
  </si>
  <si>
    <t>WAPPINGER</t>
  </si>
  <si>
    <t>AmC</t>
  </si>
  <si>
    <t>AoA</t>
  </si>
  <si>
    <t>AoB</t>
  </si>
  <si>
    <t>ApA</t>
  </si>
  <si>
    <t>ApB</t>
  </si>
  <si>
    <t>ArE</t>
  </si>
  <si>
    <t>Be</t>
  </si>
  <si>
    <t>BEACHES</t>
  </si>
  <si>
    <t>BfA</t>
  </si>
  <si>
    <t>BhB</t>
  </si>
  <si>
    <t>BENSON-ROCK OUTCROP</t>
  </si>
  <si>
    <t>BROCKPORT</t>
  </si>
  <si>
    <t>CAYUGA</t>
  </si>
  <si>
    <t>Ch</t>
  </si>
  <si>
    <t>CHEEKTOWAGA</t>
  </si>
  <si>
    <t>CmE</t>
  </si>
  <si>
    <t>CHENANGO-PALMYRA</t>
  </si>
  <si>
    <t>CrA</t>
  </si>
  <si>
    <t>DANLEY</t>
  </si>
  <si>
    <t>DbA</t>
  </si>
  <si>
    <t>DbB</t>
  </si>
  <si>
    <t>DbC</t>
  </si>
  <si>
    <t>DcB</t>
  </si>
  <si>
    <t>DdA</t>
  </si>
  <si>
    <t>DERB</t>
  </si>
  <si>
    <t>DdB</t>
  </si>
  <si>
    <t>DdC</t>
  </si>
  <si>
    <t>Dp</t>
  </si>
  <si>
    <t>FaA</t>
  </si>
  <si>
    <t>FbA</t>
  </si>
  <si>
    <t>FARNHAM</t>
  </si>
  <si>
    <t>FbB</t>
  </si>
  <si>
    <t>FcA</t>
  </si>
  <si>
    <t>Fu</t>
  </si>
  <si>
    <t>GbB</t>
  </si>
  <si>
    <t>Hn</t>
  </si>
  <si>
    <t>HAPLAQUOLLS</t>
  </si>
  <si>
    <t>HwD</t>
  </si>
  <si>
    <t>Ke</t>
  </si>
  <si>
    <t>LmA</t>
  </si>
  <si>
    <t>LmB</t>
  </si>
  <si>
    <t>Lz</t>
  </si>
  <si>
    <t>MbF</t>
  </si>
  <si>
    <t>MeF</t>
  </si>
  <si>
    <t>MARDIN-VALOIS</t>
  </si>
  <si>
    <t>MfA</t>
  </si>
  <si>
    <t>MARILLA</t>
  </si>
  <si>
    <t>MfC</t>
  </si>
  <si>
    <t>Mg</t>
  </si>
  <si>
    <t>Ne</t>
  </si>
  <si>
    <t>NEWSTEAD</t>
  </si>
  <si>
    <t>NfA</t>
  </si>
  <si>
    <t>NfB</t>
  </si>
  <si>
    <t>Ng</t>
  </si>
  <si>
    <t>Nh</t>
  </si>
  <si>
    <t>Od</t>
  </si>
  <si>
    <t>Oe</t>
  </si>
  <si>
    <t>ODESSA-LAKEMONT</t>
  </si>
  <si>
    <t>PbA</t>
  </si>
  <si>
    <t>PbB</t>
  </si>
  <si>
    <t>Qu</t>
  </si>
  <si>
    <t>QUARRY</t>
  </si>
  <si>
    <t>RfA</t>
  </si>
  <si>
    <t>REMSEN</t>
  </si>
  <si>
    <t>RfB</t>
  </si>
  <si>
    <t>RfC</t>
  </si>
  <si>
    <t>RgA</t>
  </si>
  <si>
    <t>RhC3</t>
  </si>
  <si>
    <t>RmA</t>
  </si>
  <si>
    <t>RmB</t>
  </si>
  <si>
    <t>ROCK OUTCROP</t>
  </si>
  <si>
    <t>SaA</t>
  </si>
  <si>
    <t>SaB</t>
  </si>
  <si>
    <t>SbC3</t>
  </si>
  <si>
    <t>ScD</t>
  </si>
  <si>
    <t>ScE</t>
  </si>
  <si>
    <t>Sd</t>
  </si>
  <si>
    <t>UeB</t>
  </si>
  <si>
    <t>URBAN LAND-BENSON</t>
  </si>
  <si>
    <t>URBAN LAND-CAYUGA</t>
  </si>
  <si>
    <t>URBAN LAND-CHURCHVILLE</t>
  </si>
  <si>
    <t>URBAN LAND-CLAVERACK</t>
  </si>
  <si>
    <t>UmA</t>
  </si>
  <si>
    <t>URBAN LAND-COLLAMER</t>
  </si>
  <si>
    <t>URBAN LAND-COLONIE</t>
  </si>
  <si>
    <t>Uo</t>
  </si>
  <si>
    <t>URBAN LAND-COSAD</t>
  </si>
  <si>
    <t>Up</t>
  </si>
  <si>
    <t>URBAN LAND-GALEN</t>
  </si>
  <si>
    <t>UrA</t>
  </si>
  <si>
    <t>URBAN LAND-LIMA</t>
  </si>
  <si>
    <t>URBAN LAND-NIAGARA</t>
  </si>
  <si>
    <t>URBAN LAND-ODESSA</t>
  </si>
  <si>
    <t>Uu</t>
  </si>
  <si>
    <t>URBAN LAND-SCHOHARIE</t>
  </si>
  <si>
    <t>Uv</t>
  </si>
  <si>
    <t>URBAN LAND-SWORMVILLE</t>
  </si>
  <si>
    <t>Uw</t>
  </si>
  <si>
    <t>URBAN LAND-TEEL</t>
  </si>
  <si>
    <t>Ux</t>
  </si>
  <si>
    <t>URBAN LAND-WASSAIC</t>
  </si>
  <si>
    <t>VbA</t>
  </si>
  <si>
    <t>VbB</t>
  </si>
  <si>
    <t>VbC</t>
  </si>
  <si>
    <t>VbD</t>
  </si>
  <si>
    <t>VbE</t>
  </si>
  <si>
    <t>VpA</t>
  </si>
  <si>
    <t>WbB</t>
  </si>
  <si>
    <t>WcE</t>
  </si>
  <si>
    <t>WASSAIC-ROCK OUTCROP</t>
  </si>
  <si>
    <t>13A</t>
  </si>
  <si>
    <t>BURNT VLY-RUMNEY-PLEAS</t>
  </si>
  <si>
    <t>BURNT VLY-COLTON-RUMNE</t>
  </si>
  <si>
    <t>113A</t>
  </si>
  <si>
    <t>ONDAWA-RUMNEY</t>
  </si>
  <si>
    <t>123A</t>
  </si>
  <si>
    <t>LOVEWELL-CORNISH</t>
  </si>
  <si>
    <t>BURNT VLY-HUMAQUEPTS-PLEASANT LAKE</t>
  </si>
  <si>
    <t>350B</t>
  </si>
  <si>
    <t>DUXBURY</t>
  </si>
  <si>
    <t>363A</t>
  </si>
  <si>
    <t>363B</t>
  </si>
  <si>
    <t>363D</t>
  </si>
  <si>
    <t>363F</t>
  </si>
  <si>
    <t>365A</t>
  </si>
  <si>
    <t>NAUMBURG-CROGHAN</t>
  </si>
  <si>
    <t>367A</t>
  </si>
  <si>
    <t>SEARSPORT-HAPLOSA-NAUM</t>
  </si>
  <si>
    <t>375A</t>
  </si>
  <si>
    <t>375D</t>
  </si>
  <si>
    <t>649C</t>
  </si>
  <si>
    <t>MONADNOCK-TUNBRIDGE-TA</t>
  </si>
  <si>
    <t>650D</t>
  </si>
  <si>
    <t>MONADNOCK-TUNBRIDGE</t>
  </si>
  <si>
    <t>653D</t>
  </si>
  <si>
    <t>657C</t>
  </si>
  <si>
    <t>MONADNOCK-TAHAWUS</t>
  </si>
  <si>
    <t>657D</t>
  </si>
  <si>
    <t>661F</t>
  </si>
  <si>
    <t>705B</t>
  </si>
  <si>
    <t>ADIRONDACK-TAHAWUS</t>
  </si>
  <si>
    <t>721F</t>
  </si>
  <si>
    <t>723F</t>
  </si>
  <si>
    <t>833C</t>
  </si>
  <si>
    <t>TUNBRIDGE-ADIRONDACK-L</t>
  </si>
  <si>
    <t>851D</t>
  </si>
  <si>
    <t>LYMAN-RICKER</t>
  </si>
  <si>
    <t>851F</t>
  </si>
  <si>
    <t>881F</t>
  </si>
  <si>
    <t>ROCK OUTCROP-RICKER-LY</t>
  </si>
  <si>
    <t>930C</t>
  </si>
  <si>
    <t>931F</t>
  </si>
  <si>
    <t>932C</t>
  </si>
  <si>
    <t>MUNDALITE-WORDEN</t>
  </si>
  <si>
    <t>932D</t>
  </si>
  <si>
    <t>934C</t>
  </si>
  <si>
    <t>AMPERSAND-WILMINGTON</t>
  </si>
  <si>
    <t>944D</t>
  </si>
  <si>
    <t>971D</t>
  </si>
  <si>
    <t>ESTHER-WALLFACE</t>
  </si>
  <si>
    <t>975C</t>
  </si>
  <si>
    <t>ANDIC CRYAQUODS-ESTHER</t>
  </si>
  <si>
    <t>975D</t>
  </si>
  <si>
    <t>ESTHER-ANDIC CRYAQUODS</t>
  </si>
  <si>
    <t>992D</t>
  </si>
  <si>
    <t>WALLFACE-SKYLIGHT</t>
  </si>
  <si>
    <t>993F</t>
  </si>
  <si>
    <t>SANTANONI-SKYLIGHT</t>
  </si>
  <si>
    <t>995D</t>
  </si>
  <si>
    <t>RICKER-COUCHSACHRAGA-S</t>
  </si>
  <si>
    <t>995F</t>
  </si>
  <si>
    <t>998F</t>
  </si>
  <si>
    <t>ROCK-RICKER-SKYLIGHT</t>
  </si>
  <si>
    <t>AdA</t>
  </si>
  <si>
    <t>AdB</t>
  </si>
  <si>
    <t>AdC</t>
  </si>
  <si>
    <t>AdD</t>
  </si>
  <si>
    <t>AdE</t>
  </si>
  <si>
    <t>AkA</t>
  </si>
  <si>
    <t>AkB</t>
  </si>
  <si>
    <t>BeF</t>
  </si>
  <si>
    <t>BkC</t>
  </si>
  <si>
    <t>BoB</t>
  </si>
  <si>
    <t>BvA</t>
  </si>
  <si>
    <t>BURNT VLY</t>
  </si>
  <si>
    <t>CaA</t>
  </si>
  <si>
    <t>CbA</t>
  </si>
  <si>
    <t>CbD</t>
  </si>
  <si>
    <t>CHARLES</t>
  </si>
  <si>
    <t>CoF</t>
  </si>
  <si>
    <t>CqA</t>
  </si>
  <si>
    <t>CqB</t>
  </si>
  <si>
    <t>CsD</t>
  </si>
  <si>
    <t>CsE</t>
  </si>
  <si>
    <t>CtA</t>
  </si>
  <si>
    <t>COVINGTON</t>
  </si>
  <si>
    <t>DpC</t>
  </si>
  <si>
    <t>DEPEYSTER</t>
  </si>
  <si>
    <t>DpD</t>
  </si>
  <si>
    <t>DuE</t>
  </si>
  <si>
    <t>FACTORYVILLE-COLONIE</t>
  </si>
  <si>
    <t>FdF</t>
  </si>
  <si>
    <t>FACTORYVILLE-DUNKIRK</t>
  </si>
  <si>
    <t>FgB</t>
  </si>
  <si>
    <t>FkF</t>
  </si>
  <si>
    <t>FnB</t>
  </si>
  <si>
    <t>FnC</t>
  </si>
  <si>
    <t>FnD</t>
  </si>
  <si>
    <t>FnF</t>
  </si>
  <si>
    <t>FACTORYVILLE</t>
  </si>
  <si>
    <t>FuA</t>
  </si>
  <si>
    <t>GeB</t>
  </si>
  <si>
    <t>GeC</t>
  </si>
  <si>
    <t>GoA</t>
  </si>
  <si>
    <t>HaB</t>
  </si>
  <si>
    <t>HcB</t>
  </si>
  <si>
    <t>HcD</t>
  </si>
  <si>
    <t>HdB</t>
  </si>
  <si>
    <t>HARTLAND</t>
  </si>
  <si>
    <t>HgB</t>
  </si>
  <si>
    <t>MUNDALITE</t>
  </si>
  <si>
    <t>HlC</t>
  </si>
  <si>
    <t>HmB</t>
  </si>
  <si>
    <t>HrF</t>
  </si>
  <si>
    <t>HOLLIS-ROCK OUTCROP</t>
  </si>
  <si>
    <t>HsF</t>
  </si>
  <si>
    <t>KaB</t>
  </si>
  <si>
    <t>KaC</t>
  </si>
  <si>
    <t>KgB</t>
  </si>
  <si>
    <t>KgC</t>
  </si>
  <si>
    <t>KyA</t>
  </si>
  <si>
    <t>KINGSBURY</t>
  </si>
  <si>
    <t>KyB</t>
  </si>
  <si>
    <t>LnA</t>
  </si>
  <si>
    <t>LvA</t>
  </si>
  <si>
    <t>LyD</t>
  </si>
  <si>
    <t>LyF</t>
  </si>
  <si>
    <t>McA</t>
  </si>
  <si>
    <t>MdA</t>
  </si>
  <si>
    <t>MkD</t>
  </si>
  <si>
    <t>MkF</t>
  </si>
  <si>
    <t>MmF</t>
  </si>
  <si>
    <t>MONADNOCK-ADAMS</t>
  </si>
  <si>
    <t>MnF</t>
  </si>
  <si>
    <t>MwC</t>
  </si>
  <si>
    <t>MwD</t>
  </si>
  <si>
    <t>NaA</t>
  </si>
  <si>
    <t>NAUMBURG</t>
  </si>
  <si>
    <t>NeB</t>
  </si>
  <si>
    <t>NELLIS</t>
  </si>
  <si>
    <t>NeD</t>
  </si>
  <si>
    <t>NvB</t>
  </si>
  <si>
    <t>OmA</t>
  </si>
  <si>
    <t>OwA</t>
  </si>
  <si>
    <t>ONDAWA</t>
  </si>
  <si>
    <t>Pd</t>
  </si>
  <si>
    <t>PITTSFIELD</t>
  </si>
  <si>
    <t>PfC</t>
  </si>
  <si>
    <t>PfD</t>
  </si>
  <si>
    <t>PfE</t>
  </si>
  <si>
    <t>PkA</t>
  </si>
  <si>
    <t>PLEASANT LAKE</t>
  </si>
  <si>
    <t>PlB</t>
  </si>
  <si>
    <t>PITTSFIELD-CHATFIELD</t>
  </si>
  <si>
    <t>PlC</t>
  </si>
  <si>
    <t>PlD</t>
  </si>
  <si>
    <t>PlF</t>
  </si>
  <si>
    <t>PoA</t>
  </si>
  <si>
    <t>PODUNK</t>
  </si>
  <si>
    <t>PrA</t>
  </si>
  <si>
    <t>POOTATUCK</t>
  </si>
  <si>
    <t>PYRITES</t>
  </si>
  <si>
    <t>PuD</t>
  </si>
  <si>
    <t>PYRITES-NEHASNE</t>
  </si>
  <si>
    <t>PwD</t>
  </si>
  <si>
    <t>PyC</t>
  </si>
  <si>
    <t>PyD</t>
  </si>
  <si>
    <t>RaC</t>
  </si>
  <si>
    <t>RaD</t>
  </si>
  <si>
    <t>RaF</t>
  </si>
  <si>
    <t>RIPPOWAM</t>
  </si>
  <si>
    <t>RpF</t>
  </si>
  <si>
    <t>ROCK-KNOB LOCK-LYMAN</t>
  </si>
  <si>
    <t>RsA</t>
  </si>
  <si>
    <t>RuA</t>
  </si>
  <si>
    <t>RUMNEY</t>
  </si>
  <si>
    <t>RyA</t>
  </si>
  <si>
    <t>RUMNEY-DAWSON</t>
  </si>
  <si>
    <t>SeA</t>
  </si>
  <si>
    <t>SEARSPORT</t>
  </si>
  <si>
    <t>SnB</t>
  </si>
  <si>
    <t>SrC</t>
  </si>
  <si>
    <t>StA</t>
  </si>
  <si>
    <t>TaA</t>
  </si>
  <si>
    <t>TAHAWUS</t>
  </si>
  <si>
    <t>TeA</t>
  </si>
  <si>
    <t>ToA</t>
  </si>
  <si>
    <t>TuC</t>
  </si>
  <si>
    <t>TuF</t>
  </si>
  <si>
    <t>UlC</t>
  </si>
  <si>
    <t>UmF</t>
  </si>
  <si>
    <t>VeB</t>
  </si>
  <si>
    <t>VERGENNES</t>
  </si>
  <si>
    <t>VeC</t>
  </si>
  <si>
    <t>VeD</t>
  </si>
  <si>
    <t>VeE</t>
  </si>
  <si>
    <t>WEGATCHIE</t>
  </si>
  <si>
    <t>WHALLONSBURG</t>
  </si>
  <si>
    <t>WnA</t>
  </si>
  <si>
    <t>WINDSOR</t>
  </si>
  <si>
    <t>WnB</t>
  </si>
  <si>
    <t>WnD</t>
  </si>
  <si>
    <t>WnE</t>
  </si>
  <si>
    <t>WoA</t>
  </si>
  <si>
    <t>BESEMAN-RUMNEY</t>
  </si>
  <si>
    <t>DAWSON-FLUV-LOXLEY</t>
  </si>
  <si>
    <t>WONSQUEAK-COLTON-RUMNE</t>
  </si>
  <si>
    <t>WONSQUEAK-RUMNEY-BUCKS</t>
  </si>
  <si>
    <t>221B</t>
  </si>
  <si>
    <t>ROUNDABOUT-NICHOLVILLE</t>
  </si>
  <si>
    <t>329B</t>
  </si>
  <si>
    <t>BURNT VLY-COLTON-HUMAQUEPTS</t>
  </si>
  <si>
    <t>364A</t>
  </si>
  <si>
    <t>CROGHAN-NAUMBURG</t>
  </si>
  <si>
    <t>376A</t>
  </si>
  <si>
    <t>COLTON-DUXBURY-ADAMS</t>
  </si>
  <si>
    <t>376C</t>
  </si>
  <si>
    <t>380B</t>
  </si>
  <si>
    <t>COLTON-DUXBURY-DAWSON</t>
  </si>
  <si>
    <t>380D</t>
  </si>
  <si>
    <t>381B</t>
  </si>
  <si>
    <t>COLTON-HAPLOSAPRISTS</t>
  </si>
  <si>
    <t>390B</t>
  </si>
  <si>
    <t>SALMON-NICHOLVILLE</t>
  </si>
  <si>
    <t>393D</t>
  </si>
  <si>
    <t>394A</t>
  </si>
  <si>
    <t>ONCHIOTA-KUSHAQUA</t>
  </si>
  <si>
    <t>395A</t>
  </si>
  <si>
    <t>396B</t>
  </si>
  <si>
    <t>CONSTABLE-COLTON</t>
  </si>
  <si>
    <t>398A</t>
  </si>
  <si>
    <t>ENDOAQUODS</t>
  </si>
  <si>
    <t>399A</t>
  </si>
  <si>
    <t>HAPLORTHODS</t>
  </si>
  <si>
    <t>643C</t>
  </si>
  <si>
    <t>BERKSHIRE</t>
  </si>
  <si>
    <t>644C</t>
  </si>
  <si>
    <t>BERKSHIRE-LYME</t>
  </si>
  <si>
    <t>MONADNOCK-TUNBRIDGE-SABATTIS</t>
  </si>
  <si>
    <t>651F</t>
  </si>
  <si>
    <t>707C</t>
  </si>
  <si>
    <t>ADIRONDACK-BECKET-HERMON</t>
  </si>
  <si>
    <t>709B</t>
  </si>
  <si>
    <t>ADIRONDACK-TUGHILL-LYM</t>
  </si>
  <si>
    <t>711C</t>
  </si>
  <si>
    <t>ADIRONDACK-TUNBRIDGE-B</t>
  </si>
  <si>
    <t>712C</t>
  </si>
  <si>
    <t>RAWSONVILLE-AMPERSAND-HAPLOSAPRISTS</t>
  </si>
  <si>
    <t>741C</t>
  </si>
  <si>
    <t>POTSDAM-TUNBRIDGE</t>
  </si>
  <si>
    <t>741D</t>
  </si>
  <si>
    <t>743C</t>
  </si>
  <si>
    <t>POTSDAM</t>
  </si>
  <si>
    <t>745C</t>
  </si>
  <si>
    <t>CRARY-POTSDAM</t>
  </si>
  <si>
    <t>747B</t>
  </si>
  <si>
    <t>CRARY-ADIRONDACK</t>
  </si>
  <si>
    <t>835C</t>
  </si>
  <si>
    <t>TUNBRIDGE-HAPLO-KNOB LOCK</t>
  </si>
  <si>
    <t>LYMAN-KNOB-LOCK</t>
  </si>
  <si>
    <t>ROCK OUTCROP-KNOB LOCK</t>
  </si>
  <si>
    <t>MUNDALITE-RAWSONVILLE-AMPERSAND</t>
  </si>
  <si>
    <t>936D</t>
  </si>
  <si>
    <t>938B</t>
  </si>
  <si>
    <t>WILMINGTON-TAHAWUS</t>
  </si>
  <si>
    <t>RAWSONVILLE-HAPLO-KNOB-LOCK</t>
  </si>
  <si>
    <t>RICKER-COUCHSACHRAGA-SKYLIGHT</t>
  </si>
  <si>
    <t>3100B</t>
  </si>
  <si>
    <t>WESTBURY-DANNEMORA</t>
  </si>
  <si>
    <t>3111B</t>
  </si>
  <si>
    <t>EMPEYVILLE-WESTBURY</t>
  </si>
  <si>
    <t>3115D</t>
  </si>
  <si>
    <t>WORTH</t>
  </si>
  <si>
    <t>AaA</t>
  </si>
  <si>
    <t>ADAMS-WALLACE</t>
  </si>
  <si>
    <t>AaB</t>
  </si>
  <si>
    <t>AaD</t>
  </si>
  <si>
    <t>ADAMS-COLTON</t>
  </si>
  <si>
    <t>AcE</t>
  </si>
  <si>
    <t>AU GRES-SCARBORO-CROGH</t>
  </si>
  <si>
    <t>AnD</t>
  </si>
  <si>
    <t>Bab</t>
  </si>
  <si>
    <t>BECKET-SKERRY</t>
  </si>
  <si>
    <t>Bac</t>
  </si>
  <si>
    <t>Bbb</t>
  </si>
  <si>
    <t>BECKET-SKERRY-HERMON</t>
  </si>
  <si>
    <t>Bbd</t>
  </si>
  <si>
    <t>Bce</t>
  </si>
  <si>
    <t>BECKET-HERMON</t>
  </si>
  <si>
    <t>BdA</t>
  </si>
  <si>
    <t>BeA</t>
  </si>
  <si>
    <t>BRAYTON</t>
  </si>
  <si>
    <t>COLTON-CONSTABLE</t>
  </si>
  <si>
    <t>CmA</t>
  </si>
  <si>
    <t>CyA</t>
  </si>
  <si>
    <t>CyB</t>
  </si>
  <si>
    <t>CyD</t>
  </si>
  <si>
    <t>CzB</t>
  </si>
  <si>
    <t>CRARY</t>
  </si>
  <si>
    <t>CzC</t>
  </si>
  <si>
    <t>DUANE</t>
  </si>
  <si>
    <t>Dr</t>
  </si>
  <si>
    <t>DORVAL</t>
  </si>
  <si>
    <t>EaA</t>
  </si>
  <si>
    <t>EMPEYVILLE</t>
  </si>
  <si>
    <t>EaB</t>
  </si>
  <si>
    <t>EaC</t>
  </si>
  <si>
    <t>EbB</t>
  </si>
  <si>
    <t>EcD</t>
  </si>
  <si>
    <t>FnA</t>
  </si>
  <si>
    <t>HOGANSBURG-GRENVILLE</t>
  </si>
  <si>
    <t>GbC</t>
  </si>
  <si>
    <t>HaC</t>
  </si>
  <si>
    <t>HbB</t>
  </si>
  <si>
    <t>KARS</t>
  </si>
  <si>
    <t>KbB</t>
  </si>
  <si>
    <t>KUSHAQUA</t>
  </si>
  <si>
    <t>LaA</t>
  </si>
  <si>
    <t>LbA</t>
  </si>
  <si>
    <t>LcA</t>
  </si>
  <si>
    <t>MbA</t>
  </si>
  <si>
    <t>MOIRA</t>
  </si>
  <si>
    <t>MgA</t>
  </si>
  <si>
    <t>LUPTON</t>
  </si>
  <si>
    <t>MhA</t>
  </si>
  <si>
    <t>NbA</t>
  </si>
  <si>
    <t>NbB</t>
  </si>
  <si>
    <t>NlB</t>
  </si>
  <si>
    <t>NmA</t>
  </si>
  <si>
    <t>NuA</t>
  </si>
  <si>
    <t>OaA</t>
  </si>
  <si>
    <t>ONDAWA-TIOGA</t>
  </si>
  <si>
    <t>ObA</t>
  </si>
  <si>
    <t>ONCHIOTA</t>
  </si>
  <si>
    <t>PaA</t>
  </si>
  <si>
    <t>PcB</t>
  </si>
  <si>
    <t>PdA</t>
  </si>
  <si>
    <t>PmB</t>
  </si>
  <si>
    <t>PmC</t>
  </si>
  <si>
    <t>PoC</t>
  </si>
  <si>
    <t>PxD</t>
  </si>
  <si>
    <t>PYRITIES</t>
  </si>
  <si>
    <t>RbB</t>
  </si>
  <si>
    <t>RIDGEBURY</t>
  </si>
  <si>
    <t>RcB</t>
  </si>
  <si>
    <t>Rd</t>
  </si>
  <si>
    <t>ReA</t>
  </si>
  <si>
    <t>RUMNEY-WAYLAND</t>
  </si>
  <si>
    <t>RoA</t>
  </si>
  <si>
    <t>SACO</t>
  </si>
  <si>
    <t>SaC</t>
  </si>
  <si>
    <t>SALMON</t>
  </si>
  <si>
    <t>SbA</t>
  </si>
  <si>
    <t>SbC</t>
  </si>
  <si>
    <t>ScC</t>
  </si>
  <si>
    <t>SdD</t>
  </si>
  <si>
    <t>SCARBORO</t>
  </si>
  <si>
    <t>SfA</t>
  </si>
  <si>
    <t>SgA</t>
  </si>
  <si>
    <t>SmA</t>
  </si>
  <si>
    <t>SnA</t>
  </si>
  <si>
    <t>SqA</t>
  </si>
  <si>
    <t>SrA</t>
  </si>
  <si>
    <t>SyB</t>
  </si>
  <si>
    <t>SzA</t>
  </si>
  <si>
    <t>TROUT RIVER</t>
  </si>
  <si>
    <t>TaB</t>
  </si>
  <si>
    <t>TbA</t>
  </si>
  <si>
    <t>TbB</t>
  </si>
  <si>
    <t>TcA</t>
  </si>
  <si>
    <t>TUGHILL-DANNEMORA</t>
  </si>
  <si>
    <t>TdA</t>
  </si>
  <si>
    <t>UgA</t>
  </si>
  <si>
    <t>WaC</t>
  </si>
  <si>
    <t>WbA</t>
  </si>
  <si>
    <t>WAREHAM</t>
  </si>
  <si>
    <t>WdA</t>
  </si>
  <si>
    <t>WfA</t>
  </si>
  <si>
    <t>WgA</t>
  </si>
  <si>
    <t>WhA</t>
  </si>
  <si>
    <t>NAUMBURG-WAREHAM</t>
  </si>
  <si>
    <t>WkA</t>
  </si>
  <si>
    <t>WoC</t>
  </si>
  <si>
    <t>WpA</t>
  </si>
  <si>
    <t>WHITMAN</t>
  </si>
  <si>
    <t>WqA</t>
  </si>
  <si>
    <t>WqB</t>
  </si>
  <si>
    <t>WqC</t>
  </si>
  <si>
    <t>WOLF POND-ADAMS</t>
  </si>
  <si>
    <t>WsD</t>
  </si>
  <si>
    <t>WtE</t>
  </si>
  <si>
    <t>ENDOAQUOLLS-HAPLUDOLLS</t>
  </si>
  <si>
    <t>4C</t>
  </si>
  <si>
    <t>5C</t>
  </si>
  <si>
    <t>7B</t>
  </si>
  <si>
    <t>NDOAQUENTS</t>
  </si>
  <si>
    <t>HINCKLEY-WINDSOR</t>
  </si>
  <si>
    <t>13F</t>
  </si>
  <si>
    <t>LANSING-MOHAWK</t>
  </si>
  <si>
    <t>16E</t>
  </si>
  <si>
    <t>BROADALBIN</t>
  </si>
  <si>
    <t>18C</t>
  </si>
  <si>
    <t>18D</t>
  </si>
  <si>
    <t>GALWAY</t>
  </si>
  <si>
    <t>24B</t>
  </si>
  <si>
    <t>24C</t>
  </si>
  <si>
    <t>MOHAWK</t>
  </si>
  <si>
    <t>32C</t>
  </si>
  <si>
    <t>32D</t>
  </si>
  <si>
    <t>33B</t>
  </si>
  <si>
    <t>34B</t>
  </si>
  <si>
    <t>42C</t>
  </si>
  <si>
    <t>42D</t>
  </si>
  <si>
    <t>44B</t>
  </si>
  <si>
    <t>47B</t>
  </si>
  <si>
    <t>74A</t>
  </si>
  <si>
    <t>MOSHERVILLE</t>
  </si>
  <si>
    <t>74B</t>
  </si>
  <si>
    <t>89A</t>
  </si>
  <si>
    <t>PALATINE</t>
  </si>
  <si>
    <t>90C</t>
  </si>
  <si>
    <t>90D</t>
  </si>
  <si>
    <t>PAXTON</t>
  </si>
  <si>
    <t>94D</t>
  </si>
  <si>
    <t>WOODBRIDGE</t>
  </si>
  <si>
    <t>99A</t>
  </si>
  <si>
    <t>109A</t>
  </si>
  <si>
    <t>112A</t>
  </si>
  <si>
    <t>SCIO-URBAN LAND</t>
  </si>
  <si>
    <t>WINDSOR-URBAN LAND</t>
  </si>
  <si>
    <t>117B</t>
  </si>
  <si>
    <t>BROADALBIN-URBAN LAND</t>
  </si>
  <si>
    <t>130B</t>
  </si>
  <si>
    <t>130C</t>
  </si>
  <si>
    <t>134A</t>
  </si>
  <si>
    <t>135A</t>
  </si>
  <si>
    <t>137A</t>
  </si>
  <si>
    <t>151B</t>
  </si>
  <si>
    <t>152A</t>
  </si>
  <si>
    <t>152B</t>
  </si>
  <si>
    <t>154A</t>
  </si>
  <si>
    <t>154B</t>
  </si>
  <si>
    <t>157A</t>
  </si>
  <si>
    <t>160A</t>
  </si>
  <si>
    <t>AGAWAM</t>
  </si>
  <si>
    <t>160B</t>
  </si>
  <si>
    <t>NINIGRET</t>
  </si>
  <si>
    <t>165A</t>
  </si>
  <si>
    <t>170B</t>
  </si>
  <si>
    <t>170C</t>
  </si>
  <si>
    <t>170D</t>
  </si>
  <si>
    <t>179A</t>
  </si>
  <si>
    <t>182A</t>
  </si>
  <si>
    <t>182B</t>
  </si>
  <si>
    <t>187A</t>
  </si>
  <si>
    <t>AERIC EPIAQUEPTS</t>
  </si>
  <si>
    <t>189A</t>
  </si>
  <si>
    <t>197A</t>
  </si>
  <si>
    <t>201B</t>
  </si>
  <si>
    <t>201C</t>
  </si>
  <si>
    <t>201D</t>
  </si>
  <si>
    <t>MERRIMAC</t>
  </si>
  <si>
    <t>210B</t>
  </si>
  <si>
    <t>210C</t>
  </si>
  <si>
    <t>210D</t>
  </si>
  <si>
    <t>BURNT VLY-FLUV-PLEASAN</t>
  </si>
  <si>
    <t>212A</t>
  </si>
  <si>
    <t>HINCKLEY</t>
  </si>
  <si>
    <t>212B</t>
  </si>
  <si>
    <t>212C</t>
  </si>
  <si>
    <t>232A</t>
  </si>
  <si>
    <t>244A</t>
  </si>
  <si>
    <t>244B</t>
  </si>
  <si>
    <t>368A</t>
  </si>
  <si>
    <t>SEARSPORT-WONSQUEAK-NA</t>
  </si>
  <si>
    <t>ADIRONDACK-SABBATIS-TU</t>
  </si>
  <si>
    <t>743D</t>
  </si>
  <si>
    <t>836C</t>
  </si>
  <si>
    <t>TUNBRIDGE-HAPLO-KNOB</t>
  </si>
  <si>
    <t>851C</t>
  </si>
  <si>
    <t>935C</t>
  </si>
  <si>
    <t>WORDEN-WILMINGTON</t>
  </si>
  <si>
    <t>1018B</t>
  </si>
  <si>
    <t>1018C</t>
  </si>
  <si>
    <t>1018D</t>
  </si>
  <si>
    <t>1022A</t>
  </si>
  <si>
    <t>1023A</t>
  </si>
  <si>
    <t>1024A</t>
  </si>
  <si>
    <t>1025A</t>
  </si>
  <si>
    <t>1025B</t>
  </si>
  <si>
    <t>1025C</t>
  </si>
  <si>
    <t>1025E</t>
  </si>
  <si>
    <t>1025F</t>
  </si>
  <si>
    <t>1027B</t>
  </si>
  <si>
    <t>ALLAGASH</t>
  </si>
  <si>
    <t>1027C</t>
  </si>
  <si>
    <t>1027E</t>
  </si>
  <si>
    <t>1070B</t>
  </si>
  <si>
    <t>1070C</t>
  </si>
  <si>
    <t>1070E</t>
  </si>
  <si>
    <t>1075B</t>
  </si>
  <si>
    <t>1075C</t>
  </si>
  <si>
    <t>1078B</t>
  </si>
  <si>
    <t>1080B</t>
  </si>
  <si>
    <t>1080C</t>
  </si>
  <si>
    <t>1080E</t>
  </si>
  <si>
    <t>1081B</t>
  </si>
  <si>
    <t>1081C</t>
  </si>
  <si>
    <t>LOWVILLE</t>
  </si>
  <si>
    <t>1118C</t>
  </si>
  <si>
    <t>1118D</t>
  </si>
  <si>
    <t>1170B</t>
  </si>
  <si>
    <t>HENNIKER</t>
  </si>
  <si>
    <t>1170C</t>
  </si>
  <si>
    <t>1170E</t>
  </si>
  <si>
    <t>1171B</t>
  </si>
  <si>
    <t>METACOMET</t>
  </si>
  <si>
    <t>1171C</t>
  </si>
  <si>
    <t>1172B</t>
  </si>
  <si>
    <t>PILLSBURY</t>
  </si>
  <si>
    <t>1178A</t>
  </si>
  <si>
    <t>1178B</t>
  </si>
  <si>
    <t>1185A</t>
  </si>
  <si>
    <t>1190C</t>
  </si>
  <si>
    <t>1190E</t>
  </si>
  <si>
    <t>1190F</t>
  </si>
  <si>
    <t>1193A</t>
  </si>
  <si>
    <t>WONSQUEAK-HUMAQUEPTS</t>
  </si>
  <si>
    <t>1291C</t>
  </si>
  <si>
    <t>BECKET-LYMAN-TUNBRIDGE</t>
  </si>
  <si>
    <t>1291D</t>
  </si>
  <si>
    <t>1292C</t>
  </si>
  <si>
    <t>1292E</t>
  </si>
  <si>
    <t>1292F</t>
  </si>
  <si>
    <t>1293C</t>
  </si>
  <si>
    <t>SKERRY-TUNBRIDGE</t>
  </si>
  <si>
    <t>1380C</t>
  </si>
  <si>
    <t>1391C</t>
  </si>
  <si>
    <t>LYMAN-TUNBRIDGE-ROCK O</t>
  </si>
  <si>
    <t>1391D</t>
  </si>
  <si>
    <t>1580B</t>
  </si>
  <si>
    <t>ADIRONDACK-SKERRY</t>
  </si>
  <si>
    <t>1591F</t>
  </si>
  <si>
    <t>LYMAN-BERKSHIRE</t>
  </si>
  <si>
    <t>1911C</t>
  </si>
  <si>
    <t>POTSDAM-LYMAN</t>
  </si>
  <si>
    <t>1911E</t>
  </si>
  <si>
    <t>1920B</t>
  </si>
  <si>
    <t>1920C</t>
  </si>
  <si>
    <t>1920E</t>
  </si>
  <si>
    <t>1941A</t>
  </si>
  <si>
    <t>2170B</t>
  </si>
  <si>
    <t>2170C</t>
  </si>
  <si>
    <t>2170E</t>
  </si>
  <si>
    <t>2171B</t>
  </si>
  <si>
    <t>2171C</t>
  </si>
  <si>
    <t>2172B</t>
  </si>
  <si>
    <t>GP</t>
  </si>
  <si>
    <t>AsD</t>
  </si>
  <si>
    <t>ARKPORT-DUNKIRK</t>
  </si>
  <si>
    <t>AsE</t>
  </si>
  <si>
    <t>AuA</t>
  </si>
  <si>
    <t>AuB</t>
  </si>
  <si>
    <t>BERGEN</t>
  </si>
  <si>
    <t>CcA</t>
  </si>
  <si>
    <t>CgC3</t>
  </si>
  <si>
    <t>CgD3</t>
  </si>
  <si>
    <t>FpA</t>
  </si>
  <si>
    <t>FrA</t>
  </si>
  <si>
    <t>GnA</t>
  </si>
  <si>
    <t>GnB</t>
  </si>
  <si>
    <t>Gp</t>
  </si>
  <si>
    <t>HaA</t>
  </si>
  <si>
    <t>HoB3</t>
  </si>
  <si>
    <t>HoC3</t>
  </si>
  <si>
    <t>HsD3</t>
  </si>
  <si>
    <t>HORNELL-FREMONT</t>
  </si>
  <si>
    <t>IoA</t>
  </si>
  <si>
    <t>KaA</t>
  </si>
  <si>
    <t>MlB</t>
  </si>
  <si>
    <t>MlC</t>
  </si>
  <si>
    <t>MlD</t>
  </si>
  <si>
    <t>MlE</t>
  </si>
  <si>
    <t>MmA</t>
  </si>
  <si>
    <t>MoD</t>
  </si>
  <si>
    <t>NeA</t>
  </si>
  <si>
    <t>Oa</t>
  </si>
  <si>
    <t>OATKA</t>
  </si>
  <si>
    <t>ONTARIO-LANSING</t>
  </si>
  <si>
    <t>OsB</t>
  </si>
  <si>
    <t>OsC</t>
  </si>
  <si>
    <t>PbC</t>
  </si>
  <si>
    <t>PbD</t>
  </si>
  <si>
    <t>PhC</t>
  </si>
  <si>
    <t>PkD</t>
  </si>
  <si>
    <t>PALMYRA-ARKPORT</t>
  </si>
  <si>
    <t>PkE</t>
  </si>
  <si>
    <t>PlA</t>
  </si>
  <si>
    <t>PAVILION</t>
  </si>
  <si>
    <t>PsA</t>
  </si>
  <si>
    <t>PsB</t>
  </si>
  <si>
    <t>QU</t>
  </si>
  <si>
    <t>ReB</t>
  </si>
  <si>
    <t>ReC</t>
  </si>
  <si>
    <t>RmB3</t>
  </si>
  <si>
    <t>RmC3</t>
  </si>
  <si>
    <t>RmC4</t>
  </si>
  <si>
    <t>RmD3</t>
  </si>
  <si>
    <t>RnE</t>
  </si>
  <si>
    <t>RnE4</t>
  </si>
  <si>
    <t>ShC3</t>
  </si>
  <si>
    <t>ShD3</t>
  </si>
  <si>
    <t>SlE3</t>
  </si>
  <si>
    <t>UD</t>
  </si>
  <si>
    <t>Um</t>
  </si>
  <si>
    <t>Wk</t>
  </si>
  <si>
    <t>Wr</t>
  </si>
  <si>
    <t>ArA</t>
  </si>
  <si>
    <t>ARNOT-LORDSTOWN</t>
  </si>
  <si>
    <t>AvD</t>
  </si>
  <si>
    <t>AvF</t>
  </si>
  <si>
    <t>ARNOT-OQUAGA</t>
  </si>
  <si>
    <t>AwD</t>
  </si>
  <si>
    <t>Ba</t>
  </si>
  <si>
    <t>BwB</t>
  </si>
  <si>
    <t>Co</t>
  </si>
  <si>
    <t>COVINGTON-MADALIN</t>
  </si>
  <si>
    <t>ElD</t>
  </si>
  <si>
    <t>EmC</t>
  </si>
  <si>
    <t>EmD</t>
  </si>
  <si>
    <t>EmF</t>
  </si>
  <si>
    <t>FaE</t>
  </si>
  <si>
    <t>HALCOTT</t>
  </si>
  <si>
    <t>HALCOTT-VLY</t>
  </si>
  <si>
    <t>HlE</t>
  </si>
  <si>
    <t>HwC3</t>
  </si>
  <si>
    <t>HwD3</t>
  </si>
  <si>
    <t>LcC</t>
  </si>
  <si>
    <t>LACKAWANNA-WELLSBORO</t>
  </si>
  <si>
    <t>LfF</t>
  </si>
  <si>
    <t>LgF</t>
  </si>
  <si>
    <t>LlC</t>
  </si>
  <si>
    <t>LEWBEACH-WILLOWEMOC</t>
  </si>
  <si>
    <t>LlD</t>
  </si>
  <si>
    <t>LmD</t>
  </si>
  <si>
    <t>DOVER</t>
  </si>
  <si>
    <t>MEDISAPRISTS</t>
  </si>
  <si>
    <t>MEDISAPRISTS-HYDRAQUEN</t>
  </si>
  <si>
    <t>NrE</t>
  </si>
  <si>
    <t>Oc</t>
  </si>
  <si>
    <t>OCHREPTS</t>
  </si>
  <si>
    <t>OoC</t>
  </si>
  <si>
    <t>OsD</t>
  </si>
  <si>
    <t>OsF</t>
  </si>
  <si>
    <t>SUNY</t>
  </si>
  <si>
    <t>TO</t>
  </si>
  <si>
    <t>TOR</t>
  </si>
  <si>
    <t>Ts</t>
  </si>
  <si>
    <t>Tt</t>
  </si>
  <si>
    <t>TuA</t>
  </si>
  <si>
    <t>TvB</t>
  </si>
  <si>
    <t>TwE</t>
  </si>
  <si>
    <t>VbF</t>
  </si>
  <si>
    <t>VdB</t>
  </si>
  <si>
    <t>VALOIS-NASSAU</t>
  </si>
  <si>
    <t>VdD</t>
  </si>
  <si>
    <t>VhC</t>
  </si>
  <si>
    <t>VLY-HALCOTT</t>
  </si>
  <si>
    <t>VhD</t>
  </si>
  <si>
    <t>VhF</t>
  </si>
  <si>
    <t>VpC</t>
  </si>
  <si>
    <t>23A</t>
  </si>
  <si>
    <t>LOXLEY-DAWSON</t>
  </si>
  <si>
    <t>24A</t>
  </si>
  <si>
    <t>SEARSPORT-BOROS-NAUMBE</t>
  </si>
  <si>
    <t>654D</t>
  </si>
  <si>
    <t>ADIRONDACK-BECKET-HERM</t>
  </si>
  <si>
    <t>861C</t>
  </si>
  <si>
    <t>861D</t>
  </si>
  <si>
    <t>891F</t>
  </si>
  <si>
    <t>MUNDALITE-RAWSONV-AMPERSAND</t>
  </si>
  <si>
    <t>933D</t>
  </si>
  <si>
    <t>937B</t>
  </si>
  <si>
    <t>WILMINGTON-TUGHILL</t>
  </si>
  <si>
    <t>942C</t>
  </si>
  <si>
    <t>RAWSONVILLE-WILMING-HO</t>
  </si>
  <si>
    <t>945C</t>
  </si>
  <si>
    <t>945D</t>
  </si>
  <si>
    <t>ROCK-RICKER-HOGBACK</t>
  </si>
  <si>
    <t>991F</t>
  </si>
  <si>
    <t>997C</t>
  </si>
  <si>
    <t>997D</t>
  </si>
  <si>
    <t>FLUVAQUENTS-BOROSAPRISTS</t>
  </si>
  <si>
    <t>DbD</t>
  </si>
  <si>
    <t>55D</t>
  </si>
  <si>
    <t>55E</t>
  </si>
  <si>
    <t>65F</t>
  </si>
  <si>
    <t>74C</t>
  </si>
  <si>
    <t>GREENWOOD</t>
  </si>
  <si>
    <t>200B</t>
  </si>
  <si>
    <t>256D</t>
  </si>
  <si>
    <t>376D</t>
  </si>
  <si>
    <t>391B</t>
  </si>
  <si>
    <t>HAILSBORO-DEPEYSTER</t>
  </si>
  <si>
    <t>KUSHAQUA-ONCHIOTA</t>
  </si>
  <si>
    <t>DAWSON</t>
  </si>
  <si>
    <t>MONADNOCK-TUNBRIDGE-TAHAWUS</t>
  </si>
  <si>
    <t>TUNBRIDGE-ADIRONDACK-LYMAN</t>
  </si>
  <si>
    <t>RAWSONVILLE-WILMING-HOGBACK</t>
  </si>
  <si>
    <t>Aa</t>
  </si>
  <si>
    <t>APPLETON-MANHEIM</t>
  </si>
  <si>
    <t>BoC</t>
  </si>
  <si>
    <t>BrD</t>
  </si>
  <si>
    <t>BROADALBIN-LANSING</t>
  </si>
  <si>
    <t>CANTON</t>
  </si>
  <si>
    <t>COHOCTAH</t>
  </si>
  <si>
    <t>Cu</t>
  </si>
  <si>
    <t>FkE</t>
  </si>
  <si>
    <t>HARTLAND-AGAWAM</t>
  </si>
  <si>
    <t>HgD</t>
  </si>
  <si>
    <t>HhA</t>
  </si>
  <si>
    <t>HhB</t>
  </si>
  <si>
    <t>HkB</t>
  </si>
  <si>
    <t>HmA</t>
  </si>
  <si>
    <t>HmC</t>
  </si>
  <si>
    <t>HnF</t>
  </si>
  <si>
    <t>HrE</t>
  </si>
  <si>
    <t>HONEOYE-MOHAWK</t>
  </si>
  <si>
    <t>HtC</t>
  </si>
  <si>
    <t>HOWARD-PALMYRA</t>
  </si>
  <si>
    <t>HyB</t>
  </si>
  <si>
    <t>HyC</t>
  </si>
  <si>
    <t>HyD</t>
  </si>
  <si>
    <t>Is</t>
  </si>
  <si>
    <t>ILION-SUN</t>
  </si>
  <si>
    <t>LAIRDSVILLE</t>
  </si>
  <si>
    <t>Lk</t>
  </si>
  <si>
    <t>LpB</t>
  </si>
  <si>
    <t>LOCKPORT</t>
  </si>
  <si>
    <t>NaD</t>
  </si>
  <si>
    <t>PaD</t>
  </si>
  <si>
    <t>Pk</t>
  </si>
  <si>
    <t>PALMYRA-HOWARD</t>
  </si>
  <si>
    <t>PmF</t>
  </si>
  <si>
    <t>PpB</t>
  </si>
  <si>
    <t>RbA</t>
  </si>
  <si>
    <t>ROUGH BROKEN LAND</t>
  </si>
  <si>
    <t>SANDSTONE</t>
  </si>
  <si>
    <t>ROCK LAND</t>
  </si>
  <si>
    <t>WaD</t>
  </si>
  <si>
    <t>3007A</t>
  </si>
  <si>
    <t>BUCKSPORT-WONSQUEAK-TUGHILL</t>
  </si>
  <si>
    <t>3115C</t>
  </si>
  <si>
    <t>WORTH-EMPEYVILLE</t>
  </si>
  <si>
    <t>9023C</t>
  </si>
  <si>
    <t>UDORTHENTS, DISRUPTED INSULA ROCK OUTCROP</t>
  </si>
  <si>
    <t>9026A</t>
  </si>
  <si>
    <t>ENDOAQUENTS DISRUPTED HAILESBORO-WEGATCHIE</t>
  </si>
  <si>
    <t>9028A</t>
  </si>
  <si>
    <t>ENDOAQUENTS DISRUPTED-WONSQUEK-ADJIDAUMO</t>
  </si>
  <si>
    <t>9078A</t>
  </si>
  <si>
    <t>WONSQUEK-ADJIDAUMO</t>
  </si>
  <si>
    <t>9088A</t>
  </si>
  <si>
    <t>WONSQUEK-ONJEBONGE</t>
  </si>
  <si>
    <t>9098A</t>
  </si>
  <si>
    <t>9197A</t>
  </si>
  <si>
    <t>WAYLAND-TEEL-PALMS</t>
  </si>
  <si>
    <t>9215B</t>
  </si>
  <si>
    <t>HEUVELTON-MUSKELLUNGE-MILLSITE</t>
  </si>
  <si>
    <t>9246A</t>
  </si>
  <si>
    <t>HAILESBORO-WEGATCHIE-INSULA</t>
  </si>
  <si>
    <t>9256A</t>
  </si>
  <si>
    <t>ROUNDABOUT-ONJEBONGE-LYMAN</t>
  </si>
  <si>
    <t>9823C</t>
  </si>
  <si>
    <t>INSULA-MILLSITE-QUETICO-ROCK OUTCROP</t>
  </si>
  <si>
    <t>9833C</t>
  </si>
  <si>
    <t>LYMAN-ABRAM</t>
  </si>
  <si>
    <t>AgA</t>
  </si>
  <si>
    <t>AhA</t>
  </si>
  <si>
    <t>AlC</t>
  </si>
  <si>
    <t>AlD</t>
  </si>
  <si>
    <t>AlE</t>
  </si>
  <si>
    <t>BfF</t>
  </si>
  <si>
    <t>BENSON-GALOO</t>
  </si>
  <si>
    <t>BhD</t>
  </si>
  <si>
    <t>BhF</t>
  </si>
  <si>
    <t>BICE-HAIGHTS</t>
  </si>
  <si>
    <t>BICE-PINCKNEY</t>
  </si>
  <si>
    <t>BmC</t>
  </si>
  <si>
    <t>BmD</t>
  </si>
  <si>
    <t>BnA</t>
  </si>
  <si>
    <t>BnB</t>
  </si>
  <si>
    <t>BnC</t>
  </si>
  <si>
    <t>BoA</t>
  </si>
  <si>
    <t>BpB</t>
  </si>
  <si>
    <t>BONAPARTE</t>
  </si>
  <si>
    <t>BpC</t>
  </si>
  <si>
    <t>Bt</t>
  </si>
  <si>
    <t>BOOTS</t>
  </si>
  <si>
    <t>CHATFIELD</t>
  </si>
  <si>
    <t>CHATFIELD-ROCK OUTCROP</t>
  </si>
  <si>
    <t>CkE</t>
  </si>
  <si>
    <t>CHAUMONT</t>
  </si>
  <si>
    <t>CnC3</t>
  </si>
  <si>
    <t>DcC</t>
  </si>
  <si>
    <t>DcD</t>
  </si>
  <si>
    <t>Em</t>
  </si>
  <si>
    <t>ENSLEY</t>
  </si>
  <si>
    <t>GALOO-ROCK OUTCROP</t>
  </si>
  <si>
    <t>GcB</t>
  </si>
  <si>
    <t>GlA</t>
  </si>
  <si>
    <t>GmC</t>
  </si>
  <si>
    <t>GtA</t>
  </si>
  <si>
    <t>GROTON</t>
  </si>
  <si>
    <t>GtB</t>
  </si>
  <si>
    <t>GtC</t>
  </si>
  <si>
    <t>GtD</t>
  </si>
  <si>
    <t>GtE</t>
  </si>
  <si>
    <t>GuB</t>
  </si>
  <si>
    <t>GUFFIN</t>
  </si>
  <si>
    <t>Gw</t>
  </si>
  <si>
    <t>GULF</t>
  </si>
  <si>
    <t>HAIGHTS-GULF</t>
  </si>
  <si>
    <t>Hc</t>
  </si>
  <si>
    <t>HEUVELTON-MILLSITE-ROC</t>
  </si>
  <si>
    <t>HINCKLEY-HOOSIC</t>
  </si>
  <si>
    <t>HOLLIS-GALOO</t>
  </si>
  <si>
    <t>HUDSON-CHATFIELD-ROCK</t>
  </si>
  <si>
    <t>HyE3</t>
  </si>
  <si>
    <t>INSULA-QUETICO</t>
  </si>
  <si>
    <t>IoB</t>
  </si>
  <si>
    <t>INSULA-ROCK OUTCROP</t>
  </si>
  <si>
    <t>IrC</t>
  </si>
  <si>
    <t>Ju</t>
  </si>
  <si>
    <t>KgA</t>
  </si>
  <si>
    <t>Kh</t>
  </si>
  <si>
    <t>KINGSBURY-LIVINGSTON</t>
  </si>
  <si>
    <t>LAGROSS-HAIGHTS</t>
  </si>
  <si>
    <t>MpB</t>
  </si>
  <si>
    <t>MILLSITE</t>
  </si>
  <si>
    <t>MILLSITE-ROCK OUTCROP</t>
  </si>
  <si>
    <t>MuE</t>
  </si>
  <si>
    <t>Mv</t>
  </si>
  <si>
    <t>MxC</t>
  </si>
  <si>
    <t>MUSKELLUNGE-MILLST-ROC</t>
  </si>
  <si>
    <t>NbF</t>
  </si>
  <si>
    <t>NASSAU-MANLIUS</t>
  </si>
  <si>
    <t>NlA</t>
  </si>
  <si>
    <t>NlC</t>
  </si>
  <si>
    <t>NlD</t>
  </si>
  <si>
    <t>NmE</t>
  </si>
  <si>
    <t>NELLIS-MADRID</t>
  </si>
  <si>
    <t>Nn</t>
  </si>
  <si>
    <t>NoA</t>
  </si>
  <si>
    <t>NpB</t>
  </si>
  <si>
    <t>PkB</t>
  </si>
  <si>
    <t>PINCKNEY-ENSLEY</t>
  </si>
  <si>
    <t>PoB</t>
  </si>
  <si>
    <t>PpD</t>
  </si>
  <si>
    <t>PLAINFIELD-WINDSOR</t>
  </si>
  <si>
    <t>PrB</t>
  </si>
  <si>
    <t>PLAINFIELD-SAND</t>
  </si>
  <si>
    <t>PrC</t>
  </si>
  <si>
    <t>QeB</t>
  </si>
  <si>
    <t>QUETICO-ROCK OUTCROP</t>
  </si>
  <si>
    <t>RHINEBECK-CHATF-ROCK</t>
  </si>
  <si>
    <t>Rn</t>
  </si>
  <si>
    <t>Ru</t>
  </si>
  <si>
    <t>RUSE</t>
  </si>
  <si>
    <t>SdA</t>
  </si>
  <si>
    <t>SdB</t>
  </si>
  <si>
    <t>Sv</t>
  </si>
  <si>
    <t>Ua</t>
  </si>
  <si>
    <t>Ub</t>
  </si>
  <si>
    <t>UDORTHENTS-UDIFLUVENTS</t>
  </si>
  <si>
    <t>Wh</t>
  </si>
  <si>
    <t>WHATELY</t>
  </si>
  <si>
    <t>WILLETTE</t>
  </si>
  <si>
    <t>WILPOINT</t>
  </si>
  <si>
    <t>WoB</t>
  </si>
  <si>
    <t>SEARSPORT-HAPLOSAPRIST</t>
  </si>
  <si>
    <t>POTSDAM-TUNBRIDGE-CRARY</t>
  </si>
  <si>
    <t>3011A</t>
  </si>
  <si>
    <t>3050A</t>
  </si>
  <si>
    <t>WONSQUEAK-TUGHILL-WESTBURY</t>
  </si>
  <si>
    <t>3211B</t>
  </si>
  <si>
    <t>HIGHMARKET-WORTH</t>
  </si>
  <si>
    <t>3300C</t>
  </si>
  <si>
    <t>SWANCOTT-FISHCREEK</t>
  </si>
  <si>
    <t>3300D</t>
  </si>
  <si>
    <t>3400C</t>
  </si>
  <si>
    <t>HIGHMARKET-SWANCOTT-FISHCREEK</t>
  </si>
  <si>
    <t>WONSQUEAK-ONJEBONGE</t>
  </si>
  <si>
    <t>ROUNDABOUT-ONJEBONE-LYMAN</t>
  </si>
  <si>
    <t>AaC</t>
  </si>
  <si>
    <t>AaS</t>
  </si>
  <si>
    <t>AeB</t>
  </si>
  <si>
    <t>AfA</t>
  </si>
  <si>
    <t>AfB</t>
  </si>
  <si>
    <t>AlF</t>
  </si>
  <si>
    <t>ABRAM-LYMAN-ROCK</t>
  </si>
  <si>
    <t>AoC</t>
  </si>
  <si>
    <t>ADJIDAUMO-SUMMERVILLE-ROCK</t>
  </si>
  <si>
    <t>BaA</t>
  </si>
  <si>
    <t>BbD</t>
  </si>
  <si>
    <t>BLOWNOUT LAND</t>
  </si>
  <si>
    <t>BcE</t>
  </si>
  <si>
    <t>BUXTON</t>
  </si>
  <si>
    <t>BdB</t>
  </si>
  <si>
    <t>BELGRADE</t>
  </si>
  <si>
    <t>BpA</t>
  </si>
  <si>
    <t>BUCKSPORT-PONDICHERRY</t>
  </si>
  <si>
    <t>CAMRODEN</t>
  </si>
  <si>
    <t>CaD</t>
  </si>
  <si>
    <t>CcB</t>
  </si>
  <si>
    <t>CmS</t>
  </si>
  <si>
    <t>CnS</t>
  </si>
  <si>
    <t>ELMWOOD</t>
  </si>
  <si>
    <t>EdB</t>
  </si>
  <si>
    <t>EfB</t>
  </si>
  <si>
    <t>EfC</t>
  </si>
  <si>
    <t>EfD</t>
  </si>
  <si>
    <t>GbA</t>
  </si>
  <si>
    <t>MARCY</t>
  </si>
  <si>
    <t>GdA</t>
  </si>
  <si>
    <t>GeA</t>
  </si>
  <si>
    <t>GfA</t>
  </si>
  <si>
    <t>GgA</t>
  </si>
  <si>
    <t>GhB</t>
  </si>
  <si>
    <t>GhC</t>
  </si>
  <si>
    <t>GkB</t>
  </si>
  <si>
    <t>GkC</t>
  </si>
  <si>
    <t>GmB</t>
  </si>
  <si>
    <t>GmD</t>
  </si>
  <si>
    <t>GnD</t>
  </si>
  <si>
    <t>HOLLIS</t>
  </si>
  <si>
    <t>GoC</t>
  </si>
  <si>
    <t>CHARLTON-ESSEX</t>
  </si>
  <si>
    <t>GoD</t>
  </si>
  <si>
    <t>GpD</t>
  </si>
  <si>
    <t>CHARLTON-SCITUATE</t>
  </si>
  <si>
    <t>HaD</t>
  </si>
  <si>
    <t>HbA</t>
  </si>
  <si>
    <t>HbC</t>
  </si>
  <si>
    <t>HbD</t>
  </si>
  <si>
    <t>HcA</t>
  </si>
  <si>
    <t>HdA</t>
  </si>
  <si>
    <t>HfA</t>
  </si>
  <si>
    <t>HfB</t>
  </si>
  <si>
    <t>HgA</t>
  </si>
  <si>
    <t>HhD</t>
  </si>
  <si>
    <t>HOWARD-KARS</t>
  </si>
  <si>
    <t>IaA</t>
  </si>
  <si>
    <t>IaB</t>
  </si>
  <si>
    <t>JaA</t>
  </si>
  <si>
    <t>KbA</t>
  </si>
  <si>
    <t>KcA</t>
  </si>
  <si>
    <t>KcB</t>
  </si>
  <si>
    <t>KdB</t>
  </si>
  <si>
    <t>KfB</t>
  </si>
  <si>
    <t>KINGS FALLS</t>
  </si>
  <si>
    <t>LOBDELL</t>
  </si>
  <si>
    <t>LdA</t>
  </si>
  <si>
    <t>LeA</t>
  </si>
  <si>
    <t>MELROSE</t>
  </si>
  <si>
    <t>MgB</t>
  </si>
  <si>
    <t>MgC</t>
  </si>
  <si>
    <t>MgD</t>
  </si>
  <si>
    <t>MkA</t>
  </si>
  <si>
    <t>NaE</t>
  </si>
  <si>
    <t>NcB</t>
  </si>
  <si>
    <t>NcC</t>
  </si>
  <si>
    <t>NdD</t>
  </si>
  <si>
    <t>NfC</t>
  </si>
  <si>
    <t>ROCK OUTCROP-FARMINGTO</t>
  </si>
  <si>
    <t>NfD</t>
  </si>
  <si>
    <t>NgC</t>
  </si>
  <si>
    <t>NgD</t>
  </si>
  <si>
    <t>NkD</t>
  </si>
  <si>
    <t>NEHASNE-KINGS FALLS</t>
  </si>
  <si>
    <t>NyB</t>
  </si>
  <si>
    <t>NAUMBURG-LYMAN</t>
  </si>
  <si>
    <t>OjA</t>
  </si>
  <si>
    <t>ONJEBONGE</t>
  </si>
  <si>
    <t>PcA</t>
  </si>
  <si>
    <t>PcC</t>
  </si>
  <si>
    <t>PcD</t>
  </si>
  <si>
    <t>PdE</t>
  </si>
  <si>
    <t>PLAINFIELD-HARTLAND</t>
  </si>
  <si>
    <t>PINCKNEY</t>
  </si>
  <si>
    <t>PeC</t>
  </si>
  <si>
    <t>PeD</t>
  </si>
  <si>
    <t>PeE</t>
  </si>
  <si>
    <t>PhD</t>
  </si>
  <si>
    <t>PONDICHERRY</t>
  </si>
  <si>
    <t>PYRITIES-NEHASNE</t>
  </si>
  <si>
    <t>RdA</t>
  </si>
  <si>
    <t>UDIFLUVENT-FLUVAQUENTS</t>
  </si>
  <si>
    <t>ReE</t>
  </si>
  <si>
    <t>ROCK OUTCROP-PAXTON</t>
  </si>
  <si>
    <t>RfE</t>
  </si>
  <si>
    <t>RgE</t>
  </si>
  <si>
    <t>JEBAVY</t>
  </si>
  <si>
    <t>SCANTIC</t>
  </si>
  <si>
    <t>SgB</t>
  </si>
  <si>
    <t>SCITUATE</t>
  </si>
  <si>
    <t>SkA</t>
  </si>
  <si>
    <t>SnC</t>
  </si>
  <si>
    <t>TUGHILL</t>
  </si>
  <si>
    <t>TbC</t>
  </si>
  <si>
    <t>TwC</t>
  </si>
  <si>
    <t>TUNBRIDGE-LYMAN-DAWSON</t>
  </si>
  <si>
    <t>WALLKILL</t>
  </si>
  <si>
    <t>WESTBURY</t>
  </si>
  <si>
    <t>WSC</t>
  </si>
  <si>
    <t>12A</t>
  </si>
  <si>
    <t>FONDA-CANANDAIGUA</t>
  </si>
  <si>
    <t>GUYANOGA</t>
  </si>
  <si>
    <t>23B</t>
  </si>
  <si>
    <t>23C</t>
  </si>
  <si>
    <t>23D</t>
  </si>
  <si>
    <t>23E</t>
  </si>
  <si>
    <t>24D</t>
  </si>
  <si>
    <t>HOWARD-COPAKE</t>
  </si>
  <si>
    <t>24F</t>
  </si>
  <si>
    <t>30B</t>
  </si>
  <si>
    <t>33C</t>
  </si>
  <si>
    <t>33D</t>
  </si>
  <si>
    <t>36B</t>
  </si>
  <si>
    <t>36C</t>
  </si>
  <si>
    <t>36D</t>
  </si>
  <si>
    <t>36E</t>
  </si>
  <si>
    <t>GALEN-COLONIE</t>
  </si>
  <si>
    <t>44C</t>
  </si>
  <si>
    <t>44D</t>
  </si>
  <si>
    <t>45B</t>
  </si>
  <si>
    <t>47C</t>
  </si>
  <si>
    <t>48D</t>
  </si>
  <si>
    <t>48F</t>
  </si>
  <si>
    <t>50D</t>
  </si>
  <si>
    <t>50E</t>
  </si>
  <si>
    <t>54A</t>
  </si>
  <si>
    <t>54B</t>
  </si>
  <si>
    <t>56A</t>
  </si>
  <si>
    <t>59A</t>
  </si>
  <si>
    <t>61A</t>
  </si>
  <si>
    <t>62F</t>
  </si>
  <si>
    <t>MARDIN-LANGFORD</t>
  </si>
  <si>
    <t>64B</t>
  </si>
  <si>
    <t>64F</t>
  </si>
  <si>
    <t>65A</t>
  </si>
  <si>
    <t>65B</t>
  </si>
  <si>
    <t>65C</t>
  </si>
  <si>
    <t>66A</t>
  </si>
  <si>
    <t>70C</t>
  </si>
  <si>
    <t>70D</t>
  </si>
  <si>
    <t>77C</t>
  </si>
  <si>
    <t>77D</t>
  </si>
  <si>
    <t>77F</t>
  </si>
  <si>
    <t>79A</t>
  </si>
  <si>
    <t>80F</t>
  </si>
  <si>
    <t>LORDSTOWN-MANLIUS-TOWERVILLIE</t>
  </si>
  <si>
    <t>82B</t>
  </si>
  <si>
    <t>82C</t>
  </si>
  <si>
    <t>82D</t>
  </si>
  <si>
    <t>83F</t>
  </si>
  <si>
    <t>87D</t>
  </si>
  <si>
    <t>87E</t>
  </si>
  <si>
    <t>EDWARDS-MARTISCO</t>
  </si>
  <si>
    <t>PALMS-CARLISLE</t>
  </si>
  <si>
    <t>94A</t>
  </si>
  <si>
    <t>SAPRISTS-AQUEPTS-AQUENTS</t>
  </si>
  <si>
    <t>HUDSON-COLLAMER</t>
  </si>
  <si>
    <t>132D</t>
  </si>
  <si>
    <t>132E</t>
  </si>
  <si>
    <t>133F</t>
  </si>
  <si>
    <t>HUDSON-AURORA</t>
  </si>
  <si>
    <t>ODESSA-ELMRIDGE</t>
  </si>
  <si>
    <t>ODESSA-SCHOHARIE</t>
  </si>
  <si>
    <t>136B</t>
  </si>
  <si>
    <t>SCHOHARIE-ELMRIDGE</t>
  </si>
  <si>
    <t>RHINEBECK-MADALIN</t>
  </si>
  <si>
    <t>145A</t>
  </si>
  <si>
    <t>ELMRIDGE-GALEN</t>
  </si>
  <si>
    <t>150C</t>
  </si>
  <si>
    <t>150D</t>
  </si>
  <si>
    <t>150E</t>
  </si>
  <si>
    <t>151C</t>
  </si>
  <si>
    <t>LEWBATH-ONTUSIA</t>
  </si>
  <si>
    <t>LEWBATH-WILLDIN</t>
  </si>
  <si>
    <t>152C</t>
  </si>
  <si>
    <t>LEWBATH-WILLDEN</t>
  </si>
  <si>
    <t>159A</t>
  </si>
  <si>
    <t>LIMA-KENDAIA</t>
  </si>
  <si>
    <t>159B</t>
  </si>
  <si>
    <t>161A</t>
  </si>
  <si>
    <t>APPLETON-CONESUS</t>
  </si>
  <si>
    <t>162A</t>
  </si>
  <si>
    <t>163B</t>
  </si>
  <si>
    <t>MARDIN-VOLUSIA</t>
  </si>
  <si>
    <t>163C</t>
  </si>
  <si>
    <t>163D</t>
  </si>
  <si>
    <t>ONTARIO-HILTON</t>
  </si>
  <si>
    <t>168A</t>
  </si>
  <si>
    <t>168B</t>
  </si>
  <si>
    <t>168C</t>
  </si>
  <si>
    <t>168D</t>
  </si>
  <si>
    <t>173A</t>
  </si>
  <si>
    <t>173B</t>
  </si>
  <si>
    <t>178B</t>
  </si>
  <si>
    <t>178C</t>
  </si>
  <si>
    <t>178D</t>
  </si>
  <si>
    <t>181B</t>
  </si>
  <si>
    <t>181C</t>
  </si>
  <si>
    <t>181D</t>
  </si>
  <si>
    <t>181E</t>
  </si>
  <si>
    <t>181F</t>
  </si>
  <si>
    <t>236A</t>
  </si>
  <si>
    <t>236B</t>
  </si>
  <si>
    <t>236C</t>
  </si>
  <si>
    <t>252B</t>
  </si>
  <si>
    <t>252C</t>
  </si>
  <si>
    <t>252D</t>
  </si>
  <si>
    <t>263B</t>
  </si>
  <si>
    <t>WILLDIN-ONTUSIA</t>
  </si>
  <si>
    <t>263C</t>
  </si>
  <si>
    <t>263D</t>
  </si>
  <si>
    <t>267B</t>
  </si>
  <si>
    <t>336B</t>
  </si>
  <si>
    <t>SCHOHARIE-ODESSA</t>
  </si>
  <si>
    <t>436B</t>
  </si>
  <si>
    <t>SCHOHARIE-CAYUGA</t>
  </si>
  <si>
    <t>AL</t>
  </si>
  <si>
    <t>An</t>
  </si>
  <si>
    <t>ATF</t>
  </si>
  <si>
    <t>BCE</t>
  </si>
  <si>
    <t>CfC3</t>
  </si>
  <si>
    <t>FGC</t>
  </si>
  <si>
    <t>FHF</t>
  </si>
  <si>
    <t>HnE</t>
  </si>
  <si>
    <t>HOE</t>
  </si>
  <si>
    <t>HONEOYE-FARMINGTON</t>
  </si>
  <si>
    <t>HxA</t>
  </si>
  <si>
    <t>HxB</t>
  </si>
  <si>
    <t>HxC</t>
  </si>
  <si>
    <t>HxD</t>
  </si>
  <si>
    <t>LbD3</t>
  </si>
  <si>
    <t>LbE3</t>
  </si>
  <si>
    <t>Lm</t>
  </si>
  <si>
    <t>LsD</t>
  </si>
  <si>
    <t>LtC</t>
  </si>
  <si>
    <t>LuC</t>
  </si>
  <si>
    <t>LvB</t>
  </si>
  <si>
    <t>LwD</t>
  </si>
  <si>
    <t>LXE</t>
  </si>
  <si>
    <t>MDC</t>
  </si>
  <si>
    <t>Mo</t>
  </si>
  <si>
    <t>MARTISCO-DEEP</t>
  </si>
  <si>
    <t>MARTISCO-SHALLOW</t>
  </si>
  <si>
    <t>Mt</t>
  </si>
  <si>
    <t>Pb</t>
  </si>
  <si>
    <t>PALMS-DEEP</t>
  </si>
  <si>
    <t>PgD</t>
  </si>
  <si>
    <t>PKC</t>
  </si>
  <si>
    <t>PKD</t>
  </si>
  <si>
    <t>PKE</t>
  </si>
  <si>
    <t>PME</t>
  </si>
  <si>
    <t>PMF</t>
  </si>
  <si>
    <t>PpA</t>
  </si>
  <si>
    <t>SdC</t>
  </si>
  <si>
    <t>SdD3</t>
  </si>
  <si>
    <t>SEE</t>
  </si>
  <si>
    <t>SCHOHARIE-CAZENOVIA</t>
  </si>
  <si>
    <t>SgC</t>
  </si>
  <si>
    <t>SgD</t>
  </si>
  <si>
    <t>STOCKBRIDGE-HOWARD</t>
  </si>
  <si>
    <t>Wv</t>
  </si>
  <si>
    <t>WEAVER</t>
  </si>
  <si>
    <t>Ww</t>
  </si>
  <si>
    <t>WILLETTE-DEEP</t>
  </si>
  <si>
    <t>AtF3</t>
  </si>
  <si>
    <t>ARKPORT-DUNKIRK-COLON</t>
  </si>
  <si>
    <t>CoD3</t>
  </si>
  <si>
    <t>200E</t>
  </si>
  <si>
    <t>HILTON-CAZENOVIA</t>
  </si>
  <si>
    <t>IgB</t>
  </si>
  <si>
    <t>LIMA-CAZENOVIA</t>
  </si>
  <si>
    <t>Lp</t>
  </si>
  <si>
    <t>OnD3</t>
  </si>
  <si>
    <t>OnF</t>
  </si>
  <si>
    <t>ONTARIO-PALMYRA-ARKPT</t>
  </si>
  <si>
    <t>Ov</t>
  </si>
  <si>
    <t>Ow</t>
  </si>
  <si>
    <t>OVID-APPLETON</t>
  </si>
  <si>
    <t>PaF</t>
  </si>
  <si>
    <t>RIGA</t>
  </si>
  <si>
    <t>Ss</t>
  </si>
  <si>
    <t>AtD</t>
  </si>
  <si>
    <t>AvB</t>
  </si>
  <si>
    <t>ARNOT-ANGOLA</t>
  </si>
  <si>
    <t>AZF</t>
  </si>
  <si>
    <t>BoD</t>
  </si>
  <si>
    <t>BURDETT-SCRIBA</t>
  </si>
  <si>
    <t>BXB</t>
  </si>
  <si>
    <t>CPE</t>
  </si>
  <si>
    <t>COLONIE-PLAINFIELD</t>
  </si>
  <si>
    <t>FBD</t>
  </si>
  <si>
    <t>FL</t>
  </si>
  <si>
    <t>FLUVAQUENTS</t>
  </si>
  <si>
    <t>HGC</t>
  </si>
  <si>
    <t>HTF</t>
  </si>
  <si>
    <t>HVF</t>
  </si>
  <si>
    <t>IlA</t>
  </si>
  <si>
    <t>IlB</t>
  </si>
  <si>
    <t>Jo</t>
  </si>
  <si>
    <t>JOLIET</t>
  </si>
  <si>
    <t>LMF</t>
  </si>
  <si>
    <t>LRE</t>
  </si>
  <si>
    <t>LORDSTOWN-ROCK</t>
  </si>
  <si>
    <t>MPE</t>
  </si>
  <si>
    <t>MANLIUS-ROCK OUTCROP</t>
  </si>
  <si>
    <t>MsC</t>
  </si>
  <si>
    <t>MsD</t>
  </si>
  <si>
    <t>MtA</t>
  </si>
  <si>
    <t>NVF</t>
  </si>
  <si>
    <t>NWC</t>
  </si>
  <si>
    <t>PmA</t>
  </si>
  <si>
    <t>RLF</t>
  </si>
  <si>
    <t>SA</t>
  </si>
  <si>
    <t>TvA</t>
  </si>
  <si>
    <t>TULLER-BROCKPORT</t>
  </si>
  <si>
    <t>VaA</t>
  </si>
  <si>
    <t>Ang1</t>
  </si>
  <si>
    <t>ANQUILLA</t>
  </si>
  <si>
    <t>ATSION</t>
  </si>
  <si>
    <t>baA</t>
  </si>
  <si>
    <t>BARREN SAND</t>
  </si>
  <si>
    <t>Bd</t>
  </si>
  <si>
    <t>BERRYLAND</t>
  </si>
  <si>
    <t>BH</t>
  </si>
  <si>
    <t>SAND-HOOKSAND</t>
  </si>
  <si>
    <t>DHU</t>
  </si>
  <si>
    <t>DUNE LAND-HOOKSAN</t>
  </si>
  <si>
    <t>ENFIELD</t>
  </si>
  <si>
    <t>FoA</t>
  </si>
  <si>
    <t>FORTRESS SAND</t>
  </si>
  <si>
    <t>FREETOWN</t>
  </si>
  <si>
    <t>HDB</t>
  </si>
  <si>
    <t>HOOKSAN-DUNE LAND</t>
  </si>
  <si>
    <t>HDR</t>
  </si>
  <si>
    <t>HEMPSTEAD</t>
  </si>
  <si>
    <t>HkA</t>
  </si>
  <si>
    <t>HOOKSAN SAND</t>
  </si>
  <si>
    <t>HkR</t>
  </si>
  <si>
    <t>HU</t>
  </si>
  <si>
    <t>HOOKSAN-URBAN</t>
  </si>
  <si>
    <t>HVU</t>
  </si>
  <si>
    <t>HOOKSAN-VERRAZANO-URBAN</t>
  </si>
  <si>
    <t>Ip</t>
  </si>
  <si>
    <t>IPSWICH</t>
  </si>
  <si>
    <t>MATUNUCK</t>
  </si>
  <si>
    <t>MONTAUK</t>
  </si>
  <si>
    <t>Nag0</t>
  </si>
  <si>
    <t>NAGUNT</t>
  </si>
  <si>
    <t>Nag2</t>
  </si>
  <si>
    <t>PAWCATUCK</t>
  </si>
  <si>
    <t>PLYMOUTH</t>
  </si>
  <si>
    <t>PrD</t>
  </si>
  <si>
    <t>PLYMOUTH-RIVERHEAD</t>
  </si>
  <si>
    <t>RdB</t>
  </si>
  <si>
    <t>RdC</t>
  </si>
  <si>
    <t>RdD</t>
  </si>
  <si>
    <t>Sandyhook</t>
  </si>
  <si>
    <t>SwA</t>
  </si>
  <si>
    <t>SWANSEA</t>
  </si>
  <si>
    <t>UDIFLUVENTS</t>
  </si>
  <si>
    <t>UdA</t>
  </si>
  <si>
    <t>UdE</t>
  </si>
  <si>
    <t>URBAN LAND-HEMPSTEAD</t>
  </si>
  <si>
    <t>URBAN LAND-MINEOLA</t>
  </si>
  <si>
    <t>URBAN LAND-MONTAUK</t>
  </si>
  <si>
    <t>URBAN LAND-PLYMOUTH</t>
  </si>
  <si>
    <t>UpC</t>
  </si>
  <si>
    <t>UpD</t>
  </si>
  <si>
    <t>UrC</t>
  </si>
  <si>
    <t>URBAN LAND-SUDBURY</t>
  </si>
  <si>
    <t>Af</t>
  </si>
  <si>
    <t>ALTMAR</t>
  </si>
  <si>
    <t>AsA</t>
  </si>
  <si>
    <t>CAYUGA-CAZENOVIA</t>
  </si>
  <si>
    <t>DvD3</t>
  </si>
  <si>
    <t>DUNKIRK-ARKPORT</t>
  </si>
  <si>
    <t>HILTON-CAYUGA</t>
  </si>
  <si>
    <t>HuF3</t>
  </si>
  <si>
    <t>Lg</t>
  </si>
  <si>
    <t>OoA</t>
  </si>
  <si>
    <t>OoB</t>
  </si>
  <si>
    <t>OsA</t>
  </si>
  <si>
    <t>OTISVILLE</t>
  </si>
  <si>
    <t>OwB</t>
  </si>
  <si>
    <t>Rk</t>
  </si>
  <si>
    <t>Uwihreh</t>
  </si>
  <si>
    <t>845B</t>
  </si>
  <si>
    <t>28B</t>
  </si>
  <si>
    <t>ALTON-URBAN LAND</t>
  </si>
  <si>
    <t>34D</t>
  </si>
  <si>
    <t>HOWARD-ALTON</t>
  </si>
  <si>
    <t>34E</t>
  </si>
  <si>
    <t>38D</t>
  </si>
  <si>
    <t>38E</t>
  </si>
  <si>
    <t>39B</t>
  </si>
  <si>
    <t>39C</t>
  </si>
  <si>
    <t>COLOSSE</t>
  </si>
  <si>
    <t>46C</t>
  </si>
  <si>
    <t>46D</t>
  </si>
  <si>
    <t>54D</t>
  </si>
  <si>
    <t>63A</t>
  </si>
  <si>
    <t>64A</t>
  </si>
  <si>
    <t>90E</t>
  </si>
  <si>
    <t>NAPOLEON</t>
  </si>
  <si>
    <t>102B</t>
  </si>
  <si>
    <t>102D</t>
  </si>
  <si>
    <t>103B</t>
  </si>
  <si>
    <t>HONEOYE-URBAN LAND</t>
  </si>
  <si>
    <t>HONEOYE-CAZENOVIA</t>
  </si>
  <si>
    <t>109B</t>
  </si>
  <si>
    <t>109C</t>
  </si>
  <si>
    <t>109D</t>
  </si>
  <si>
    <t>111D</t>
  </si>
  <si>
    <t>111E</t>
  </si>
  <si>
    <t>113B</t>
  </si>
  <si>
    <t>113C</t>
  </si>
  <si>
    <t>115E</t>
  </si>
  <si>
    <t>117A</t>
  </si>
  <si>
    <t>117E</t>
  </si>
  <si>
    <t>119B</t>
  </si>
  <si>
    <t>119C</t>
  </si>
  <si>
    <t>119D</t>
  </si>
  <si>
    <t>119E</t>
  </si>
  <si>
    <t>121B</t>
  </si>
  <si>
    <t>121C</t>
  </si>
  <si>
    <t>121D</t>
  </si>
  <si>
    <t>121E</t>
  </si>
  <si>
    <t>133B</t>
  </si>
  <si>
    <t>133C</t>
  </si>
  <si>
    <t>136A</t>
  </si>
  <si>
    <t>144A</t>
  </si>
  <si>
    <t>144B</t>
  </si>
  <si>
    <t>153C</t>
  </si>
  <si>
    <t>153D</t>
  </si>
  <si>
    <t>DANNEMORA</t>
  </si>
  <si>
    <t>156B</t>
  </si>
  <si>
    <t>156C</t>
  </si>
  <si>
    <t>156E</t>
  </si>
  <si>
    <t>168E</t>
  </si>
  <si>
    <t>173C</t>
  </si>
  <si>
    <t>173E</t>
  </si>
  <si>
    <t>176B</t>
  </si>
  <si>
    <t>176C</t>
  </si>
  <si>
    <t>176D</t>
  </si>
  <si>
    <t>200C</t>
  </si>
  <si>
    <t>ADRIAN</t>
  </si>
  <si>
    <t>221C</t>
  </si>
  <si>
    <t>221D</t>
  </si>
  <si>
    <t>221E</t>
  </si>
  <si>
    <t>223A</t>
  </si>
  <si>
    <t>223B</t>
  </si>
  <si>
    <t>223C</t>
  </si>
  <si>
    <t>260A</t>
  </si>
  <si>
    <t>260B</t>
  </si>
  <si>
    <t>267C</t>
  </si>
  <si>
    <t>350A</t>
  </si>
  <si>
    <t>350C</t>
  </si>
  <si>
    <t>355B</t>
  </si>
  <si>
    <t>372A</t>
  </si>
  <si>
    <t>372B</t>
  </si>
  <si>
    <t>413B</t>
  </si>
  <si>
    <t>VENANGO</t>
  </si>
  <si>
    <t>413C</t>
  </si>
  <si>
    <t>414B</t>
  </si>
  <si>
    <t>414C</t>
  </si>
  <si>
    <t>414D</t>
  </si>
  <si>
    <t>515A</t>
  </si>
  <si>
    <t>515B</t>
  </si>
  <si>
    <t>515C</t>
  </si>
  <si>
    <t>565B</t>
  </si>
  <si>
    <t>565C</t>
  </si>
  <si>
    <t>565D</t>
  </si>
  <si>
    <t>565E</t>
  </si>
  <si>
    <t>582A</t>
  </si>
  <si>
    <t>582B</t>
  </si>
  <si>
    <t>747A</t>
  </si>
  <si>
    <t>747C</t>
  </si>
  <si>
    <t>750B</t>
  </si>
  <si>
    <t>790A</t>
  </si>
  <si>
    <t>790B</t>
  </si>
  <si>
    <t>790C</t>
  </si>
  <si>
    <t>801B</t>
  </si>
  <si>
    <t>801C</t>
  </si>
  <si>
    <t>802D</t>
  </si>
  <si>
    <t>802E</t>
  </si>
  <si>
    <t>807A</t>
  </si>
  <si>
    <t>807B</t>
  </si>
  <si>
    <t>807C</t>
  </si>
  <si>
    <t>811B</t>
  </si>
  <si>
    <t>811C</t>
  </si>
  <si>
    <t>813B</t>
  </si>
  <si>
    <t>813C</t>
  </si>
  <si>
    <t>GRETOR-TULLER</t>
  </si>
  <si>
    <t>816B</t>
  </si>
  <si>
    <t>818B</t>
  </si>
  <si>
    <t>818C</t>
  </si>
  <si>
    <t>818D</t>
  </si>
  <si>
    <t>818E</t>
  </si>
  <si>
    <t>819A</t>
  </si>
  <si>
    <t>819B</t>
  </si>
  <si>
    <t>823A</t>
  </si>
  <si>
    <t>823B</t>
  </si>
  <si>
    <t>823C</t>
  </si>
  <si>
    <t>825B</t>
  </si>
  <si>
    <t>825C</t>
  </si>
  <si>
    <t>825D</t>
  </si>
  <si>
    <t>833A</t>
  </si>
  <si>
    <t>833B</t>
  </si>
  <si>
    <t>838B</t>
  </si>
  <si>
    <t>838C</t>
  </si>
  <si>
    <t>838D</t>
  </si>
  <si>
    <t>838E</t>
  </si>
  <si>
    <t>842B</t>
  </si>
  <si>
    <t>843D</t>
  </si>
  <si>
    <t>FARMINGTON-ROCK</t>
  </si>
  <si>
    <t>845A</t>
  </si>
  <si>
    <t>845C</t>
  </si>
  <si>
    <t>858A</t>
  </si>
  <si>
    <t>858B</t>
  </si>
  <si>
    <t>858C</t>
  </si>
  <si>
    <t>858D</t>
  </si>
  <si>
    <t>858E</t>
  </si>
  <si>
    <t>ANGOLA-DARIEN</t>
  </si>
  <si>
    <t>ATB</t>
  </si>
  <si>
    <t>AVF</t>
  </si>
  <si>
    <t>AwD2</t>
  </si>
  <si>
    <t>AXE</t>
  </si>
  <si>
    <t>AURORA-FARMINGTON-ROCK</t>
  </si>
  <si>
    <t>BNC</t>
  </si>
  <si>
    <t>BENSON-WASSAIC-ROCK</t>
  </si>
  <si>
    <t>BNF</t>
  </si>
  <si>
    <t>CaC2</t>
  </si>
  <si>
    <t>CaD2</t>
  </si>
  <si>
    <t>CBE</t>
  </si>
  <si>
    <t>CAMILLUS-LAIRDSVILLE</t>
  </si>
  <si>
    <t>CfC2</t>
  </si>
  <si>
    <t>CgD</t>
  </si>
  <si>
    <t>Da</t>
  </si>
  <si>
    <t>FAC</t>
  </si>
  <si>
    <t>FARMINGTON-AURORA</t>
  </si>
  <si>
    <t>HSC</t>
  </si>
  <si>
    <t>HTE</t>
  </si>
  <si>
    <t>HONEOYE-LANSING-ONTARI</t>
  </si>
  <si>
    <t>HyA</t>
  </si>
  <si>
    <t>KeA</t>
  </si>
  <si>
    <t>LbC2</t>
  </si>
  <si>
    <t>LOCKPORT-BROCKPORT</t>
  </si>
  <si>
    <t>LWC</t>
  </si>
  <si>
    <t>LXD</t>
  </si>
  <si>
    <t>MdC2</t>
  </si>
  <si>
    <t>MdCK</t>
  </si>
  <si>
    <t>MARTISCO-WARNERS</t>
  </si>
  <si>
    <t>ONTARIO-MADRID</t>
  </si>
  <si>
    <t>OtB</t>
  </si>
  <si>
    <t>OtC</t>
  </si>
  <si>
    <t>PHD</t>
  </si>
  <si>
    <t>PHE</t>
  </si>
  <si>
    <t>PHF</t>
  </si>
  <si>
    <t>SAPRISTS-FLUVAQUENTS</t>
  </si>
  <si>
    <t>VuB</t>
  </si>
  <si>
    <t>204B</t>
  </si>
  <si>
    <t>WDD</t>
  </si>
  <si>
    <t>WASSAIC-BENSON</t>
  </si>
  <si>
    <t>WwA</t>
  </si>
  <si>
    <t>WwB</t>
  </si>
  <si>
    <t>WwC</t>
  </si>
  <si>
    <t>WwC2</t>
  </si>
  <si>
    <t>NAPLES CREEK</t>
  </si>
  <si>
    <t>TYPIC ARGIAQUOLLS</t>
  </si>
  <si>
    <t>ATHERTON-TYPIC ARGIAQU</t>
  </si>
  <si>
    <t>33E</t>
  </si>
  <si>
    <t>45A</t>
  </si>
  <si>
    <t>49B</t>
  </si>
  <si>
    <t>49D</t>
  </si>
  <si>
    <t>49E</t>
  </si>
  <si>
    <t>49F</t>
  </si>
  <si>
    <t>53A</t>
  </si>
  <si>
    <t>LANGFORD-ERIE</t>
  </si>
  <si>
    <t>71A</t>
  </si>
  <si>
    <t>72A</t>
  </si>
  <si>
    <t>DARIEN-ILION</t>
  </si>
  <si>
    <t>73D</t>
  </si>
  <si>
    <t>76D</t>
  </si>
  <si>
    <t>MARTISCO</t>
  </si>
  <si>
    <t>95A</t>
  </si>
  <si>
    <t>101A</t>
  </si>
  <si>
    <t>101B</t>
  </si>
  <si>
    <t>101C</t>
  </si>
  <si>
    <t>101E</t>
  </si>
  <si>
    <t>104A</t>
  </si>
  <si>
    <t>106B</t>
  </si>
  <si>
    <t>DANLEY-LANSING</t>
  </si>
  <si>
    <t>CONESUS-LANSING</t>
  </si>
  <si>
    <t>112B</t>
  </si>
  <si>
    <t>112C</t>
  </si>
  <si>
    <t>112D</t>
  </si>
  <si>
    <t>112E</t>
  </si>
  <si>
    <t>116D</t>
  </si>
  <si>
    <t>118F</t>
  </si>
  <si>
    <t>120E</t>
  </si>
  <si>
    <t>124A</t>
  </si>
  <si>
    <t>128A</t>
  </si>
  <si>
    <t>128B</t>
  </si>
  <si>
    <t>128C</t>
  </si>
  <si>
    <t>130A</t>
  </si>
  <si>
    <t>GALOO</t>
  </si>
  <si>
    <t>WILLDIN-NORCHIP</t>
  </si>
  <si>
    <t>152D</t>
  </si>
  <si>
    <t>152E</t>
  </si>
  <si>
    <t>153B</t>
  </si>
  <si>
    <t>153E</t>
  </si>
  <si>
    <t>182C</t>
  </si>
  <si>
    <t>201A</t>
  </si>
  <si>
    <t>204A</t>
  </si>
  <si>
    <t>URBAN LAND-PAXTON</t>
  </si>
  <si>
    <t>NUHI</t>
  </si>
  <si>
    <t>240B</t>
  </si>
  <si>
    <t>AURORA-ANGOLA</t>
  </si>
  <si>
    <t>240C</t>
  </si>
  <si>
    <t>240D</t>
  </si>
  <si>
    <t>241B</t>
  </si>
  <si>
    <t>241C</t>
  </si>
  <si>
    <t>241D</t>
  </si>
  <si>
    <t>255B</t>
  </si>
  <si>
    <t>255C</t>
  </si>
  <si>
    <t>255D</t>
  </si>
  <si>
    <t>260C</t>
  </si>
  <si>
    <t>260D</t>
  </si>
  <si>
    <t>304A</t>
  </si>
  <si>
    <t>342A</t>
  </si>
  <si>
    <t>356A</t>
  </si>
  <si>
    <t>356B</t>
  </si>
  <si>
    <t>357B</t>
  </si>
  <si>
    <t>357C</t>
  </si>
  <si>
    <t>400A</t>
  </si>
  <si>
    <t>401D</t>
  </si>
  <si>
    <t>ACKERMAN</t>
  </si>
  <si>
    <t>AC</t>
  </si>
  <si>
    <t>ANC</t>
  </si>
  <si>
    <t>AND</t>
  </si>
  <si>
    <t>ANF</t>
  </si>
  <si>
    <t>BATH-NASSAU</t>
  </si>
  <si>
    <t>CALDEN</t>
  </si>
  <si>
    <t>CARLISLE-DEEP</t>
  </si>
  <si>
    <t>Cf</t>
  </si>
  <si>
    <t>CARLISLE-MUSKEGO-PINNE</t>
  </si>
  <si>
    <t>CLC</t>
  </si>
  <si>
    <t>CHARLTON-PAXTON</t>
  </si>
  <si>
    <t>CLD</t>
  </si>
  <si>
    <t>ESB</t>
  </si>
  <si>
    <t>Fd</t>
  </si>
  <si>
    <t>HH</t>
  </si>
  <si>
    <t>HISTIC HUMAQUEPTS</t>
  </si>
  <si>
    <t>HLC</t>
  </si>
  <si>
    <t>HLD</t>
  </si>
  <si>
    <t>MNE</t>
  </si>
  <si>
    <t>MUSKEGO</t>
  </si>
  <si>
    <t>My</t>
  </si>
  <si>
    <t>NATCHAUG-WAWAYANDA</t>
  </si>
  <si>
    <t>OkA</t>
  </si>
  <si>
    <t>OAKVILLE</t>
  </si>
  <si>
    <t>OkB</t>
  </si>
  <si>
    <t>On</t>
  </si>
  <si>
    <t>OLENTANGY</t>
  </si>
  <si>
    <t>OtD</t>
  </si>
  <si>
    <t>OVE</t>
  </si>
  <si>
    <t>OTISVILLE-HOOSIC</t>
  </si>
  <si>
    <t>PINNEBOG</t>
  </si>
  <si>
    <t>RKC</t>
  </si>
  <si>
    <t>RKD</t>
  </si>
  <si>
    <t>RKF</t>
  </si>
  <si>
    <t>RMC</t>
  </si>
  <si>
    <t>RMD</t>
  </si>
  <si>
    <t>ROC</t>
  </si>
  <si>
    <t>ROCK OUTCROP-HOLLIS</t>
  </si>
  <si>
    <t>ROD</t>
  </si>
  <si>
    <t>ROF</t>
  </si>
  <si>
    <t>RSB</t>
  </si>
  <si>
    <t>ROCK OUTCROP-NASSAU</t>
  </si>
  <si>
    <t>RSD</t>
  </si>
  <si>
    <t>RSF</t>
  </si>
  <si>
    <t>SUNCOOK</t>
  </si>
  <si>
    <t>SWARTSWOOD</t>
  </si>
  <si>
    <t>SwC</t>
  </si>
  <si>
    <t>SwD</t>
  </si>
  <si>
    <t>SXC</t>
  </si>
  <si>
    <t>SWARTSWOOD-MARDIN</t>
  </si>
  <si>
    <t>SXD</t>
  </si>
  <si>
    <t>SXF</t>
  </si>
  <si>
    <t>UF</t>
  </si>
  <si>
    <t>UH</t>
  </si>
  <si>
    <t>WAWAYANDA</t>
  </si>
  <si>
    <t>WuB</t>
  </si>
  <si>
    <t>WURTSBORO</t>
  </si>
  <si>
    <t>WuC</t>
  </si>
  <si>
    <t>ARKPORT-COLLAMER</t>
  </si>
  <si>
    <t>BARRE</t>
  </si>
  <si>
    <t>Cg</t>
  </si>
  <si>
    <t>CmC3</t>
  </si>
  <si>
    <t>FH</t>
  </si>
  <si>
    <t>FLUVAQUENTS-HUMAQUEPTS</t>
  </si>
  <si>
    <t>KENDAIA-APPLETON</t>
  </si>
  <si>
    <t>SHALE OUTCROP</t>
  </si>
  <si>
    <t>WsA</t>
  </si>
  <si>
    <t>AAC</t>
  </si>
  <si>
    <t>ADAMS-WINDSOR</t>
  </si>
  <si>
    <t>AAD</t>
  </si>
  <si>
    <t>AgC</t>
  </si>
  <si>
    <t>AkC</t>
  </si>
  <si>
    <t>AMBOY</t>
  </si>
  <si>
    <t>AvC3</t>
  </si>
  <si>
    <t>AMBOY-WILLIAMSON</t>
  </si>
  <si>
    <t>AyD3</t>
  </si>
  <si>
    <t>AyE3</t>
  </si>
  <si>
    <t>BC</t>
  </si>
  <si>
    <t>CAB</t>
  </si>
  <si>
    <t>CANAAN-ROCK OUTCROP</t>
  </si>
  <si>
    <t>CFL</t>
  </si>
  <si>
    <t>CHC</t>
  </si>
  <si>
    <t>COLTON-HINCKLEY</t>
  </si>
  <si>
    <t>CHD</t>
  </si>
  <si>
    <t>CHE</t>
  </si>
  <si>
    <t>EmB</t>
  </si>
  <si>
    <t>EpB</t>
  </si>
  <si>
    <t>EpC</t>
  </si>
  <si>
    <t>FA</t>
  </si>
  <si>
    <t>HkC</t>
  </si>
  <si>
    <t>HuCK</t>
  </si>
  <si>
    <t>HW</t>
  </si>
  <si>
    <t>HUMAQUEPTS-FIBRISTS</t>
  </si>
  <si>
    <t>IsC</t>
  </si>
  <si>
    <t>IUD</t>
  </si>
  <si>
    <t>ML</t>
  </si>
  <si>
    <t>NDB</t>
  </si>
  <si>
    <t>NAUMBURG-DUANE</t>
  </si>
  <si>
    <t>NGB</t>
  </si>
  <si>
    <t>NAUMBURG-GRANBY</t>
  </si>
  <si>
    <t>RM</t>
  </si>
  <si>
    <t>RIFLE</t>
  </si>
  <si>
    <t>RU</t>
  </si>
  <si>
    <t>SD</t>
  </si>
  <si>
    <t>DUNE LAND</t>
  </si>
  <si>
    <t>SDB</t>
  </si>
  <si>
    <t>SHF</t>
  </si>
  <si>
    <t>UB</t>
  </si>
  <si>
    <t>WDB</t>
  </si>
  <si>
    <t>WEB</t>
  </si>
  <si>
    <t>WRE</t>
  </si>
  <si>
    <t>WSD</t>
  </si>
  <si>
    <t>WYD</t>
  </si>
  <si>
    <t>URBAN LAND-RIDGEBURY</t>
  </si>
  <si>
    <t>LORDSTOWN-CHADAKOIN-MA</t>
  </si>
  <si>
    <t>ClF</t>
  </si>
  <si>
    <t>CHATFIELD-CHARLTON</t>
  </si>
  <si>
    <t>CHATFIELD-HOLLIS-ROCK</t>
  </si>
  <si>
    <t>KnC</t>
  </si>
  <si>
    <t>LEICESTER</t>
  </si>
  <si>
    <t>LcB</t>
  </si>
  <si>
    <t>UvB</t>
  </si>
  <si>
    <t>NdA</t>
  </si>
  <si>
    <t>NATCHAUG-CALDEN</t>
  </si>
  <si>
    <t>PnB</t>
  </si>
  <si>
    <t>PnC</t>
  </si>
  <si>
    <t>PnD</t>
  </si>
  <si>
    <t>PoD</t>
  </si>
  <si>
    <t>Pw</t>
  </si>
  <si>
    <t>RhE</t>
  </si>
  <si>
    <t>SbD</t>
  </si>
  <si>
    <t>STOCKBRIDGE-ROCK</t>
  </si>
  <si>
    <t>SUTTON</t>
  </si>
  <si>
    <t>UdB</t>
  </si>
  <si>
    <t>UhB</t>
  </si>
  <si>
    <t>URBAN LAND-CHARLTON</t>
  </si>
  <si>
    <t>UhC</t>
  </si>
  <si>
    <t>URBAN LAND-CHARLTON-CH</t>
  </si>
  <si>
    <t>UlD</t>
  </si>
  <si>
    <t>WdC</t>
  </si>
  <si>
    <t>ALBRIGHTS</t>
  </si>
  <si>
    <t>AmD</t>
  </si>
  <si>
    <t>BERNARDSTON-NASSAU</t>
  </si>
  <si>
    <t>BnD</t>
  </si>
  <si>
    <t>BERNARDSTON-PITTSTOWN</t>
  </si>
  <si>
    <t>BUCKLAND</t>
  </si>
  <si>
    <t>BuD</t>
  </si>
  <si>
    <t>BuF</t>
  </si>
  <si>
    <t>FlA</t>
  </si>
  <si>
    <t>GLOVER</t>
  </si>
  <si>
    <t>GlD</t>
  </si>
  <si>
    <t>GmF</t>
  </si>
  <si>
    <t>GLOVER-ROCK OUTCROP</t>
  </si>
  <si>
    <t>MaF</t>
  </si>
  <si>
    <t>NtA</t>
  </si>
  <si>
    <t>OCCUM-BARBOUR</t>
  </si>
  <si>
    <t>PITTSTOWN-BERNARDSTON</t>
  </si>
  <si>
    <t>SvB</t>
  </si>
  <si>
    <t>SCRIBA-PITTSTOWN</t>
  </si>
  <si>
    <t>CHARLTON-ROCK OUTCROP</t>
  </si>
  <si>
    <t>CHARLTON-URBAN LAND</t>
  </si>
  <si>
    <t>CmD</t>
  </si>
  <si>
    <t>CHESHIRE</t>
  </si>
  <si>
    <t>CHESHIRE-URBAN LAND</t>
  </si>
  <si>
    <t>Fh</t>
  </si>
  <si>
    <t>FLUVAQUENTS-MEDISAPRIS</t>
  </si>
  <si>
    <t>HINCKLEY-URBAN LAND</t>
  </si>
  <si>
    <t>HlF</t>
  </si>
  <si>
    <t>HOLYOKE-ROCK OUTCROP</t>
  </si>
  <si>
    <t>HOLYOKE-URBAN LAND-ROC</t>
  </si>
  <si>
    <t>PsC</t>
  </si>
  <si>
    <t>PsE</t>
  </si>
  <si>
    <t>ReD</t>
  </si>
  <si>
    <t>RuB</t>
  </si>
  <si>
    <t>RIVERHEAD-URBAN LAND</t>
  </si>
  <si>
    <t>RuC</t>
  </si>
  <si>
    <t>RuD</t>
  </si>
  <si>
    <t>Wc</t>
  </si>
  <si>
    <t>WATCHAUG</t>
  </si>
  <si>
    <t>WETHERSFIELD</t>
  </si>
  <si>
    <t>WETHERSFIELD-URBAN</t>
  </si>
  <si>
    <t>WuD</t>
  </si>
  <si>
    <t>YaB</t>
  </si>
  <si>
    <t>YALESVILLE</t>
  </si>
  <si>
    <t>YaC</t>
  </si>
  <si>
    <t>YaD</t>
  </si>
  <si>
    <t>YuB</t>
  </si>
  <si>
    <t>YALESVILLE-URBAN LAND</t>
  </si>
  <si>
    <t>YuC</t>
  </si>
  <si>
    <t>YuD</t>
  </si>
  <si>
    <t>ALA</t>
  </si>
  <si>
    <t>ALC</t>
  </si>
  <si>
    <t>ALE</t>
  </si>
  <si>
    <t>BCC</t>
  </si>
  <si>
    <t>BEC</t>
  </si>
  <si>
    <t>BEE</t>
  </si>
  <si>
    <t>BHC</t>
  </si>
  <si>
    <t>BHE</t>
  </si>
  <si>
    <t>BLC</t>
  </si>
  <si>
    <t>BERKSHIRE-TUNBRIDGE</t>
  </si>
  <si>
    <t>BLE</t>
  </si>
  <si>
    <t>BERNARDSTON-MANLIUS-NA</t>
  </si>
  <si>
    <t>BOC</t>
  </si>
  <si>
    <t>BOE</t>
  </si>
  <si>
    <t>BPC</t>
  </si>
  <si>
    <t>BICE-WOODSTOCK</t>
  </si>
  <si>
    <t>BPE</t>
  </si>
  <si>
    <t>BROADALBIN-MANLIUS-NAS</t>
  </si>
  <si>
    <t>COC</t>
  </si>
  <si>
    <t>COE</t>
  </si>
  <si>
    <t>Fl</t>
  </si>
  <si>
    <t>FU</t>
  </si>
  <si>
    <t>FLUVAQUENTS-UDIPSAMMEN</t>
  </si>
  <si>
    <t>LIMERICK-SACO</t>
  </si>
  <si>
    <t>LY</t>
  </si>
  <si>
    <t>LYME</t>
  </si>
  <si>
    <t>MANLIUS-NASSAU</t>
  </si>
  <si>
    <t>MxB</t>
  </si>
  <si>
    <t>MOSHERVILLE-HORNELL</t>
  </si>
  <si>
    <t>NATCHAUG-PONDED</t>
  </si>
  <si>
    <t>OaD</t>
  </si>
  <si>
    <t>OeE</t>
  </si>
  <si>
    <t>WIDSOR</t>
  </si>
  <si>
    <t>PwA</t>
  </si>
  <si>
    <t>SCB</t>
  </si>
  <si>
    <t>SKB</t>
  </si>
  <si>
    <t>BERKSHIRE-SUNAPEE</t>
  </si>
  <si>
    <t>TNC</t>
  </si>
  <si>
    <t>TNE</t>
  </si>
  <si>
    <t>TNF</t>
  </si>
  <si>
    <t>WO</t>
  </si>
  <si>
    <t>MrD</t>
  </si>
  <si>
    <t>BARBOUR-TIOGA</t>
  </si>
  <si>
    <t>BbB</t>
  </si>
  <si>
    <t>Bm</t>
  </si>
  <si>
    <t>BASHER-MIDDLEBURY</t>
  </si>
  <si>
    <t>BURDETT-ERIE</t>
  </si>
  <si>
    <t>DcC3</t>
  </si>
  <si>
    <t>DdD</t>
  </si>
  <si>
    <t>DsB3</t>
  </si>
  <si>
    <t>FaF</t>
  </si>
  <si>
    <t>FREDON-HALSEY</t>
  </si>
  <si>
    <t>WAYLAND-PAPAKATING</t>
  </si>
  <si>
    <t>ILION-APPLETON</t>
  </si>
  <si>
    <t>BOROSAPRISTS-FLUVAQUEN</t>
  </si>
  <si>
    <t>ILION-LYONS</t>
  </si>
  <si>
    <t>IlC</t>
  </si>
  <si>
    <t>LAKEMONT-MADALIN</t>
  </si>
  <si>
    <t>LhC3</t>
  </si>
  <si>
    <t>LmE</t>
  </si>
  <si>
    <t>LORDSTOWN-OQUAGA-NASSA</t>
  </si>
  <si>
    <t>LyB</t>
  </si>
  <si>
    <t>LYONS-ILION</t>
  </si>
  <si>
    <t>McC3</t>
  </si>
  <si>
    <t>McE</t>
  </si>
  <si>
    <t>MdF</t>
  </si>
  <si>
    <t>MeE</t>
  </si>
  <si>
    <t>MOHAWK-HONEOYE</t>
  </si>
  <si>
    <t>MhC3</t>
  </si>
  <si>
    <t>MhF</t>
  </si>
  <si>
    <t>MOHAWK-LANSING</t>
  </si>
  <si>
    <t>MOHAWK-LIMA</t>
  </si>
  <si>
    <t>MUCK-ACID</t>
  </si>
  <si>
    <t>MUCK-PEAT-ACID</t>
  </si>
  <si>
    <t>NdB</t>
  </si>
  <si>
    <t>NdC</t>
  </si>
  <si>
    <t>NdC3</t>
  </si>
  <si>
    <t>NdD3</t>
  </si>
  <si>
    <t>NUNDA-LANGFORD</t>
  </si>
  <si>
    <t>NlC3</t>
  </si>
  <si>
    <t>ODESSA-RHINEBECK</t>
  </si>
  <si>
    <t>OdC</t>
  </si>
  <si>
    <t>OsE</t>
  </si>
  <si>
    <t>SCHOHARIE-HUDSON</t>
  </si>
  <si>
    <t>SnB3</t>
  </si>
  <si>
    <t>SnC3</t>
  </si>
  <si>
    <t>SnD3</t>
  </si>
  <si>
    <t>TULLER-ALLIS</t>
  </si>
  <si>
    <t>TaC</t>
  </si>
  <si>
    <t>TcC</t>
  </si>
  <si>
    <t>ThA</t>
  </si>
  <si>
    <t>ThC</t>
  </si>
  <si>
    <t>ThCK</t>
  </si>
  <si>
    <t>ThD</t>
  </si>
  <si>
    <t>TnF</t>
  </si>
  <si>
    <t>VcA</t>
  </si>
  <si>
    <t>VmC</t>
  </si>
  <si>
    <t>VOLUSIA-MORRIS-ERIE</t>
  </si>
  <si>
    <t>AQ</t>
  </si>
  <si>
    <t>AQUEPTS-SAPRISTS</t>
  </si>
  <si>
    <t>DkB</t>
  </si>
  <si>
    <t>DkC</t>
  </si>
  <si>
    <t>DUE3</t>
  </si>
  <si>
    <t>DUNKIRK-HUDSON</t>
  </si>
  <si>
    <t>FF</t>
  </si>
  <si>
    <t>HrCK</t>
  </si>
  <si>
    <t>HSD</t>
  </si>
  <si>
    <t>HSE</t>
  </si>
  <si>
    <t>LTE</t>
  </si>
  <si>
    <t>LTF</t>
  </si>
  <si>
    <t>OCF</t>
  </si>
  <si>
    <t>OCHREPTS-ORTHENTS</t>
  </si>
  <si>
    <t>RnB</t>
  </si>
  <si>
    <t>ScB3</t>
  </si>
  <si>
    <t>ScC3</t>
  </si>
  <si>
    <t>ScD3</t>
  </si>
  <si>
    <t>SyC</t>
  </si>
  <si>
    <t>SyD</t>
  </si>
  <si>
    <t>SyE</t>
  </si>
  <si>
    <t>VEE</t>
  </si>
  <si>
    <t>VHF</t>
  </si>
  <si>
    <t>CeB3</t>
  </si>
  <si>
    <t>DARIEN-DANLEY-CAZENOVI</t>
  </si>
  <si>
    <t>HONEOYE-ONTARIO-LANSIN</t>
  </si>
  <si>
    <t>LgC3</t>
  </si>
  <si>
    <t>MADALIN-ODESSA</t>
  </si>
  <si>
    <t>OfC3</t>
  </si>
  <si>
    <t>ONTARIO-FARMINGTON</t>
  </si>
  <si>
    <t>PhE</t>
  </si>
  <si>
    <t>ShA</t>
  </si>
  <si>
    <t>Sr</t>
  </si>
  <si>
    <t>Vc</t>
  </si>
  <si>
    <t>CANEADEA</t>
  </si>
  <si>
    <t>ERNEST</t>
  </si>
  <si>
    <t>ErD</t>
  </si>
  <si>
    <t>FxB</t>
  </si>
  <si>
    <t>GILPEN</t>
  </si>
  <si>
    <t>GlE</t>
  </si>
  <si>
    <t>GlF</t>
  </si>
  <si>
    <t>RaE</t>
  </si>
  <si>
    <t>RbC</t>
  </si>
  <si>
    <t>RbD</t>
  </si>
  <si>
    <t>RbE</t>
  </si>
  <si>
    <t>RbF</t>
  </si>
  <si>
    <t>RcA</t>
  </si>
  <si>
    <t>WHARTON</t>
  </si>
  <si>
    <t>643D</t>
  </si>
  <si>
    <t>644D</t>
  </si>
  <si>
    <t>POTSDAM-TUNBRIDGE-CRAR</t>
  </si>
  <si>
    <t>TUNBRIDGE-BOROSAP-RICK</t>
  </si>
  <si>
    <t>ROCK OUTCROP-KNOB LOCK-LYMAN</t>
  </si>
  <si>
    <t>Ao</t>
  </si>
  <si>
    <t>Ap</t>
  </si>
  <si>
    <t>ADJIDAUMO-SUMMERVILLE</t>
  </si>
  <si>
    <t>COLTON-DUXBURY</t>
  </si>
  <si>
    <t>COVEYTOWN-COOK</t>
  </si>
  <si>
    <t>Dd</t>
  </si>
  <si>
    <t>DEFORD</t>
  </si>
  <si>
    <t>DpA</t>
  </si>
  <si>
    <t>DpB</t>
  </si>
  <si>
    <t>EeB</t>
  </si>
  <si>
    <t>EELWEIR</t>
  </si>
  <si>
    <t>EmA</t>
  </si>
  <si>
    <t>Fa</t>
  </si>
  <si>
    <t>FkA</t>
  </si>
  <si>
    <t>GsD</t>
  </si>
  <si>
    <t>Gu</t>
  </si>
  <si>
    <t>GUFF</t>
  </si>
  <si>
    <t>HANNAWA</t>
  </si>
  <si>
    <t>HkE</t>
  </si>
  <si>
    <t>HEUVELTON-DEPEYSTER</t>
  </si>
  <si>
    <t>INSULA</t>
  </si>
  <si>
    <t>IrD</t>
  </si>
  <si>
    <t>KALURAH-PYRITIES</t>
  </si>
  <si>
    <t>LYMAN-ROCK OUTCROP</t>
  </si>
  <si>
    <t>LYME-TUGHILL</t>
  </si>
  <si>
    <t>MALONE-ADJIDAUMO</t>
  </si>
  <si>
    <t>MATOON</t>
  </si>
  <si>
    <t>MUNUSCONG</t>
  </si>
  <si>
    <t>MuB</t>
  </si>
  <si>
    <t>MUSKELLUNGE-ADJIDAUMO</t>
  </si>
  <si>
    <t>NhA</t>
  </si>
  <si>
    <t>NEHASNE</t>
  </si>
  <si>
    <t>NhB</t>
  </si>
  <si>
    <t>NhC</t>
  </si>
  <si>
    <t>NoC</t>
  </si>
  <si>
    <t>OgA</t>
  </si>
  <si>
    <t>POTSDAM-BERKSHIRE</t>
  </si>
  <si>
    <t>POTSDAM-CRARY</t>
  </si>
  <si>
    <t>PvB</t>
  </si>
  <si>
    <t>PvC</t>
  </si>
  <si>
    <t>PyB</t>
  </si>
  <si>
    <t>PzC</t>
  </si>
  <si>
    <t>PYRITIES-KALURAH</t>
  </si>
  <si>
    <t>QwB</t>
  </si>
  <si>
    <t>QUETICO-ROCK-INSULA</t>
  </si>
  <si>
    <t>RAQUETTE</t>
  </si>
  <si>
    <t>REDWATER</t>
  </si>
  <si>
    <t>Rt</t>
  </si>
  <si>
    <t>Sg</t>
  </si>
  <si>
    <t>STOCKHOLM</t>
  </si>
  <si>
    <t>SUMMERVILLE</t>
  </si>
  <si>
    <t>SUMMERVILLE-GOUVERNEUR</t>
  </si>
  <si>
    <t>SlD</t>
  </si>
  <si>
    <t>SUMMERVILLE-ROCK OUTCR</t>
  </si>
  <si>
    <t>SUMMERVILLE-ROCK-NEHAS</t>
  </si>
  <si>
    <t>SUNAPEE-BERKSHIRE</t>
  </si>
  <si>
    <t>TdB</t>
  </si>
  <si>
    <t>TfB</t>
  </si>
  <si>
    <t>TROUT RIVER-FAHEY</t>
  </si>
  <si>
    <t>ARC</t>
  </si>
  <si>
    <t>BBE</t>
  </si>
  <si>
    <t>FLUVAQUENTS-OCHREPTS</t>
  </si>
  <si>
    <t>HHE</t>
  </si>
  <si>
    <t>HkD3</t>
  </si>
  <si>
    <t>HpD</t>
  </si>
  <si>
    <t>HOWARD-DUNKIRK</t>
  </si>
  <si>
    <t>HOWARD-MADRID</t>
  </si>
  <si>
    <t>HtD</t>
  </si>
  <si>
    <t>HtE</t>
  </si>
  <si>
    <t>KaD</t>
  </si>
  <si>
    <t>LC</t>
  </si>
  <si>
    <t>LRF</t>
  </si>
  <si>
    <t>MdD3</t>
  </si>
  <si>
    <t>MARDIN-OVID</t>
  </si>
  <si>
    <t>MSB</t>
  </si>
  <si>
    <t>OC</t>
  </si>
  <si>
    <t>OvC</t>
  </si>
  <si>
    <t>WoD</t>
  </si>
  <si>
    <t>BgA</t>
  </si>
  <si>
    <t>BRIDGEHAMPTON</t>
  </si>
  <si>
    <t>CARVER-PLYMOUTH</t>
  </si>
  <si>
    <t>Es</t>
  </si>
  <si>
    <t>ESCARPMENTS</t>
  </si>
  <si>
    <t>FILL LAND</t>
  </si>
  <si>
    <t>Fs</t>
  </si>
  <si>
    <t>HDA</t>
  </si>
  <si>
    <t>HDH</t>
  </si>
  <si>
    <t>HkH</t>
  </si>
  <si>
    <t>URBAN - MONTAUK</t>
  </si>
  <si>
    <t>URBAN-MONTAUK</t>
  </si>
  <si>
    <t>PmB3</t>
  </si>
  <si>
    <t>PmC3</t>
  </si>
  <si>
    <t>Rc</t>
  </si>
  <si>
    <t>RECHARGE BASIN</t>
  </si>
  <si>
    <t>RIVERHEAD-HAVEN</t>
  </si>
  <si>
    <t>RpE</t>
  </si>
  <si>
    <t>RIVERHEAD-PLYMOUTH</t>
  </si>
  <si>
    <t>Tm</t>
  </si>
  <si>
    <t>TIDAL MARSH</t>
  </si>
  <si>
    <t>URBAN-HOOKSAN</t>
  </si>
  <si>
    <t>UHV</t>
  </si>
  <si>
    <t>URBAN-HOOKSAN-VERRAZANO</t>
  </si>
  <si>
    <t>AoE</t>
  </si>
  <si>
    <t>ArF</t>
  </si>
  <si>
    <t>Bb</t>
  </si>
  <si>
    <t>BASH</t>
  </si>
  <si>
    <t>CARLISLE-PALMS-ALDEN</t>
  </si>
  <si>
    <t>CsF</t>
  </si>
  <si>
    <t>HAWKSNEST-MONGAUP</t>
  </si>
  <si>
    <t>HaE</t>
  </si>
  <si>
    <t>HeF</t>
  </si>
  <si>
    <t>HAWKSNEST-MONGAUP-ROCK</t>
  </si>
  <si>
    <t>LrC</t>
  </si>
  <si>
    <t>NEVERSINK</t>
  </si>
  <si>
    <t>Nf</t>
  </si>
  <si>
    <t>NEVERSINK-ALDEN</t>
  </si>
  <si>
    <t>Os</t>
  </si>
  <si>
    <t>OSSIPEE</t>
  </si>
  <si>
    <t>OtA</t>
  </si>
  <si>
    <t>Pe</t>
  </si>
  <si>
    <t>SCRIBA-MORRIS</t>
  </si>
  <si>
    <t>Sp</t>
  </si>
  <si>
    <t>SrD</t>
  </si>
  <si>
    <t>SWARTSWOOD-LACKAWANNA</t>
  </si>
  <si>
    <t>SwE</t>
  </si>
  <si>
    <t>SwF</t>
  </si>
  <si>
    <t>TORULL-ROCK OUTCROP</t>
  </si>
  <si>
    <t>TULLER-ROCK OUTCROP</t>
  </si>
  <si>
    <t>TUNKHANNOCK-OTISVILLE</t>
  </si>
  <si>
    <t>WELLSBORO-WURTSBORO</t>
  </si>
  <si>
    <t>WuA</t>
  </si>
  <si>
    <t>A</t>
  </si>
  <si>
    <t>Acl</t>
  </si>
  <si>
    <t>Bcm</t>
  </si>
  <si>
    <t>Bcs</t>
  </si>
  <si>
    <t>Cdh</t>
  </si>
  <si>
    <t>Cdr</t>
  </si>
  <si>
    <t>Cdu</t>
  </si>
  <si>
    <t>Cga</t>
  </si>
  <si>
    <t>Cgh</t>
  </si>
  <si>
    <t>Cgr</t>
  </si>
  <si>
    <t>Cgt</t>
  </si>
  <si>
    <t>Cln</t>
  </si>
  <si>
    <t>Csn</t>
  </si>
  <si>
    <t>FVg</t>
  </si>
  <si>
    <t>FREMONT-VOLUSIA</t>
  </si>
  <si>
    <t>Hgh</t>
  </si>
  <si>
    <t>Hgn</t>
  </si>
  <si>
    <t>Hgr</t>
  </si>
  <si>
    <t>Hgt</t>
  </si>
  <si>
    <t>Hl</t>
  </si>
  <si>
    <t>HOLLY</t>
  </si>
  <si>
    <t>Hnn</t>
  </si>
  <si>
    <t>Hsn</t>
  </si>
  <si>
    <t>Lcl</t>
  </si>
  <si>
    <t>Lcm</t>
  </si>
  <si>
    <t>Lcs</t>
  </si>
  <si>
    <t>Lft</t>
  </si>
  <si>
    <t>Lfv</t>
  </si>
  <si>
    <t>Mcd</t>
  </si>
  <si>
    <t>Mcm</t>
  </si>
  <si>
    <t>Mco</t>
  </si>
  <si>
    <t>Mcp</t>
  </si>
  <si>
    <t>Mcs</t>
  </si>
  <si>
    <t>Mcu</t>
  </si>
  <si>
    <t>Mcw</t>
  </si>
  <si>
    <t>Ml</t>
  </si>
  <si>
    <t>Mlb</t>
  </si>
  <si>
    <t>SsL</t>
  </si>
  <si>
    <t>Tgb</t>
  </si>
  <si>
    <t>Tsb</t>
  </si>
  <si>
    <t>Ufn</t>
  </si>
  <si>
    <t>Unn</t>
  </si>
  <si>
    <t>Uns</t>
  </si>
  <si>
    <t>Vcd</t>
  </si>
  <si>
    <t>Vcl</t>
  </si>
  <si>
    <t>Vcm</t>
  </si>
  <si>
    <t>BaE</t>
  </si>
  <si>
    <t>Vcp</t>
  </si>
  <si>
    <t>Vcs</t>
  </si>
  <si>
    <t>WOOSTERN</t>
  </si>
  <si>
    <t>Wt</t>
  </si>
  <si>
    <t>BaC3</t>
  </si>
  <si>
    <t>BgC3</t>
  </si>
  <si>
    <t>BgD</t>
  </si>
  <si>
    <t>BoE</t>
  </si>
  <si>
    <t>BtF</t>
  </si>
  <si>
    <t>BATH-VALOIS-LANSING</t>
  </si>
  <si>
    <t>CANANDAIGUA-LAMSON</t>
  </si>
  <si>
    <t>CdD</t>
  </si>
  <si>
    <t>CfB3</t>
  </si>
  <si>
    <t>DgB</t>
  </si>
  <si>
    <t>EbB3</t>
  </si>
  <si>
    <t>EbC</t>
  </si>
  <si>
    <t>EbC3</t>
  </si>
  <si>
    <t>EcA</t>
  </si>
  <si>
    <t>ERIE-CHIPPEWA</t>
  </si>
  <si>
    <t>FdB</t>
  </si>
  <si>
    <t>Fm</t>
  </si>
  <si>
    <t>HdCK</t>
  </si>
  <si>
    <t>HdD</t>
  </si>
  <si>
    <t>Hk</t>
  </si>
  <si>
    <t>HmC3</t>
  </si>
  <si>
    <t>HpF</t>
  </si>
  <si>
    <t>HOWARD-VALOIS</t>
  </si>
  <si>
    <t>HsC3</t>
  </si>
  <si>
    <t>HUDSON-CAYUGA</t>
  </si>
  <si>
    <t>HuB3</t>
  </si>
  <si>
    <t>HuC3</t>
  </si>
  <si>
    <t>HzE</t>
  </si>
  <si>
    <t>HUDSON-DUNKIRK</t>
  </si>
  <si>
    <t>IcA</t>
  </si>
  <si>
    <t>IcB</t>
  </si>
  <si>
    <t>LaB3</t>
  </si>
  <si>
    <t>LaC3</t>
  </si>
  <si>
    <t>LnE</t>
  </si>
  <si>
    <t>LORDSTOWN-TULLER-OVID</t>
  </si>
  <si>
    <t>MaC3</t>
  </si>
  <si>
    <t>MfD</t>
  </si>
  <si>
    <t>Mm</t>
  </si>
  <si>
    <t>MIDDLEBURY-TIOGA</t>
  </si>
  <si>
    <t>MUCK-PEAT</t>
  </si>
  <si>
    <t>OcC3</t>
  </si>
  <si>
    <t>OVID-RHINEBECK</t>
  </si>
  <si>
    <t>PaCK</t>
  </si>
  <si>
    <t>RnC3</t>
  </si>
  <si>
    <t>VbB3</t>
  </si>
  <si>
    <t>VbC3</t>
  </si>
  <si>
    <t>VOLUSIA-CHIPPEWA</t>
  </si>
  <si>
    <t>VrD</t>
  </si>
  <si>
    <t>VOLUSIA-ERIE</t>
  </si>
  <si>
    <t>Ws</t>
  </si>
  <si>
    <t>WAYLAND-SLOAN</t>
  </si>
  <si>
    <t>AA</t>
  </si>
  <si>
    <t>AcB</t>
  </si>
  <si>
    <t>ARD</t>
  </si>
  <si>
    <t>ARNOT-LORDSTOWN-ROCK</t>
  </si>
  <si>
    <t>ARF</t>
  </si>
  <si>
    <t>ARNOT-OQUAGA-ROCK</t>
  </si>
  <si>
    <t>BOD</t>
  </si>
  <si>
    <t>BATH-NASSAU-ROCK</t>
  </si>
  <si>
    <t>BRC</t>
  </si>
  <si>
    <t>CAMBRIDGE</t>
  </si>
  <si>
    <t>FAE</t>
  </si>
  <si>
    <t>FW</t>
  </si>
  <si>
    <t>HSF</t>
  </si>
  <si>
    <t>HvC3</t>
  </si>
  <si>
    <t>HUDSON-SCHOHARIE</t>
  </si>
  <si>
    <t>HXE</t>
  </si>
  <si>
    <t>LCD</t>
  </si>
  <si>
    <t>LACKAWANNA-SWARTSWOOD</t>
  </si>
  <si>
    <t>LCF</t>
  </si>
  <si>
    <t>LEE</t>
  </si>
  <si>
    <t>LOC</t>
  </si>
  <si>
    <t>LORDSTOWN-ARNOT-ROCK</t>
  </si>
  <si>
    <t>LYONS-ATHERTON</t>
  </si>
  <si>
    <t>MARDIN-NASSAU</t>
  </si>
  <si>
    <t>MENLO</t>
  </si>
  <si>
    <t>MO</t>
  </si>
  <si>
    <t>MTB</t>
  </si>
  <si>
    <t>NBF</t>
  </si>
  <si>
    <t>NASSAU-BATH-ROCK</t>
  </si>
  <si>
    <t>NMC</t>
  </si>
  <si>
    <t>NNF</t>
  </si>
  <si>
    <t>NOD</t>
  </si>
  <si>
    <t>ORC</t>
  </si>
  <si>
    <t>OQUAGA-ARNOT-ROCK</t>
  </si>
  <si>
    <t>ORD</t>
  </si>
  <si>
    <t>PALMS-BEDROCK</t>
  </si>
  <si>
    <t>PLAINFIELD-RIVERHEAD</t>
  </si>
  <si>
    <t>PLAINFIELD-ROCK</t>
  </si>
  <si>
    <t>RvA</t>
  </si>
  <si>
    <t>RvB</t>
  </si>
  <si>
    <t>RvC</t>
  </si>
  <si>
    <t>RXC</t>
  </si>
  <si>
    <t>RXE</t>
  </si>
  <si>
    <t>RXF</t>
  </si>
  <si>
    <t>SEB</t>
  </si>
  <si>
    <t>SGB</t>
  </si>
  <si>
    <t>STD</t>
  </si>
  <si>
    <t>STOCKBRIDGE-FARM-ROCK</t>
  </si>
  <si>
    <t>VAB</t>
  </si>
  <si>
    <t>VAD</t>
  </si>
  <si>
    <t>VSB</t>
  </si>
  <si>
    <t>WLB</t>
  </si>
  <si>
    <t>WOB</t>
  </si>
  <si>
    <t>BcD</t>
  </si>
  <si>
    <t>BdC</t>
  </si>
  <si>
    <t>BdE</t>
  </si>
  <si>
    <t>CATHRO-GREENWOOD</t>
  </si>
  <si>
    <t>HeE</t>
  </si>
  <si>
    <t>HERMON-LYMAN-ROCK</t>
  </si>
  <si>
    <t>HmE</t>
  </si>
  <si>
    <t>HINCKLEY-PLAINFIELD</t>
  </si>
  <si>
    <t>LyA</t>
  </si>
  <si>
    <t>MARLOW</t>
  </si>
  <si>
    <t>MrE</t>
  </si>
  <si>
    <t>PERU</t>
  </si>
  <si>
    <t>PoE</t>
  </si>
  <si>
    <t>PLAINFIELD-OAKVILLE</t>
  </si>
  <si>
    <t>SAPRISTS-AQUEPTS</t>
  </si>
  <si>
    <t>STOWE</t>
  </si>
  <si>
    <t>WgB</t>
  </si>
  <si>
    <t>WOODSTOCK-ROCK OUTCROP</t>
  </si>
  <si>
    <t>WoE</t>
  </si>
  <si>
    <t>BSCK</t>
  </si>
  <si>
    <t>BTC</t>
  </si>
  <si>
    <t>BUF</t>
  </si>
  <si>
    <t>FCC</t>
  </si>
  <si>
    <t>FCF</t>
  </si>
  <si>
    <t>HLE</t>
  </si>
  <si>
    <t>HOLLIS-CHARLTON</t>
  </si>
  <si>
    <t>HNC</t>
  </si>
  <si>
    <t>HSDK</t>
  </si>
  <si>
    <t>HOOSIC-OTISVILLE</t>
  </si>
  <si>
    <t>HWE</t>
  </si>
  <si>
    <t>NAC</t>
  </si>
  <si>
    <t>NBC</t>
  </si>
  <si>
    <t>OKE</t>
  </si>
  <si>
    <t>OP</t>
  </si>
  <si>
    <t>ORTHENTS-PSAMMENTS</t>
  </si>
  <si>
    <t>OVDK</t>
  </si>
  <si>
    <t>PVC</t>
  </si>
  <si>
    <t>PITTSFIELD-AMENIA</t>
  </si>
  <si>
    <t>RPC</t>
  </si>
  <si>
    <t>ROCK OUTCROP-VERGENNES</t>
  </si>
  <si>
    <t>RPF</t>
  </si>
  <si>
    <t>SB</t>
  </si>
  <si>
    <t>SDC</t>
  </si>
  <si>
    <t>SV</t>
  </si>
  <si>
    <t>AD</t>
  </si>
  <si>
    <t>AgD</t>
  </si>
  <si>
    <t>CHIPPENY</t>
  </si>
  <si>
    <t>CTE</t>
  </si>
  <si>
    <t>COLONIE-DUNKIRK</t>
  </si>
  <si>
    <t>DkC3</t>
  </si>
  <si>
    <t>LAIRDSVILLE-RIGA</t>
  </si>
  <si>
    <t>LdC3</t>
  </si>
  <si>
    <t>Ls</t>
  </si>
  <si>
    <t>OSE</t>
  </si>
  <si>
    <t>PLE</t>
  </si>
  <si>
    <t>PALMYRA-ALTON</t>
  </si>
  <si>
    <t>SSE</t>
  </si>
  <si>
    <t>UhD</t>
  </si>
  <si>
    <t>UmC</t>
  </si>
  <si>
    <t>URBAN LAND-CHATFIELD-R</t>
  </si>
  <si>
    <t>ANGOLA-AURORA</t>
  </si>
  <si>
    <t>CeD3</t>
  </si>
  <si>
    <t>CeE3</t>
  </si>
  <si>
    <t>DlD3</t>
  </si>
  <si>
    <t>DlE3</t>
  </si>
  <si>
    <t>DnA</t>
  </si>
  <si>
    <t>DnB</t>
  </si>
  <si>
    <t>DnC</t>
  </si>
  <si>
    <t>EsC</t>
  </si>
  <si>
    <t>FsC</t>
  </si>
  <si>
    <t>FtD</t>
  </si>
  <si>
    <t>FREMONT-HORNELL</t>
  </si>
  <si>
    <t>FtE</t>
  </si>
  <si>
    <t>Hg</t>
  </si>
  <si>
    <t>Hh</t>
  </si>
  <si>
    <t>HmD</t>
  </si>
  <si>
    <t>HOWARD-CHENANGO</t>
  </si>
  <si>
    <t>LgE</t>
  </si>
  <si>
    <t>MANLIUS-LORDSTOWN</t>
  </si>
  <si>
    <t>ROCKMILL</t>
  </si>
  <si>
    <t>LORDSTOWN-MANLIUS-TOWE</t>
  </si>
  <si>
    <t>240A</t>
  </si>
  <si>
    <t>301A</t>
  </si>
  <si>
    <t>356C</t>
  </si>
  <si>
    <t>ALLENDALE</t>
  </si>
  <si>
    <t>Allis</t>
  </si>
  <si>
    <t>Ag</t>
  </si>
  <si>
    <t>Ah</t>
  </si>
  <si>
    <t>Ar</t>
  </si>
  <si>
    <t>Av</t>
  </si>
  <si>
    <t>Aw</t>
  </si>
  <si>
    <t>Ax</t>
  </si>
  <si>
    <t>BERRIEN</t>
  </si>
  <si>
    <t>BONO</t>
  </si>
  <si>
    <t>Bf</t>
  </si>
  <si>
    <t>CA</t>
  </si>
  <si>
    <t>CB</t>
  </si>
  <si>
    <t>CD</t>
  </si>
  <si>
    <t>CARLISLE-SHALLOW</t>
  </si>
  <si>
    <t>Cl</t>
  </si>
  <si>
    <t>CHAGRIN</t>
  </si>
  <si>
    <t>Ct</t>
  </si>
  <si>
    <t>CHENANGO-TIOGA</t>
  </si>
  <si>
    <t>Cx</t>
  </si>
  <si>
    <t>Cz</t>
  </si>
  <si>
    <t>Db</t>
  </si>
  <si>
    <t>Dc</t>
  </si>
  <si>
    <t>Dg</t>
  </si>
  <si>
    <t>Dh</t>
  </si>
  <si>
    <t>Dk</t>
  </si>
  <si>
    <t>Dl</t>
  </si>
  <si>
    <t>Dm</t>
  </si>
  <si>
    <t>Ea</t>
  </si>
  <si>
    <t>Eb</t>
  </si>
  <si>
    <t>Ec</t>
  </si>
  <si>
    <t>Ef</t>
  </si>
  <si>
    <t>Fb</t>
  </si>
  <si>
    <t>Fc</t>
  </si>
  <si>
    <t>Ga</t>
  </si>
  <si>
    <t>Gb</t>
  </si>
  <si>
    <t>Gc</t>
  </si>
  <si>
    <t>Gd</t>
  </si>
  <si>
    <t>Hd</t>
  </si>
  <si>
    <t>Hp</t>
  </si>
  <si>
    <t>Hr</t>
  </si>
  <si>
    <t>Hs</t>
  </si>
  <si>
    <t>Ht</t>
  </si>
  <si>
    <t>Hu</t>
  </si>
  <si>
    <t>Hv</t>
  </si>
  <si>
    <t>Hw</t>
  </si>
  <si>
    <t>Ja</t>
  </si>
  <si>
    <t>Je</t>
  </si>
  <si>
    <t>Ka</t>
  </si>
  <si>
    <t>Kc</t>
  </si>
  <si>
    <t>LANSING-DANLEY</t>
  </si>
  <si>
    <t>Lh</t>
  </si>
  <si>
    <t>Ll</t>
  </si>
  <si>
    <t>Lr</t>
  </si>
  <si>
    <t>Lu</t>
  </si>
  <si>
    <t>LORDSTOWN-MANLIUS</t>
  </si>
  <si>
    <t>Lw</t>
  </si>
  <si>
    <t>Lx</t>
  </si>
  <si>
    <t>LORDSTOWN-MANLIUS-TOWERVILLE</t>
  </si>
  <si>
    <t>Nb</t>
  </si>
  <si>
    <t>Nd</t>
  </si>
  <si>
    <t>Ob</t>
  </si>
  <si>
    <t>Of</t>
  </si>
  <si>
    <t>Og</t>
  </si>
  <si>
    <t>Oh</t>
  </si>
  <si>
    <t>ONTARIO-LANSING-HONEOY</t>
  </si>
  <si>
    <t>Ok</t>
  </si>
  <si>
    <t>Ol</t>
  </si>
  <si>
    <t>Or</t>
  </si>
  <si>
    <t>Ou</t>
  </si>
  <si>
    <t>Pl</t>
  </si>
  <si>
    <t>Sf</t>
  </si>
  <si>
    <t>Sl</t>
  </si>
  <si>
    <t>STEEP BROKEN LAND</t>
  </si>
  <si>
    <t>Vb</t>
  </si>
  <si>
    <t>Vd</t>
  </si>
  <si>
    <t>Ve</t>
  </si>
  <si>
    <t>Vf</t>
  </si>
  <si>
    <t>Vg</t>
  </si>
  <si>
    <t>Vk</t>
  </si>
  <si>
    <t>Vn</t>
  </si>
  <si>
    <t>WESTLAND</t>
  </si>
  <si>
    <t>WOOSTERN-BATH-VALOIS</t>
  </si>
  <si>
    <t>MUKEY</t>
  </si>
  <si>
    <t>6B</t>
  </si>
  <si>
    <t>5B</t>
  </si>
  <si>
    <t>2B</t>
  </si>
  <si>
    <t>3B</t>
  </si>
  <si>
    <t>4B</t>
  </si>
  <si>
    <t>1B</t>
  </si>
  <si>
    <t>10B</t>
  </si>
  <si>
    <t>291613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</si>
</sst>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2">
    <font>
      <sz val="10"/>
      <name val="Arial"/>
      <family val="2"/>
    </font>
    <font>
      <sz val="10"/>
      <name val="Times New Roman"/>
      <family val="1"/>
    </font>
    <font>
      <sz val="10"/>
      <color indexed="12"/>
      <name val="Times New Roman"/>
      <family val="1"/>
    </font>
    <font>
      <sz val="12"/>
      <name val="Times New Roman"/>
      <family val="1"/>
    </font>
    <font>
      <sz val="10"/>
      <color indexed="12"/>
      <name val="Rockwell Extra Bold"/>
      <family val="1"/>
    </font>
    <font>
      <sz val="10"/>
      <color indexed="12"/>
      <name val="Script"/>
      <family val="4"/>
    </font>
    <font>
      <i/>
      <sz val="16"/>
      <name val="Mistral"/>
      <family val="4"/>
    </font>
    <font>
      <sz val="10"/>
      <color indexed="48"/>
      <name val="Arial"/>
      <family val="2"/>
    </font>
    <font>
      <sz val="10"/>
      <color indexed="48"/>
      <name val="Times New Roman"/>
      <family val="1"/>
    </font>
    <font>
      <sz val="10"/>
      <color theme="0"/>
      <name val="Arial"/>
      <family val="2"/>
    </font>
    <font>
      <b/>
      <sz val="10"/>
      <name val="Arial"/>
      <family val="2"/>
    </font>
    <font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14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/>
    <xf numFmtId="2" fontId="1" fillId="0" borderId="15" xfId="0" applyNumberFormat="1" applyFont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2" fontId="2" fillId="0" borderId="2" xfId="0" applyNumberFormat="1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vertical="top"/>
    </xf>
    <xf numFmtId="0" fontId="2" fillId="0" borderId="1" xfId="0" applyFont="1" applyBorder="1"/>
    <xf numFmtId="0" fontId="1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14" xfId="0" applyFont="1" applyBorder="1" applyAlignment="1">
      <alignment horizontal="center"/>
    </xf>
    <xf numFmtId="2" fontId="8" fillId="0" borderId="14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2" fontId="0" fillId="0" borderId="0" xfId="0" applyNumberFormat="1"/>
    <xf numFmtId="0" fontId="9" fillId="0" borderId="0" xfId="0" applyFont="1"/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49" fontId="2" fillId="0" borderId="14" xfId="0" applyNumberFormat="1" applyFont="1" applyBorder="1" applyAlignment="1">
      <alignment horizontal="center"/>
    </xf>
    <xf numFmtId="49" fontId="8" fillId="0" borderId="14" xfId="0" applyNumberFormat="1" applyFont="1" applyBorder="1" applyAlignment="1">
      <alignment horizontal="center"/>
    </xf>
    <xf numFmtId="49" fontId="0" fillId="0" borderId="0" xfId="0" applyNumberFormat="1"/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1" fillId="0" borderId="14" xfId="0" applyFont="1" applyBorder="1" applyAlignment="1">
      <alignment horizontal="center" shrinkToFit="1"/>
    </xf>
    <xf numFmtId="0" fontId="1" fillId="0" borderId="14" xfId="0" applyFont="1" applyBorder="1" applyAlignment="1">
      <alignment horizontal="left"/>
    </xf>
    <xf numFmtId="0" fontId="1" fillId="0" borderId="11" xfId="0" applyFont="1" applyBorder="1" applyAlignment="1">
      <alignment horizontal="right"/>
    </xf>
    <xf numFmtId="0" fontId="2" fillId="0" borderId="13" xfId="0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/>
    </xf>
    <xf numFmtId="22" fontId="2" fillId="0" borderId="9" xfId="0" applyNumberFormat="1" applyFont="1" applyBorder="1" applyAlignment="1">
      <alignment horizontal="center"/>
    </xf>
    <xf numFmtId="0" fontId="6" fillId="0" borderId="12" xfId="0" applyFont="1" applyBorder="1" applyAlignment="1">
      <alignment horizontal="left"/>
    </xf>
    <xf numFmtId="0" fontId="5" fillId="0" borderId="14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63</xdr:row>
      <xdr:rowOff>28575</xdr:rowOff>
    </xdr:from>
    <xdr:to>
      <xdr:col>10</xdr:col>
      <xdr:colOff>647700</xdr:colOff>
      <xdr:row>133</xdr:row>
      <xdr:rowOff>104775</xdr:rowOff>
    </xdr:to>
    <xdr:pic>
      <xdr:nvPicPr>
        <xdr:cNvPr id="1105" name="Picture 2">
          <a:extLst>
            <a:ext uri="{FF2B5EF4-FFF2-40B4-BE49-F238E27FC236}">
              <a16:creationId xmlns:a16="http://schemas.microsoft.com/office/drawing/2014/main" id="{0F218897-5EA4-4D2B-8C3F-2B8623B96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39650"/>
          <a:ext cx="6915150" cy="11410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0"/>
  <sheetViews>
    <sheetView tabSelected="1" topLeftCell="A11" zoomScaleNormal="100" zoomScaleSheetLayoutView="100" workbookViewId="0">
      <selection activeCell="H34" sqref="H34"/>
    </sheetView>
  </sheetViews>
  <sheetFormatPr defaultRowHeight="12.75"/>
  <cols>
    <col min="1" max="1" width="10.42578125" customWidth="1"/>
    <col min="2" max="2" width="2.85546875" customWidth="1"/>
    <col min="3" max="3" width="16.42578125" customWidth="1"/>
    <col min="11" max="11" width="11.570312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s="2" customFormat="1">
      <c r="A3" s="1"/>
      <c r="B3" s="1"/>
      <c r="C3" s="1"/>
      <c r="D3" s="1"/>
      <c r="E3" s="76" t="s">
        <v>1</v>
      </c>
      <c r="F3" s="76"/>
      <c r="G3" s="76"/>
      <c r="H3" s="1"/>
      <c r="I3" s="1"/>
      <c r="J3" s="1"/>
      <c r="K3" s="1"/>
    </row>
    <row r="4" spans="1:11" s="2" customFormat="1">
      <c r="A4" s="1"/>
      <c r="B4" s="1"/>
      <c r="C4" s="1"/>
      <c r="D4" s="76" t="s">
        <v>2</v>
      </c>
      <c r="E4" s="76"/>
      <c r="F4" s="76"/>
      <c r="G4" s="76"/>
      <c r="H4" s="76"/>
      <c r="I4" s="1"/>
      <c r="J4" s="73" t="s">
        <v>3</v>
      </c>
      <c r="K4" s="73"/>
    </row>
    <row r="5" spans="1:11" s="2" customFormat="1">
      <c r="A5" s="1"/>
      <c r="B5" s="1"/>
      <c r="C5" s="76" t="s">
        <v>4</v>
      </c>
      <c r="D5" s="76"/>
      <c r="E5" s="76"/>
      <c r="F5" s="76"/>
      <c r="G5" s="76"/>
      <c r="H5" s="76"/>
      <c r="I5" s="76"/>
      <c r="J5" s="77" t="s">
        <v>5</v>
      </c>
      <c r="K5" s="77"/>
    </row>
    <row r="6" spans="1:11" s="2" customFormat="1">
      <c r="A6" s="1"/>
      <c r="B6" s="1"/>
      <c r="C6" s="1"/>
      <c r="D6" s="1"/>
      <c r="E6" s="76" t="s">
        <v>6</v>
      </c>
      <c r="F6" s="76"/>
      <c r="G6" s="76"/>
      <c r="H6" s="1"/>
      <c r="I6" s="1"/>
      <c r="J6" s="5" t="s">
        <v>7</v>
      </c>
      <c r="K6" s="6" t="s">
        <v>8</v>
      </c>
    </row>
    <row r="7" spans="1:11" s="2" customFormat="1">
      <c r="A7" s="1"/>
      <c r="B7" s="1"/>
      <c r="C7" s="1"/>
      <c r="D7" s="1"/>
      <c r="E7" s="76" t="s">
        <v>9</v>
      </c>
      <c r="F7" s="76"/>
      <c r="G7" s="76"/>
      <c r="H7" s="1"/>
      <c r="I7" s="1"/>
      <c r="J7" s="78" t="s">
        <v>10</v>
      </c>
      <c r="K7" s="78"/>
    </row>
    <row r="8" spans="1:11" s="2" customFormat="1">
      <c r="A8" s="7"/>
      <c r="B8" s="7"/>
      <c r="C8" s="7"/>
      <c r="D8" s="7"/>
      <c r="E8" s="7"/>
      <c r="F8" s="7"/>
      <c r="G8" s="7"/>
      <c r="H8" s="7"/>
      <c r="I8" s="7"/>
      <c r="J8" s="79" t="s">
        <v>11</v>
      </c>
      <c r="K8" s="79"/>
    </row>
    <row r="9" spans="1:11" s="2" customFormat="1" ht="15.75">
      <c r="A9" s="8"/>
      <c r="B9" s="8"/>
      <c r="C9" s="8"/>
      <c r="D9" s="80" t="s">
        <v>12</v>
      </c>
      <c r="E9" s="80"/>
      <c r="F9" s="80"/>
      <c r="G9" s="80"/>
      <c r="H9" s="80"/>
      <c r="I9" s="8"/>
      <c r="J9" s="8"/>
      <c r="K9" s="8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9" t="s">
        <v>13</v>
      </c>
      <c r="B11" s="10"/>
      <c r="C11" s="10"/>
      <c r="D11" s="10"/>
      <c r="E11" s="10"/>
      <c r="F11" s="10"/>
      <c r="G11" s="10"/>
      <c r="H11" s="10"/>
      <c r="I11" s="10"/>
      <c r="J11" s="10"/>
      <c r="K11" s="11"/>
    </row>
    <row r="12" spans="1:11">
      <c r="A12" s="12" t="s">
        <v>14</v>
      </c>
      <c r="B12" s="64" t="s">
        <v>15</v>
      </c>
      <c r="C12" s="65"/>
      <c r="D12" s="65"/>
      <c r="E12" s="66"/>
      <c r="F12" s="64" t="s">
        <v>16</v>
      </c>
      <c r="G12" s="65"/>
      <c r="H12" s="65"/>
      <c r="I12" s="65"/>
      <c r="J12" s="66"/>
      <c r="K12" s="12" t="s">
        <v>17</v>
      </c>
    </row>
    <row r="13" spans="1:11">
      <c r="A13" s="16" t="s">
        <v>18</v>
      </c>
      <c r="B13" s="63"/>
      <c r="C13" s="63"/>
      <c r="D13" s="63"/>
      <c r="E13" s="63"/>
      <c r="F13" s="63"/>
      <c r="G13" s="63"/>
      <c r="H13" s="63"/>
      <c r="I13" s="63"/>
      <c r="J13" s="63"/>
      <c r="K13" s="17"/>
    </row>
    <row r="14" spans="1:11">
      <c r="A14" s="12" t="s">
        <v>19</v>
      </c>
      <c r="B14" s="73" t="s">
        <v>20</v>
      </c>
      <c r="C14" s="73"/>
      <c r="D14" s="73"/>
      <c r="E14" s="73"/>
      <c r="F14" s="73" t="s">
        <v>21</v>
      </c>
      <c r="G14" s="73"/>
      <c r="H14" s="73"/>
      <c r="I14" s="73"/>
      <c r="J14" s="3" t="s">
        <v>22</v>
      </c>
      <c r="K14" s="3" t="s">
        <v>23</v>
      </c>
    </row>
    <row r="15" spans="1:11">
      <c r="A15" s="16" t="s">
        <v>24</v>
      </c>
      <c r="B15" s="63"/>
      <c r="C15" s="63"/>
      <c r="D15" s="63"/>
      <c r="E15" s="63"/>
      <c r="F15" s="63"/>
      <c r="G15" s="63"/>
      <c r="H15" s="63"/>
      <c r="I15" s="63"/>
      <c r="J15" s="17"/>
      <c r="K15" s="17"/>
    </row>
    <row r="16" spans="1:11">
      <c r="A16" s="67" t="s">
        <v>25</v>
      </c>
      <c r="B16" s="68"/>
      <c r="C16" s="69"/>
      <c r="D16" s="64" t="s">
        <v>20</v>
      </c>
      <c r="E16" s="64"/>
      <c r="F16" s="64"/>
      <c r="G16" s="64"/>
      <c r="H16" s="64"/>
      <c r="I16" s="64"/>
      <c r="J16" s="14"/>
      <c r="K16" s="15"/>
    </row>
    <row r="17" spans="1:21">
      <c r="A17" s="70"/>
      <c r="B17" s="71"/>
      <c r="C17" s="72"/>
      <c r="D17" s="63"/>
      <c r="E17" s="63"/>
      <c r="F17" s="63"/>
      <c r="G17" s="63"/>
      <c r="H17" s="63"/>
      <c r="I17" s="63"/>
      <c r="J17" s="63"/>
      <c r="K17" s="63"/>
    </row>
    <row r="18" spans="1:21">
      <c r="A18" s="73" t="s">
        <v>26</v>
      </c>
      <c r="B18" s="73"/>
      <c r="C18" s="73"/>
      <c r="D18" s="73" t="s">
        <v>27</v>
      </c>
      <c r="E18" s="73"/>
      <c r="F18" s="73"/>
      <c r="G18" s="73"/>
      <c r="H18" s="73"/>
      <c r="I18" s="73"/>
      <c r="J18" s="73" t="s">
        <v>28</v>
      </c>
      <c r="K18" s="73"/>
    </row>
    <row r="19" spans="1:21">
      <c r="A19" s="63" t="s">
        <v>297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</row>
    <row r="20" spans="1:21" ht="12.75" customHeight="1">
      <c r="A20" s="74" t="s">
        <v>29</v>
      </c>
      <c r="B20" s="45" t="s">
        <v>298</v>
      </c>
      <c r="C20" s="46" t="s">
        <v>299</v>
      </c>
      <c r="D20" s="75" t="s">
        <v>30</v>
      </c>
      <c r="E20" s="75"/>
      <c r="F20" s="75"/>
      <c r="G20" s="81" t="s">
        <v>31</v>
      </c>
      <c r="H20" s="81"/>
      <c r="I20" s="81"/>
      <c r="J20" s="81"/>
      <c r="K20" s="20" t="s">
        <v>32</v>
      </c>
    </row>
    <row r="21" spans="1:21" ht="12.75" customHeight="1">
      <c r="A21" s="74"/>
      <c r="B21" s="21"/>
      <c r="C21" s="22"/>
      <c r="D21" s="22"/>
      <c r="E21" s="19"/>
      <c r="F21" s="23"/>
      <c r="G21" s="1"/>
      <c r="H21" s="1"/>
      <c r="I21" s="1"/>
      <c r="J21" s="1"/>
      <c r="K21" s="24"/>
      <c r="L21" s="44"/>
    </row>
    <row r="22" spans="1:21">
      <c r="A22" s="82" t="s">
        <v>33</v>
      </c>
      <c r="B22" s="82"/>
      <c r="C22" s="82"/>
      <c r="D22" s="82"/>
      <c r="E22" s="82"/>
      <c r="F22" s="82"/>
      <c r="G22" s="18" t="s">
        <v>34</v>
      </c>
      <c r="H22" s="19"/>
      <c r="I22" s="19"/>
      <c r="J22" s="23"/>
      <c r="K22" s="25">
        <f>K59</f>
        <v>0</v>
      </c>
      <c r="L22" s="44"/>
    </row>
    <row r="23" spans="1:21">
      <c r="A23" s="26"/>
      <c r="B23" s="27"/>
      <c r="C23" s="27"/>
      <c r="D23" s="27"/>
      <c r="E23" s="27"/>
      <c r="F23" s="28"/>
      <c r="G23" s="1"/>
      <c r="H23" s="1"/>
      <c r="I23" s="1"/>
      <c r="J23" s="1"/>
      <c r="K23" s="24"/>
      <c r="L23" s="44"/>
    </row>
    <row r="24" spans="1:21">
      <c r="A24" s="83" t="s">
        <v>35</v>
      </c>
      <c r="B24" s="83"/>
      <c r="C24" s="83"/>
      <c r="D24" s="84"/>
      <c r="E24" s="84"/>
      <c r="F24" s="84"/>
      <c r="G24" s="18" t="s">
        <v>36</v>
      </c>
      <c r="H24" s="19"/>
      <c r="I24" s="19"/>
      <c r="J24" s="23"/>
      <c r="K24" s="29">
        <f>IF(L24&gt;50,50,L24)</f>
        <v>0</v>
      </c>
      <c r="L24" s="44"/>
    </row>
    <row r="25" spans="1:21">
      <c r="A25" s="13"/>
      <c r="B25" s="14"/>
      <c r="C25" s="14"/>
      <c r="D25" s="30" t="s">
        <v>37</v>
      </c>
      <c r="E25" s="31" t="s">
        <v>38</v>
      </c>
      <c r="F25" s="15" t="s">
        <v>39</v>
      </c>
      <c r="G25" s="1"/>
      <c r="H25" s="1"/>
      <c r="I25" s="1"/>
      <c r="J25" s="1"/>
      <c r="K25" s="24"/>
      <c r="L25" s="44"/>
    </row>
    <row r="26" spans="1:21">
      <c r="A26" s="83" t="s">
        <v>40</v>
      </c>
      <c r="B26" s="83"/>
      <c r="C26" s="83"/>
      <c r="D26" s="84"/>
      <c r="E26" s="84"/>
      <c r="F26" s="84"/>
      <c r="G26" s="18" t="s">
        <v>41</v>
      </c>
      <c r="H26" s="19"/>
      <c r="I26" s="19"/>
      <c r="J26" s="23"/>
      <c r="K26" s="29">
        <f>IF(L24&gt;50,L24-50,0)</f>
        <v>0</v>
      </c>
      <c r="L26" s="44"/>
    </row>
    <row r="27" spans="1:21">
      <c r="A27" s="13"/>
      <c r="B27" s="14"/>
      <c r="C27" s="14"/>
      <c r="D27" s="14"/>
      <c r="E27" s="14"/>
      <c r="F27" s="15"/>
      <c r="G27" s="1"/>
      <c r="H27" s="1"/>
      <c r="I27" s="1"/>
      <c r="J27" s="1"/>
      <c r="K27" s="24"/>
      <c r="L27" s="44"/>
    </row>
    <row r="28" spans="1:21">
      <c r="A28" s="83" t="s">
        <v>42</v>
      </c>
      <c r="B28" s="83"/>
      <c r="C28" s="83"/>
      <c r="D28" s="84"/>
      <c r="E28" s="84"/>
      <c r="F28" s="84"/>
      <c r="G28" s="18" t="s">
        <v>43</v>
      </c>
      <c r="H28" s="19"/>
      <c r="I28" s="19"/>
      <c r="J28" s="23"/>
      <c r="K28" s="29"/>
      <c r="L28" s="44"/>
    </row>
    <row r="29" spans="1:21">
      <c r="A29" s="13"/>
      <c r="B29" s="14"/>
      <c r="C29" s="14"/>
      <c r="D29" s="14"/>
      <c r="E29" s="14"/>
      <c r="F29" s="15"/>
      <c r="G29" s="1"/>
      <c r="H29" s="1"/>
      <c r="I29" s="1"/>
      <c r="J29" s="1"/>
      <c r="K29" s="24"/>
      <c r="L29" s="44"/>
      <c r="N29" s="88" t="s">
        <v>302</v>
      </c>
      <c r="O29" s="88"/>
      <c r="P29" s="88"/>
      <c r="Q29" s="88"/>
      <c r="R29" s="88"/>
      <c r="S29" s="88"/>
      <c r="T29" s="88"/>
      <c r="U29" s="88"/>
    </row>
    <row r="30" spans="1:21">
      <c r="A30" s="83" t="s">
        <v>44</v>
      </c>
      <c r="B30" s="83"/>
      <c r="C30" s="83"/>
      <c r="D30" s="85">
        <f>K30</f>
        <v>0</v>
      </c>
      <c r="E30" s="85"/>
      <c r="F30" s="85"/>
      <c r="G30" s="18" t="s">
        <v>45</v>
      </c>
      <c r="H30" s="19"/>
      <c r="I30" s="19"/>
      <c r="J30" s="23"/>
      <c r="K30" s="29">
        <f>SUM(K22:K28)</f>
        <v>0</v>
      </c>
      <c r="L30" s="44"/>
    </row>
    <row r="31" spans="1:21">
      <c r="A31" s="86" t="s">
        <v>46</v>
      </c>
      <c r="B31" s="86"/>
      <c r="C31" s="86"/>
      <c r="D31" s="86"/>
      <c r="E31" s="86"/>
      <c r="F31" s="86"/>
      <c r="G31" s="10"/>
      <c r="H31" s="11"/>
      <c r="I31" s="87" t="s">
        <v>47</v>
      </c>
      <c r="J31" s="87"/>
      <c r="K31" s="87"/>
      <c r="N31" s="3" t="s">
        <v>48</v>
      </c>
      <c r="O31" s="13"/>
      <c r="P31" s="14"/>
      <c r="Q31" s="15"/>
      <c r="R31" s="3" t="s">
        <v>49</v>
      </c>
      <c r="S31" s="52"/>
      <c r="T31" s="53"/>
      <c r="U31" s="3" t="s">
        <v>50</v>
      </c>
    </row>
    <row r="32" spans="1:21">
      <c r="A32" s="3" t="s">
        <v>48</v>
      </c>
      <c r="B32" s="13"/>
      <c r="C32" s="14"/>
      <c r="D32" s="15"/>
      <c r="E32" s="3" t="s">
        <v>49</v>
      </c>
      <c r="F32" s="54"/>
      <c r="G32" s="55"/>
      <c r="H32" s="3" t="s">
        <v>50</v>
      </c>
      <c r="I32" s="73" t="s">
        <v>51</v>
      </c>
      <c r="J32" s="73"/>
      <c r="K32" s="73"/>
      <c r="N32" s="4" t="s">
        <v>55</v>
      </c>
      <c r="O32" s="77" t="s">
        <v>56</v>
      </c>
      <c r="P32" s="77"/>
      <c r="Q32" s="77"/>
      <c r="R32" s="4" t="s">
        <v>57</v>
      </c>
      <c r="S32" s="70" t="s">
        <v>4242</v>
      </c>
      <c r="T32" s="72"/>
      <c r="U32" s="4" t="s">
        <v>32</v>
      </c>
    </row>
    <row r="33" spans="1:21">
      <c r="A33" s="4" t="s">
        <v>55</v>
      </c>
      <c r="B33" s="77" t="s">
        <v>56</v>
      </c>
      <c r="C33" s="77"/>
      <c r="D33" s="77"/>
      <c r="E33" s="4" t="s">
        <v>57</v>
      </c>
      <c r="F33" s="89" t="s">
        <v>4242</v>
      </c>
      <c r="G33" s="90"/>
      <c r="H33" s="4" t="s">
        <v>32</v>
      </c>
      <c r="I33" s="77" t="s">
        <v>58</v>
      </c>
      <c r="J33" s="77"/>
      <c r="K33" s="77"/>
      <c r="N33" s="33"/>
      <c r="O33" s="62" t="str">
        <f>IFERROR(IFERROR(VLOOKUP(S33,soils2!$A$2:$D$8514,3,FALSE),VLOOKUP(N33,soils2!$B$2:$D$8514,2,FALSE)),"")</f>
        <v/>
      </c>
      <c r="P33" s="62"/>
      <c r="Q33" s="62"/>
      <c r="R33" s="34" t="str">
        <f>IFERROR(VLOOKUP(N33,soils2!$B$2:$D$8514,3),"")</f>
        <v/>
      </c>
      <c r="S33" s="62"/>
      <c r="T33" s="62"/>
      <c r="U33" s="33"/>
    </row>
    <row r="34" spans="1:21" ht="20.100000000000001" customHeight="1">
      <c r="A34" s="33"/>
      <c r="B34" s="62" t="str">
        <f>IFERROR(IFERROR(VLOOKUP(F34,soils2!$A$2:$D$8514,3,FALSE),VLOOKUP(A34,soils2!$B$2:$D$8514,2,FALSE)),"")</f>
        <v/>
      </c>
      <c r="C34" s="62"/>
      <c r="D34" s="62"/>
      <c r="E34" s="34" t="str">
        <f>IFERROR(IFERROR(VLOOKUP(F34,soils2!$A$2:$D$8514,4,FALSE),VLOOKUP(A34,soils2!$B$2:$D$8514,3,FALSE)),"")</f>
        <v/>
      </c>
      <c r="F34" s="62"/>
      <c r="G34" s="62"/>
      <c r="H34" s="33"/>
      <c r="I34" s="73" t="s">
        <v>62</v>
      </c>
      <c r="J34" s="73"/>
      <c r="K34" s="12"/>
      <c r="N34" s="33"/>
      <c r="O34" s="62" t="str">
        <f>IFERROR(IFERROR(VLOOKUP(S34,soils2!$A$2:$D$8514,3,FALSE),VLOOKUP(N34,soils2!$B$2:$D$8514,2,FALSE)),"")</f>
        <v/>
      </c>
      <c r="P34" s="62"/>
      <c r="Q34" s="62"/>
      <c r="R34" s="34" t="str">
        <f>IFERROR(VLOOKUP(N34,soils2!$B$2:$D$8514,3),"")</f>
        <v/>
      </c>
      <c r="S34" s="62"/>
      <c r="T34" s="62"/>
      <c r="U34" s="33"/>
    </row>
    <row r="35" spans="1:21" ht="20.100000000000001" customHeight="1">
      <c r="A35" s="33"/>
      <c r="B35" s="62" t="str">
        <f>IFERROR(IFERROR(VLOOKUP(F35,soils2!$A$2:$D$8514,3,FALSE),VLOOKUP(A35,soils2!$B$2:$D$8514,2,FALSE)),"")</f>
        <v/>
      </c>
      <c r="C35" s="62"/>
      <c r="D35" s="62"/>
      <c r="E35" s="34" t="str">
        <f>IFERROR(IFERROR(VLOOKUP(F35,soils2!$A$2:$D$8514,4,FALSE),VLOOKUP(A35,soils2!$B$2:$D$8514,3,FALSE)),"")</f>
        <v/>
      </c>
      <c r="F35" s="62"/>
      <c r="G35" s="62"/>
      <c r="H35" s="33"/>
      <c r="I35" s="91" t="s">
        <v>64</v>
      </c>
      <c r="J35" s="91"/>
      <c r="K35" s="4" t="s">
        <v>65</v>
      </c>
      <c r="N35" s="33"/>
      <c r="O35" s="62" t="str">
        <f>IFERROR(IFERROR(VLOOKUP(S35,soils2!$A$2:$D$8514,3,FALSE),VLOOKUP(N35,soils2!$B$2:$D$8514,2,FALSE)),"")</f>
        <v/>
      </c>
      <c r="P35" s="62"/>
      <c r="Q35" s="62"/>
      <c r="R35" s="34" t="str">
        <f>IFERROR(VLOOKUP(N35,soils2!$B$2:$D$8514,3),"")</f>
        <v/>
      </c>
      <c r="S35" s="62"/>
      <c r="T35" s="62"/>
      <c r="U35" s="33"/>
    </row>
    <row r="36" spans="1:21" ht="20.100000000000001" customHeight="1">
      <c r="A36" s="33"/>
      <c r="B36" s="62" t="str">
        <f>IFERROR(IFERROR(VLOOKUP(F36,soils2!$A$2:$D$8514,3,FALSE),VLOOKUP(A36,soils2!$B$2:$D$8514,2,FALSE)),"")</f>
        <v/>
      </c>
      <c r="C36" s="62"/>
      <c r="D36" s="62"/>
      <c r="E36" s="34" t="str">
        <f>IFERROR(IFERROR(VLOOKUP(F36,soils2!$A$2:$D$8514,4,FALSE),VLOOKUP(A36,soils2!$B$2:$D$8514,3,FALSE)),"")</f>
        <v/>
      </c>
      <c r="F36" s="62"/>
      <c r="G36" s="62"/>
      <c r="H36" s="33"/>
      <c r="I36" s="92">
        <v>1</v>
      </c>
      <c r="J36" s="20" t="s">
        <v>59</v>
      </c>
      <c r="K36" s="33">
        <f>SUMIF($E$34:$E$57,"1a",$H$34:$H$57)+SUMIF($R$33:$R$600,"1a",$U$33:$U$600)</f>
        <v>0</v>
      </c>
      <c r="N36" s="33"/>
      <c r="O36" s="62" t="str">
        <f>IFERROR(IFERROR(VLOOKUP(S36,soils2!$A$2:$D$8514,3,FALSE),VLOOKUP(N36,soils2!$B$2:$D$8514,2,FALSE)),"")</f>
        <v/>
      </c>
      <c r="P36" s="62"/>
      <c r="Q36" s="62"/>
      <c r="R36" s="34" t="str">
        <f>IFERROR(VLOOKUP(N36,soils2!$B$2:$D$8514,3),"")</f>
        <v/>
      </c>
      <c r="S36" s="62"/>
      <c r="T36" s="62"/>
      <c r="U36" s="33"/>
    </row>
    <row r="37" spans="1:21" ht="20.100000000000001" customHeight="1">
      <c r="A37" s="33"/>
      <c r="B37" s="62" t="str">
        <f>IFERROR(IFERROR(VLOOKUP(F37,soils2!$A$2:$D$8514,3,FALSE),VLOOKUP(A37,soils2!$B$2:$D$8514,2,FALSE)),"")</f>
        <v/>
      </c>
      <c r="C37" s="62"/>
      <c r="D37" s="62"/>
      <c r="E37" s="34" t="str">
        <f>IFERROR(IFERROR(VLOOKUP(F37,soils2!$A$2:$D$8514,4,FALSE),VLOOKUP(A37,soils2!$B$2:$D$8514,3,FALSE)),"")</f>
        <v/>
      </c>
      <c r="F37" s="62"/>
      <c r="G37" s="62"/>
      <c r="H37" s="33"/>
      <c r="I37" s="93"/>
      <c r="J37" s="20" t="s">
        <v>60</v>
      </c>
      <c r="K37" s="33">
        <f>SUMIF($E$34:$E$57,"1b",$H$34:$H$57)+SUMIF($R$33:$R$600,"1b",$U$33:$U$600)</f>
        <v>0</v>
      </c>
      <c r="N37" s="33"/>
      <c r="O37" s="62" t="str">
        <f>IFERROR(IFERROR(VLOOKUP(S37,soils2!$A$2:$D$8514,3,FALSE),VLOOKUP(N37,soils2!$B$2:$D$8514,2,FALSE)),"")</f>
        <v/>
      </c>
      <c r="P37" s="62"/>
      <c r="Q37" s="62"/>
      <c r="R37" s="34" t="str">
        <f>IFERROR(VLOOKUP(N37,soils2!$B$2:$D$8514,3),"")</f>
        <v/>
      </c>
      <c r="S37" s="62"/>
      <c r="T37" s="62"/>
      <c r="U37" s="33"/>
    </row>
    <row r="38" spans="1:21" ht="20.100000000000001" customHeight="1">
      <c r="A38" s="33"/>
      <c r="B38" s="62" t="str">
        <f>IFERROR(IFERROR(VLOOKUP(F38,soils2!$A$2:$D$8514,3,FALSE),VLOOKUP(A38,soils2!$B$2:$D$8514,2,FALSE)),"")</f>
        <v/>
      </c>
      <c r="C38" s="62"/>
      <c r="D38" s="62"/>
      <c r="E38" s="34" t="str">
        <f>IFERROR(IFERROR(VLOOKUP(F38,soils2!$A$2:$D$8514,4,FALSE),VLOOKUP(A38,soils2!$B$2:$D$8514,3,FALSE)),"")</f>
        <v/>
      </c>
      <c r="F38" s="62"/>
      <c r="G38" s="62"/>
      <c r="H38" s="33"/>
      <c r="I38" s="92">
        <v>2</v>
      </c>
      <c r="J38" s="20" t="s">
        <v>59</v>
      </c>
      <c r="K38" s="33">
        <f>SUMIF($E$34:$E$57,"2a",$H$34:$H$57)+SUMIF($R$33:$R$600,"2a",$U$33:$U$600)</f>
        <v>0</v>
      </c>
      <c r="N38" s="33"/>
      <c r="O38" s="62" t="str">
        <f>IFERROR(IFERROR(VLOOKUP(S38,soils2!$A$2:$D$8514,3,FALSE),VLOOKUP(N38,soils2!$B$2:$D$8514,2,FALSE)),"")</f>
        <v/>
      </c>
      <c r="P38" s="62"/>
      <c r="Q38" s="62"/>
      <c r="R38" s="34" t="str">
        <f>IFERROR(VLOOKUP(N38,soils2!$B$2:$D$8514,3),"")</f>
        <v/>
      </c>
      <c r="S38" s="62"/>
      <c r="T38" s="62"/>
      <c r="U38" s="33"/>
    </row>
    <row r="39" spans="1:21" ht="20.100000000000001" customHeight="1">
      <c r="A39" s="33"/>
      <c r="B39" s="62" t="str">
        <f>IFERROR(IFERROR(VLOOKUP(F39,soils2!$A$2:$D$8514,3,FALSE),VLOOKUP(A39,soils2!$B$2:$D$8514,2,FALSE)),"")</f>
        <v/>
      </c>
      <c r="C39" s="62"/>
      <c r="D39" s="62"/>
      <c r="E39" s="34" t="str">
        <f>IFERROR(IFERROR(VLOOKUP(F39,soils2!$A$2:$D$8514,4,FALSE),VLOOKUP(A39,soils2!$B$2:$D$8514,3,FALSE)),"")</f>
        <v/>
      </c>
      <c r="F39" s="62"/>
      <c r="G39" s="62"/>
      <c r="H39" s="33"/>
      <c r="I39" s="93"/>
      <c r="J39" s="20" t="s">
        <v>60</v>
      </c>
      <c r="K39" s="33">
        <f>SUMIF($E$34:$E$57,"2b",$H$34:$H$57)+SUMIF($R$33:$R$600,"2b",$U$33:$U$600)</f>
        <v>0</v>
      </c>
      <c r="N39" s="33"/>
      <c r="O39" s="62" t="str">
        <f>IFERROR(IFERROR(VLOOKUP(S39,soils2!$A$2:$D$8514,3,FALSE),VLOOKUP(N39,soils2!$B$2:$D$8514,2,FALSE)),"")</f>
        <v/>
      </c>
      <c r="P39" s="62"/>
      <c r="Q39" s="62"/>
      <c r="R39" s="34" t="str">
        <f>IFERROR(VLOOKUP(N39,soils2!$B$2:$D$8514,3),"")</f>
        <v/>
      </c>
      <c r="S39" s="62"/>
      <c r="T39" s="62"/>
      <c r="U39" s="33"/>
    </row>
    <row r="40" spans="1:21" ht="20.100000000000001" customHeight="1">
      <c r="A40" s="33"/>
      <c r="B40" s="62" t="str">
        <f>IFERROR(IFERROR(VLOOKUP(F40,soils2!$A$2:$D$8514,3,FALSE),VLOOKUP(A40,soils2!$B$2:$D$8514,2,FALSE)),"")</f>
        <v/>
      </c>
      <c r="C40" s="62"/>
      <c r="D40" s="62"/>
      <c r="E40" s="34" t="str">
        <f>IFERROR(IFERROR(VLOOKUP(F40,soils2!$A$2:$D$8514,4,FALSE),VLOOKUP(A40,soils2!$B$2:$D$8514,3,FALSE)),"")</f>
        <v/>
      </c>
      <c r="F40" s="62"/>
      <c r="G40" s="62"/>
      <c r="H40" s="33"/>
      <c r="I40" s="92">
        <v>3</v>
      </c>
      <c r="J40" s="20" t="s">
        <v>59</v>
      </c>
      <c r="K40" s="33">
        <f>SUMIF($E$34:$E$57,"3a",$H$34:$H$57)+SUMIF($R$33:$R$600,"3a",$U$33:$U$600)</f>
        <v>0</v>
      </c>
      <c r="N40" s="33"/>
      <c r="O40" s="62" t="str">
        <f>IFERROR(IFERROR(VLOOKUP(S40,soils2!$A$2:$D$8514,3,FALSE),VLOOKUP(N40,soils2!$B$2:$D$8514,2,FALSE)),"")</f>
        <v/>
      </c>
      <c r="P40" s="62"/>
      <c r="Q40" s="62"/>
      <c r="R40" s="34" t="str">
        <f>IFERROR(VLOOKUP(N40,soils2!$B$2:$D$8514,3),"")</f>
        <v/>
      </c>
      <c r="S40" s="62"/>
      <c r="T40" s="62"/>
      <c r="U40" s="33"/>
    </row>
    <row r="41" spans="1:21" ht="20.100000000000001" customHeight="1">
      <c r="A41" s="33"/>
      <c r="B41" s="62" t="str">
        <f>IFERROR(IFERROR(VLOOKUP(F41,soils2!$A$2:$D$8514,3,FALSE),VLOOKUP(A41,soils2!$B$2:$D$8514,2,FALSE)),"")</f>
        <v/>
      </c>
      <c r="C41" s="62"/>
      <c r="D41" s="62"/>
      <c r="E41" s="34" t="str">
        <f>IFERROR(IFERROR(VLOOKUP(F41,soils2!$A$2:$D$8514,4,FALSE),VLOOKUP(A41,soils2!$B$2:$D$8514,3,FALSE)),"")</f>
        <v/>
      </c>
      <c r="F41" s="62"/>
      <c r="G41" s="62"/>
      <c r="H41" s="33"/>
      <c r="I41" s="93"/>
      <c r="J41" s="20" t="s">
        <v>60</v>
      </c>
      <c r="K41" s="33">
        <f>SUMIF($E$34:$E$57,"3b",$H$34:$H$57)+SUMIF($R$33:$R$600,"3b",$U$33:$U$600)</f>
        <v>0</v>
      </c>
      <c r="N41" s="33"/>
      <c r="O41" s="62" t="str">
        <f>IFERROR(IFERROR(VLOOKUP(S41,soils2!$A$2:$D$8514,3,FALSE),VLOOKUP(N41,soils2!$B$2:$D$8514,2,FALSE)),"")</f>
        <v/>
      </c>
      <c r="P41" s="62"/>
      <c r="Q41" s="62"/>
      <c r="R41" s="34" t="str">
        <f>IFERROR(VLOOKUP(N41,soils2!$B$2:$D$8514,3),"")</f>
        <v/>
      </c>
      <c r="S41" s="62"/>
      <c r="T41" s="62"/>
      <c r="U41" s="33"/>
    </row>
    <row r="42" spans="1:21" ht="20.100000000000001" customHeight="1">
      <c r="A42" s="33"/>
      <c r="B42" s="62" t="str">
        <f>IFERROR(IFERROR(VLOOKUP(F42,soils2!$A$2:$D$8514,3,FALSE),VLOOKUP(A42,soils2!$B$2:$D$8514,2,FALSE)),"")</f>
        <v/>
      </c>
      <c r="C42" s="62"/>
      <c r="D42" s="62"/>
      <c r="E42" s="34" t="str">
        <f>IFERROR(IFERROR(VLOOKUP(F42,soils2!$A$2:$D$8514,4,FALSE),VLOOKUP(A42,soils2!$B$2:$D$8514,3,FALSE)),"")</f>
        <v/>
      </c>
      <c r="F42" s="62"/>
      <c r="G42" s="62"/>
      <c r="H42" s="33"/>
      <c r="I42" s="92">
        <v>4</v>
      </c>
      <c r="J42" s="20" t="s">
        <v>59</v>
      </c>
      <c r="K42" s="33">
        <f>SUMIF($E$34:$E$57,"4a",$H$34:$H$57)+SUMIF($R$33:$R$600,"4a",$U$33:$U$600)</f>
        <v>0</v>
      </c>
      <c r="N42" s="33"/>
      <c r="O42" s="62" t="str">
        <f>IFERROR(IFERROR(VLOOKUP(S42,soils2!$A$2:$D$8514,3,FALSE),VLOOKUP(N42,soils2!$B$2:$D$8514,2,FALSE)),"")</f>
        <v/>
      </c>
      <c r="P42" s="62"/>
      <c r="Q42" s="62"/>
      <c r="R42" s="34" t="str">
        <f>IFERROR(VLOOKUP(N42,soils2!$B$2:$D$8514,3),"")</f>
        <v/>
      </c>
      <c r="S42" s="62"/>
      <c r="T42" s="62"/>
      <c r="U42" s="33"/>
    </row>
    <row r="43" spans="1:21" ht="20.100000000000001" customHeight="1">
      <c r="A43" s="33"/>
      <c r="B43" s="62" t="str">
        <f>IFERROR(IFERROR(VLOOKUP(F43,soils2!$A$2:$D$8514,3,FALSE),VLOOKUP(A43,soils2!$B$2:$D$8514,2,FALSE)),"")</f>
        <v/>
      </c>
      <c r="C43" s="62"/>
      <c r="D43" s="62"/>
      <c r="E43" s="34" t="str">
        <f>IFERROR(IFERROR(VLOOKUP(F43,soils2!$A$2:$D$8514,4,FALSE),VLOOKUP(A43,soils2!$B$2:$D$8514,3,FALSE)),"")</f>
        <v/>
      </c>
      <c r="F43" s="62"/>
      <c r="G43" s="62"/>
      <c r="H43" s="33"/>
      <c r="I43" s="93"/>
      <c r="J43" s="20" t="s">
        <v>60</v>
      </c>
      <c r="K43" s="33">
        <f>SUMIF($E$34:$E$57,"4b",$H$34:$H$57)+SUMIF($R$33:$R$600,"4b",$U$33:$U$600)</f>
        <v>0</v>
      </c>
      <c r="N43" s="33"/>
      <c r="O43" s="62" t="str">
        <f>IFERROR(IFERROR(VLOOKUP(S43,soils2!$A$2:$D$8514,3,FALSE),VLOOKUP(N43,soils2!$B$2:$D$8514,2,FALSE)),"")</f>
        <v/>
      </c>
      <c r="P43" s="62"/>
      <c r="Q43" s="62"/>
      <c r="R43" s="34" t="str">
        <f>IFERROR(VLOOKUP(N43,soils2!$B$2:$D$8514,3),"")</f>
        <v/>
      </c>
      <c r="S43" s="62"/>
      <c r="T43" s="62"/>
      <c r="U43" s="33"/>
    </row>
    <row r="44" spans="1:21" ht="20.100000000000001" customHeight="1">
      <c r="A44" s="34"/>
      <c r="B44" s="62" t="str">
        <f>IFERROR(IFERROR(VLOOKUP(F44,soils2!$A$2:$D$8514,3,FALSE),VLOOKUP(A44,soils2!$B$2:$D$8514,2,FALSE)),"")</f>
        <v/>
      </c>
      <c r="C44" s="62"/>
      <c r="D44" s="62"/>
      <c r="E44" s="34" t="str">
        <f>IFERROR(IFERROR(VLOOKUP(F44,soils2!$A$2:$D$8514,4,FALSE),VLOOKUP(A44,soils2!$B$2:$D$8514,3,FALSE)),"")</f>
        <v/>
      </c>
      <c r="F44" s="62"/>
      <c r="G44" s="62"/>
      <c r="H44" s="33"/>
      <c r="I44" s="92">
        <v>5</v>
      </c>
      <c r="J44" s="20" t="s">
        <v>59</v>
      </c>
      <c r="K44" s="33">
        <f>SUMIF($E$34:$E$57,"5a",$H$34:$H$57)+SUMIF($R$33:$R$600,"5a",$U$33:$U$600)</f>
        <v>0</v>
      </c>
      <c r="N44" s="33"/>
      <c r="O44" s="62" t="str">
        <f>IFERROR(IFERROR(VLOOKUP(S44,soils2!$A$2:$D$8514,3,FALSE),VLOOKUP(N44,soils2!$B$2:$D$8514,2,FALSE)),"")</f>
        <v/>
      </c>
      <c r="P44" s="62"/>
      <c r="Q44" s="62"/>
      <c r="R44" s="34" t="str">
        <f>IFERROR(VLOOKUP(N44,soils2!$B$2:$D$8514,3),"")</f>
        <v/>
      </c>
      <c r="S44" s="62"/>
      <c r="T44" s="62"/>
      <c r="U44" s="33"/>
    </row>
    <row r="45" spans="1:21" ht="20.100000000000001" customHeight="1">
      <c r="A45" s="34"/>
      <c r="B45" s="62" t="str">
        <f>IFERROR(IFERROR(VLOOKUP(F45,soils2!$A$2:$D$8514,3,FALSE),VLOOKUP(A45,soils2!$B$2:$D$8514,2,FALSE)),"")</f>
        <v/>
      </c>
      <c r="C45" s="62"/>
      <c r="D45" s="62"/>
      <c r="E45" s="34" t="str">
        <f>IFERROR(IFERROR(VLOOKUP(F45,soils2!$A$2:$D$8514,4,FALSE),VLOOKUP(A45,soils2!$B$2:$D$8514,3,FALSE)),"")</f>
        <v/>
      </c>
      <c r="F45" s="62"/>
      <c r="G45" s="62"/>
      <c r="H45" s="33"/>
      <c r="I45" s="93"/>
      <c r="J45" s="20" t="s">
        <v>60</v>
      </c>
      <c r="K45" s="33">
        <f>SUMIF($E$34:$E$57,"5b",$H$34:$H$57)+SUMIF($R$33:$R$600,"5b",$U$33:$U$600)</f>
        <v>0</v>
      </c>
      <c r="N45" s="33"/>
      <c r="O45" s="62" t="str">
        <f>IFERROR(IFERROR(VLOOKUP(S45,soils2!$A$2:$D$8514,3,FALSE),VLOOKUP(N45,soils2!$B$2:$D$8514,2,FALSE)),"")</f>
        <v/>
      </c>
      <c r="P45" s="62"/>
      <c r="Q45" s="62"/>
      <c r="R45" s="34" t="str">
        <f>IFERROR(VLOOKUP(N45,soils2!$B$2:$D$8514,3),"")</f>
        <v/>
      </c>
      <c r="S45" s="62"/>
      <c r="T45" s="62"/>
      <c r="U45" s="33"/>
    </row>
    <row r="46" spans="1:21" ht="20.100000000000001" customHeight="1">
      <c r="A46" s="34"/>
      <c r="B46" s="62" t="str">
        <f>IFERROR(IFERROR(VLOOKUP(F46,soils2!$A$2:$D$8514,3,FALSE),VLOOKUP(A46,soils2!$B$2:$D$8514,2,FALSE)),"")</f>
        <v/>
      </c>
      <c r="C46" s="62"/>
      <c r="D46" s="62"/>
      <c r="E46" s="34" t="str">
        <f>IFERROR(IFERROR(VLOOKUP(F46,soils2!$A$2:$D$8514,4,FALSE),VLOOKUP(A46,soils2!$B$2:$D$8514,3,FALSE)),"")</f>
        <v/>
      </c>
      <c r="F46" s="62"/>
      <c r="G46" s="62"/>
      <c r="H46" s="33"/>
      <c r="I46" s="92">
        <v>6</v>
      </c>
      <c r="J46" s="20" t="s">
        <v>59</v>
      </c>
      <c r="K46" s="33">
        <f>SUMIF($E$34:$E$57,"6a",$H$34:$H$57)+SUMIF($R$33:$R$600,"6a",$U$33:$U$600)</f>
        <v>0</v>
      </c>
      <c r="N46" s="33"/>
      <c r="O46" s="62" t="str">
        <f>IFERROR(IFERROR(VLOOKUP(S46,soils2!$A$2:$D$8514,3,FALSE),VLOOKUP(N46,soils2!$B$2:$D$8514,2,FALSE)),"")</f>
        <v/>
      </c>
      <c r="P46" s="62"/>
      <c r="Q46" s="62"/>
      <c r="R46" s="34" t="str">
        <f>IFERROR(VLOOKUP(N46,soils2!$B$2:$D$8514,3),"")</f>
        <v/>
      </c>
      <c r="S46" s="62"/>
      <c r="T46" s="62"/>
      <c r="U46" s="33"/>
    </row>
    <row r="47" spans="1:21" ht="20.100000000000001" customHeight="1">
      <c r="A47" s="34"/>
      <c r="B47" s="62" t="str">
        <f>IFERROR(IFERROR(VLOOKUP(F47,soils2!$A$2:$D$8514,3,FALSE),VLOOKUP(A47,soils2!$B$2:$D$8514,2,FALSE)),"")</f>
        <v/>
      </c>
      <c r="C47" s="62"/>
      <c r="D47" s="62"/>
      <c r="E47" s="34" t="str">
        <f>IFERROR(IFERROR(VLOOKUP(F47,soils2!$A$2:$D$8514,4,FALSE),VLOOKUP(A47,soils2!$B$2:$D$8514,3,FALSE)),"")</f>
        <v/>
      </c>
      <c r="F47" s="62"/>
      <c r="G47" s="62"/>
      <c r="H47" s="33"/>
      <c r="I47" s="93"/>
      <c r="J47" s="20" t="s">
        <v>60</v>
      </c>
      <c r="K47" s="33">
        <f>SUMIF($E$34:$E$57,"6b",$H$34:$H$57)+SUMIF($R$33:$R$600,"6b",$U$33:$U$600)</f>
        <v>0</v>
      </c>
      <c r="N47" s="33"/>
      <c r="O47" s="62" t="str">
        <f>IFERROR(IFERROR(VLOOKUP(S47,soils2!$A$2:$D$8514,3,FALSE),VLOOKUP(N47,soils2!$B$2:$D$8514,2,FALSE)),"")</f>
        <v/>
      </c>
      <c r="P47" s="62"/>
      <c r="Q47" s="62"/>
      <c r="R47" s="34" t="str">
        <f>IFERROR(VLOOKUP(N47,soils2!$B$2:$D$8514,3),"")</f>
        <v/>
      </c>
      <c r="S47" s="62"/>
      <c r="T47" s="62"/>
      <c r="U47" s="33"/>
    </row>
    <row r="48" spans="1:21" ht="20.100000000000001" customHeight="1">
      <c r="A48" s="34"/>
      <c r="B48" s="62" t="str">
        <f>IFERROR(IFERROR(VLOOKUP(F48,soils2!$A$2:$D$8514,3,FALSE),VLOOKUP(A48,soils2!$B$2:$D$8514,2,FALSE)),"")</f>
        <v/>
      </c>
      <c r="C48" s="62"/>
      <c r="D48" s="62"/>
      <c r="E48" s="34" t="str">
        <f>IFERROR(IFERROR(VLOOKUP(F48,soils2!$A$2:$D$8514,4,FALSE),VLOOKUP(A48,soils2!$B$2:$D$8514,3,FALSE)),"")</f>
        <v/>
      </c>
      <c r="F48" s="62"/>
      <c r="G48" s="62"/>
      <c r="H48" s="33"/>
      <c r="I48" s="35">
        <v>7</v>
      </c>
      <c r="J48" s="11"/>
      <c r="K48" s="33">
        <f>SUMIF($E$34:$E$57,"7",$H$34:$H$57)+SUMIF($R$33:$R$600,"7",$U$33:$U$600)</f>
        <v>0</v>
      </c>
      <c r="N48" s="33"/>
      <c r="O48" s="62" t="str">
        <f>IFERROR(IFERROR(VLOOKUP(S48,soils2!$A$2:$D$8514,3,FALSE),VLOOKUP(N48,soils2!$B$2:$D$8514,2,FALSE)),"")</f>
        <v/>
      </c>
      <c r="P48" s="62"/>
      <c r="Q48" s="62"/>
      <c r="R48" s="34" t="str">
        <f>IFERROR(VLOOKUP(N48,soils2!$B$2:$D$8514,3),"")</f>
        <v/>
      </c>
      <c r="S48" s="62"/>
      <c r="T48" s="62"/>
      <c r="U48" s="33"/>
    </row>
    <row r="49" spans="1:21" ht="20.100000000000001" customHeight="1">
      <c r="A49" s="34"/>
      <c r="B49" s="62" t="str">
        <f>IFERROR(IFERROR(VLOOKUP(F49,soils2!$A$2:$D$8514,3,FALSE),VLOOKUP(A49,soils2!$B$2:$D$8514,2,FALSE)),"")</f>
        <v/>
      </c>
      <c r="C49" s="62"/>
      <c r="D49" s="62"/>
      <c r="E49" s="34" t="str">
        <f>IFERROR(IFERROR(VLOOKUP(F49,soils2!$A$2:$D$8514,4,FALSE),VLOOKUP(A49,soils2!$B$2:$D$8514,3,FALSE)),"")</f>
        <v/>
      </c>
      <c r="F49" s="62"/>
      <c r="G49" s="62"/>
      <c r="H49" s="33"/>
      <c r="I49" s="35">
        <v>8</v>
      </c>
      <c r="J49" s="11"/>
      <c r="K49" s="33">
        <f>SUMIF($E$34:$E$57,"8",$H$34:$H$57)+SUMIF($R$33:$R$600,"8",$U$33:$U$600)</f>
        <v>0</v>
      </c>
      <c r="N49" s="33"/>
      <c r="O49" s="62" t="str">
        <f>IFERROR(IFERROR(VLOOKUP(S49,soils2!$A$2:$D$8514,3,FALSE),VLOOKUP(N49,soils2!$B$2:$D$8514,2,FALSE)),"")</f>
        <v/>
      </c>
      <c r="P49" s="62"/>
      <c r="Q49" s="62"/>
      <c r="R49" s="34" t="str">
        <f>IFERROR(VLOOKUP(N49,soils2!$B$2:$D$8514,3),"")</f>
        <v/>
      </c>
      <c r="S49" s="62"/>
      <c r="T49" s="62"/>
      <c r="U49" s="33"/>
    </row>
    <row r="50" spans="1:21" ht="20.100000000000001" customHeight="1">
      <c r="A50" s="34"/>
      <c r="B50" s="62" t="str">
        <f>IFERROR(IFERROR(VLOOKUP(F50,soils2!$A$2:$D$8514,3,FALSE),VLOOKUP(A50,soils2!$B$2:$D$8514,2,FALSE)),"")</f>
        <v/>
      </c>
      <c r="C50" s="62"/>
      <c r="D50" s="62"/>
      <c r="E50" s="34" t="str">
        <f>IFERROR(IFERROR(VLOOKUP(F50,soils2!$A$2:$D$8514,4,FALSE),VLOOKUP(A50,soils2!$B$2:$D$8514,3,FALSE)),"")</f>
        <v/>
      </c>
      <c r="F50" s="62"/>
      <c r="G50" s="62"/>
      <c r="H50" s="33"/>
      <c r="I50" s="35">
        <v>9</v>
      </c>
      <c r="J50" s="11"/>
      <c r="K50" s="33">
        <f>SUMIF($E$34:$E$57,"9",$H$34:$H$57)+SUMIF($R$33:$R$600,"9",$U$33:$U$600)</f>
        <v>0</v>
      </c>
      <c r="N50" s="33"/>
      <c r="O50" s="62" t="str">
        <f>IFERROR(IFERROR(VLOOKUP(S50,soils2!$A$2:$D$8514,3,FALSE),VLOOKUP(N50,soils2!$B$2:$D$8514,2,FALSE)),"")</f>
        <v/>
      </c>
      <c r="P50" s="62"/>
      <c r="Q50" s="62"/>
      <c r="R50" s="34" t="str">
        <f>IFERROR(VLOOKUP(N50,soils2!$B$2:$D$8514,3),"")</f>
        <v/>
      </c>
      <c r="S50" s="62"/>
      <c r="T50" s="62"/>
      <c r="U50" s="33"/>
    </row>
    <row r="51" spans="1:21" ht="20.100000000000001" customHeight="1">
      <c r="A51" s="34"/>
      <c r="B51" s="62" t="str">
        <f>IFERROR(IFERROR(VLOOKUP(F51,soils2!$A$2:$D$8514,3,FALSE),VLOOKUP(A51,soils2!$B$2:$D$8514,2,FALSE)),"")</f>
        <v/>
      </c>
      <c r="C51" s="62"/>
      <c r="D51" s="62"/>
      <c r="E51" s="34" t="str">
        <f>IFERROR(IFERROR(VLOOKUP(F51,soils2!$A$2:$D$8514,4,FALSE),VLOOKUP(A51,soils2!$B$2:$D$8514,3,FALSE)),"")</f>
        <v/>
      </c>
      <c r="F51" s="62"/>
      <c r="G51" s="62"/>
      <c r="H51" s="33"/>
      <c r="I51" s="35">
        <v>10</v>
      </c>
      <c r="J51" s="11"/>
      <c r="K51" s="33">
        <f>SUMIF($E$34:$E$57,"10",$H$34:$H$57)+SUMIF($R$33:$R$600,"10",$U$33:$U$600)</f>
        <v>0</v>
      </c>
      <c r="N51" s="33"/>
      <c r="O51" s="62" t="str">
        <f>IFERROR(IFERROR(VLOOKUP(S51,soils2!$A$2:$D$8514,3,FALSE),VLOOKUP(N51,soils2!$B$2:$D$8514,2,FALSE)),"")</f>
        <v/>
      </c>
      <c r="P51" s="62"/>
      <c r="Q51" s="62"/>
      <c r="R51" s="34" t="str">
        <f>IFERROR(VLOOKUP(N51,soils2!$B$2:$D$8514,3),"")</f>
        <v/>
      </c>
      <c r="S51" s="62"/>
      <c r="T51" s="62"/>
      <c r="U51" s="33"/>
    </row>
    <row r="52" spans="1:21" ht="20.100000000000001" customHeight="1">
      <c r="A52" s="34"/>
      <c r="B52" s="62" t="str">
        <f>IFERROR(IFERROR(VLOOKUP(F52,soils2!$A$2:$D$8514,3,FALSE),VLOOKUP(A52,soils2!$B$2:$D$8514,2,FALSE)),"")</f>
        <v/>
      </c>
      <c r="C52" s="62"/>
      <c r="D52" s="62"/>
      <c r="E52" s="34" t="str">
        <f>IFERROR(IFERROR(VLOOKUP(F52,soils2!$A$2:$D$8514,4,FALSE),VLOOKUP(A52,soils2!$B$2:$D$8514,3,FALSE)),"")</f>
        <v/>
      </c>
      <c r="F52" s="62"/>
      <c r="G52" s="62"/>
      <c r="H52" s="33"/>
      <c r="I52" s="12" t="s">
        <v>76</v>
      </c>
      <c r="J52" s="12"/>
      <c r="K52" s="12"/>
      <c r="N52" s="33"/>
      <c r="O52" s="62" t="str">
        <f>IFERROR(IFERROR(VLOOKUP(S52,soils2!$A$2:$D$8514,3,FALSE),VLOOKUP(N52,soils2!$B$2:$D$8514,2,FALSE)),"")</f>
        <v/>
      </c>
      <c r="P52" s="62"/>
      <c r="Q52" s="62"/>
      <c r="R52" s="34" t="str">
        <f>IFERROR(VLOOKUP(N52,soils2!$B$2:$D$8514,3),"")</f>
        <v/>
      </c>
      <c r="S52" s="62"/>
      <c r="T52" s="62"/>
      <c r="U52" s="33"/>
    </row>
    <row r="53" spans="1:21" ht="20.100000000000001" customHeight="1">
      <c r="A53" s="34"/>
      <c r="B53" s="62" t="str">
        <f>IFERROR(IFERROR(VLOOKUP(F53,soils2!$A$2:$D$8514,3,FALSE),VLOOKUP(A53,soils2!$B$2:$D$8514,2,FALSE)),"")</f>
        <v/>
      </c>
      <c r="C53" s="62"/>
      <c r="D53" s="62"/>
      <c r="E53" s="34" t="str">
        <f>IFERROR(IFERROR(VLOOKUP(F53,soils2!$A$2:$D$8514,4,FALSE),VLOOKUP(A53,soils2!$B$2:$D$8514,3,FALSE)),"")</f>
        <v/>
      </c>
      <c r="F53" s="62"/>
      <c r="G53" s="62"/>
      <c r="H53" s="33"/>
      <c r="I53" s="36" t="s">
        <v>64</v>
      </c>
      <c r="J53" s="23"/>
      <c r="K53" s="16" t="s">
        <v>65</v>
      </c>
      <c r="N53" s="33"/>
      <c r="O53" s="62" t="str">
        <f>IFERROR(IFERROR(VLOOKUP(S53,soils2!$A$2:$D$8514,3,FALSE),VLOOKUP(N53,soils2!$B$2:$D$8514,2,FALSE)),"")</f>
        <v/>
      </c>
      <c r="P53" s="62"/>
      <c r="Q53" s="62"/>
      <c r="R53" s="34" t="str">
        <f>IFERROR(VLOOKUP(N53,soils2!$B$2:$D$8514,3),"")</f>
        <v/>
      </c>
      <c r="S53" s="62"/>
      <c r="T53" s="62"/>
      <c r="U53" s="33"/>
    </row>
    <row r="54" spans="1:21" ht="20.100000000000001" customHeight="1">
      <c r="A54" s="34"/>
      <c r="B54" s="62" t="str">
        <f>IFERROR(IFERROR(VLOOKUP(F54,soils2!$A$2:$D$8514,3,FALSE),VLOOKUP(A54,soils2!$B$2:$D$8514,2,FALSE)),"")</f>
        <v/>
      </c>
      <c r="C54" s="62"/>
      <c r="D54" s="62"/>
      <c r="E54" s="34" t="str">
        <f>IFERROR(IFERROR(VLOOKUP(F54,soils2!$A$2:$D$8514,4,FALSE),VLOOKUP(A54,soils2!$B$2:$D$8514,3,FALSE)),"")</f>
        <v/>
      </c>
      <c r="F54" s="62"/>
      <c r="G54" s="62"/>
      <c r="H54" s="33"/>
      <c r="I54" s="32" t="s">
        <v>77</v>
      </c>
      <c r="J54" s="11"/>
      <c r="K54" s="33">
        <f>SUMIF($E$34:$E$57,"A",$H$34:$H$57)+SUMIF($R$33:$R$600,"A",$U$33:$U$600)</f>
        <v>0</v>
      </c>
      <c r="N54" s="33"/>
      <c r="O54" s="62" t="str">
        <f>IFERROR(IFERROR(VLOOKUP(S54,soils2!$A$2:$D$8514,3,FALSE),VLOOKUP(N54,soils2!$B$2:$D$8514,2,FALSE)),"")</f>
        <v/>
      </c>
      <c r="P54" s="62"/>
      <c r="Q54" s="62"/>
      <c r="R54" s="34" t="str">
        <f>IFERROR(VLOOKUP(N54,soils2!$B$2:$D$8514,3),"")</f>
        <v/>
      </c>
      <c r="S54" s="62"/>
      <c r="T54" s="62"/>
      <c r="U54" s="33"/>
    </row>
    <row r="55" spans="1:21" ht="20.100000000000001" customHeight="1">
      <c r="A55" s="34"/>
      <c r="B55" s="62" t="str">
        <f>IFERROR(IFERROR(VLOOKUP(F55,soils2!$A$2:$D$8514,3,FALSE),VLOOKUP(A55,soils2!$B$2:$D$8514,2,FALSE)),"")</f>
        <v/>
      </c>
      <c r="C55" s="62"/>
      <c r="D55" s="62"/>
      <c r="E55" s="34" t="str">
        <f>IFERROR(IFERROR(VLOOKUP(F55,soils2!$A$2:$D$8514,4,FALSE),VLOOKUP(A55,soils2!$B$2:$D$8514,3,FALSE)),"")</f>
        <v/>
      </c>
      <c r="F55" s="97"/>
      <c r="G55" s="97"/>
      <c r="H55" s="33"/>
      <c r="I55" s="32" t="s">
        <v>52</v>
      </c>
      <c r="J55" s="11"/>
      <c r="K55" s="33">
        <f>SUMIF($E$34:$E$57,"B",$H$34:$H$57)+SUMIF($R$33:$R$600,"B",$U$33:$U$600)</f>
        <v>0</v>
      </c>
      <c r="N55" s="33"/>
      <c r="O55" s="62" t="str">
        <f>IFERROR(IFERROR(VLOOKUP(S55,soils2!$A$2:$D$8514,3,FALSE),VLOOKUP(N55,soils2!$B$2:$D$8514,2,FALSE)),"")</f>
        <v/>
      </c>
      <c r="P55" s="62"/>
      <c r="Q55" s="62"/>
      <c r="R55" s="34" t="str">
        <f>IFERROR(VLOOKUP(N55,soils2!$B$2:$D$8514,3),"")</f>
        <v/>
      </c>
      <c r="S55" s="62"/>
      <c r="T55" s="62"/>
      <c r="U55" s="33"/>
    </row>
    <row r="56" spans="1:21" ht="20.100000000000001" customHeight="1">
      <c r="A56" s="34"/>
      <c r="B56" s="62" t="str">
        <f>IFERROR(IFERROR(VLOOKUP(F56,soils2!$A$2:$D$8514,3,FALSE),VLOOKUP(A56,soils2!$B$2:$D$8514,2,FALSE)),"")</f>
        <v/>
      </c>
      <c r="C56" s="62"/>
      <c r="D56" s="62"/>
      <c r="E56" s="34" t="str">
        <f>IFERROR(IFERROR(VLOOKUP(F56,soils2!$A$2:$D$8514,4,FALSE),VLOOKUP(A56,soils2!$B$2:$D$8514,3,FALSE)),"")</f>
        <v/>
      </c>
      <c r="F56" s="62"/>
      <c r="G56" s="62"/>
      <c r="H56" s="33"/>
      <c r="I56" s="32" t="s">
        <v>53</v>
      </c>
      <c r="J56" s="11"/>
      <c r="K56" s="33">
        <f>SUMIF($E$34:$E$57,"C",$H$34:$H$57)+SUMIF($R$33:$R$600,"C",$U$33:$U$600)</f>
        <v>0</v>
      </c>
      <c r="N56" s="33"/>
      <c r="O56" s="62" t="str">
        <f>IFERROR(IFERROR(VLOOKUP(S56,soils2!$A$2:$D$8514,3,FALSE),VLOOKUP(N56,soils2!$B$2:$D$8514,2,FALSE)),"")</f>
        <v/>
      </c>
      <c r="P56" s="62"/>
      <c r="Q56" s="62"/>
      <c r="R56" s="34" t="str">
        <f>IFERROR(VLOOKUP(N56,soils2!$B$2:$D$8514,3),"")</f>
        <v/>
      </c>
      <c r="S56" s="62"/>
      <c r="T56" s="62"/>
      <c r="U56" s="33"/>
    </row>
    <row r="57" spans="1:21" ht="20.100000000000001" customHeight="1">
      <c r="A57" s="34"/>
      <c r="B57" s="62" t="str">
        <f>IFERROR(IFERROR(VLOOKUP(F57,soils2!$A$2:$D$8514,3,FALSE),VLOOKUP(A57,soils2!$B$2:$D$8514,2,FALSE)),"")</f>
        <v/>
      </c>
      <c r="C57" s="62"/>
      <c r="D57" s="62"/>
      <c r="E57" s="34" t="str">
        <f>IFERROR(IFERROR(VLOOKUP(F57,soils2!$A$2:$D$8514,4,FALSE),VLOOKUP(A57,soils2!$B$2:$D$8514,3,FALSE)),"")</f>
        <v/>
      </c>
      <c r="F57" s="62"/>
      <c r="G57" s="62"/>
      <c r="H57" s="33"/>
      <c r="I57" s="32" t="s">
        <v>54</v>
      </c>
      <c r="J57" s="11"/>
      <c r="K57" s="33">
        <f>SUMIF($E$34:$E$57,"D",$H$34:$H$57)+SUMIF($R$33:$R$600,"D",$U$33:$U$600)</f>
        <v>0</v>
      </c>
      <c r="N57" s="33"/>
      <c r="O57" s="62" t="str">
        <f>IFERROR(IFERROR(VLOOKUP(S57,soils2!$A$2:$D$8514,3,FALSE),VLOOKUP(N57,soils2!$B$2:$D$8514,2,FALSE)),"")</f>
        <v/>
      </c>
      <c r="P57" s="62"/>
      <c r="Q57" s="62"/>
      <c r="R57" s="34" t="str">
        <f>IFERROR(VLOOKUP(N57,soils2!$B$2:$D$8514,3),"")</f>
        <v/>
      </c>
      <c r="S57" s="62"/>
      <c r="T57" s="62"/>
      <c r="U57" s="33"/>
    </row>
    <row r="58" spans="1:21">
      <c r="A58" s="86" t="s">
        <v>78</v>
      </c>
      <c r="B58" s="86"/>
      <c r="C58" s="86"/>
      <c r="D58" s="86"/>
      <c r="E58" s="10"/>
      <c r="F58" s="10"/>
      <c r="G58" s="10"/>
      <c r="H58" s="11"/>
      <c r="I58" s="13" t="s">
        <v>79</v>
      </c>
      <c r="J58" s="14"/>
      <c r="K58" s="37"/>
      <c r="N58" s="33"/>
      <c r="O58" s="62" t="str">
        <f>IFERROR(IFERROR(VLOOKUP(S58,soils2!$A$2:$D$8514,3,FALSE),VLOOKUP(N58,soils2!$B$2:$D$8514,2,FALSE)),"")</f>
        <v/>
      </c>
      <c r="P58" s="62"/>
      <c r="Q58" s="62"/>
      <c r="R58" s="34" t="str">
        <f>IFERROR(VLOOKUP(N58,soils2!$B$2:$D$8514,3),"")</f>
        <v/>
      </c>
      <c r="S58" s="62"/>
      <c r="T58" s="62"/>
      <c r="U58" s="33"/>
    </row>
    <row r="59" spans="1:21">
      <c r="A59" s="86" t="s">
        <v>80</v>
      </c>
      <c r="B59" s="86"/>
      <c r="C59" s="86"/>
      <c r="D59" s="86"/>
      <c r="E59" s="10"/>
      <c r="F59" s="10"/>
      <c r="G59" s="10"/>
      <c r="H59" s="11"/>
      <c r="I59" s="18" t="s">
        <v>81</v>
      </c>
      <c r="J59" s="19"/>
      <c r="K59" s="25">
        <f>SUM(K36:K51,K54:K57)</f>
        <v>0</v>
      </c>
      <c r="N59" s="33"/>
      <c r="O59" s="62" t="str">
        <f>IFERROR(IFERROR(VLOOKUP(S59,soils2!$A$2:$D$8514,3,FALSE),VLOOKUP(N59,soils2!$B$2:$D$8514,2,FALSE)),"")</f>
        <v/>
      </c>
      <c r="P59" s="62"/>
      <c r="Q59" s="62"/>
      <c r="R59" s="34" t="str">
        <f>IFERROR(VLOOKUP(N59,soils2!$B$2:$D$8514,3),"")</f>
        <v/>
      </c>
      <c r="S59" s="62"/>
      <c r="T59" s="62"/>
      <c r="U59" s="33"/>
    </row>
    <row r="60" spans="1:21">
      <c r="A60" s="1" t="s">
        <v>82</v>
      </c>
      <c r="B60" s="1"/>
      <c r="C60" s="1"/>
      <c r="D60" s="1"/>
      <c r="E60" s="1"/>
      <c r="F60" s="1"/>
      <c r="G60" s="1"/>
      <c r="H60" s="38" t="s">
        <v>83</v>
      </c>
      <c r="I60" s="94">
        <f ca="1">TODAY()</f>
        <v>45995</v>
      </c>
      <c r="J60" s="94"/>
      <c r="K60" s="1"/>
      <c r="N60" s="33"/>
      <c r="O60" s="62" t="str">
        <f>IFERROR(IFERROR(VLOOKUP(S60,soils2!$A$2:$D$8514,3,FALSE),VLOOKUP(N60,soils2!$B$2:$D$8514,2,FALSE)),"")</f>
        <v/>
      </c>
      <c r="P60" s="62"/>
      <c r="Q60" s="62"/>
      <c r="R60" s="34" t="str">
        <f>IFERROR(VLOOKUP(N60,soils2!$B$2:$D$8514,3),"")</f>
        <v/>
      </c>
      <c r="S60" s="62"/>
      <c r="T60" s="62"/>
      <c r="U60" s="33"/>
    </row>
    <row r="61" spans="1:21">
      <c r="A61" s="1"/>
      <c r="B61" s="1"/>
      <c r="C61" s="1"/>
      <c r="D61" s="1"/>
      <c r="E61" s="1"/>
      <c r="F61" s="1"/>
      <c r="G61" s="1"/>
      <c r="H61" s="38" t="s">
        <v>84</v>
      </c>
      <c r="I61" s="95">
        <f ca="1">NOW()</f>
        <v>45995.523182060184</v>
      </c>
      <c r="J61" s="95"/>
      <c r="K61" s="1"/>
      <c r="N61" s="33"/>
      <c r="O61" s="62" t="str">
        <f>IFERROR(IFERROR(VLOOKUP(S61,soils2!$A$2:$D$8514,3,FALSE),VLOOKUP(N61,soils2!$B$2:$D$8514,2,FALSE)),"")</f>
        <v/>
      </c>
      <c r="P61" s="62"/>
      <c r="Q61" s="62"/>
      <c r="R61" s="34" t="str">
        <f>IFERROR(VLOOKUP(N61,soils2!$B$2:$D$8514,3),"")</f>
        <v/>
      </c>
      <c r="S61" s="62"/>
      <c r="T61" s="62"/>
      <c r="U61" s="33"/>
    </row>
    <row r="62" spans="1:21">
      <c r="A62" s="1" t="s">
        <v>14</v>
      </c>
      <c r="B62" s="1"/>
      <c r="C62" s="1"/>
      <c r="D62" s="1"/>
      <c r="E62" s="1"/>
      <c r="F62" s="1" t="s">
        <v>85</v>
      </c>
      <c r="G62" s="1"/>
      <c r="H62" s="1"/>
      <c r="I62" s="1"/>
      <c r="J62" s="1"/>
      <c r="K62" s="1"/>
      <c r="N62" s="33"/>
      <c r="O62" s="62" t="str">
        <f>IFERROR(IFERROR(VLOOKUP(S62,soils2!$A$2:$D$8514,3,FALSE),VLOOKUP(N62,soils2!$B$2:$D$8514,2,FALSE)),"")</f>
        <v/>
      </c>
      <c r="P62" s="62"/>
      <c r="Q62" s="62"/>
      <c r="R62" s="34" t="str">
        <f>IFERROR(VLOOKUP(N62,soils2!$B$2:$D$8514,3),"")</f>
        <v/>
      </c>
      <c r="S62" s="62"/>
      <c r="T62" s="62"/>
      <c r="U62" s="33"/>
    </row>
    <row r="63" spans="1:21" ht="21.75">
      <c r="A63" s="1" t="s">
        <v>86</v>
      </c>
      <c r="B63" s="19"/>
      <c r="C63" s="19"/>
      <c r="D63" s="19"/>
      <c r="E63" s="19"/>
      <c r="F63" s="1" t="s">
        <v>86</v>
      </c>
      <c r="G63" s="96"/>
      <c r="H63" s="96"/>
      <c r="I63" s="96"/>
      <c r="J63" s="96"/>
      <c r="K63" s="1"/>
      <c r="N63" s="33"/>
      <c r="O63" s="62" t="str">
        <f>IFERROR(IFERROR(VLOOKUP(S63,soils2!$A$2:$D$8514,3,FALSE),VLOOKUP(N63,soils2!$B$2:$D$8514,2,FALSE)),"")</f>
        <v/>
      </c>
      <c r="P63" s="62"/>
      <c r="Q63" s="62"/>
      <c r="R63" s="34" t="str">
        <f>IFERROR(VLOOKUP(N63,soils2!$B$2:$D$8514,3),"")</f>
        <v/>
      </c>
      <c r="S63" s="62"/>
      <c r="T63" s="62"/>
      <c r="U63" s="33"/>
    </row>
    <row r="64" spans="1: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N64" s="33"/>
      <c r="O64" s="62" t="str">
        <f>IFERROR(IFERROR(VLOOKUP(S64,soils2!$A$2:$D$8514,3,FALSE),VLOOKUP(N64,soils2!$B$2:$D$8514,2,FALSE)),"")</f>
        <v/>
      </c>
      <c r="P64" s="62"/>
      <c r="Q64" s="62"/>
      <c r="R64" s="34" t="str">
        <f>IFERROR(VLOOKUP(N64,soils2!$B$2:$D$8514,3),"")</f>
        <v/>
      </c>
      <c r="S64" s="62"/>
      <c r="T64" s="62"/>
      <c r="U64" s="33"/>
    </row>
    <row r="65" spans="1: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N65" s="33"/>
      <c r="O65" s="62" t="str">
        <f>IFERROR(IFERROR(VLOOKUP(S65,soils2!$A$2:$D$8514,3,FALSE),VLOOKUP(N65,soils2!$B$2:$D$8514,2,FALSE)),"")</f>
        <v/>
      </c>
      <c r="P65" s="62"/>
      <c r="Q65" s="62"/>
      <c r="R65" s="34" t="str">
        <f>IFERROR(VLOOKUP(N65,soils2!$B$2:$D$8514,3),"")</f>
        <v/>
      </c>
      <c r="S65" s="62"/>
      <c r="T65" s="62"/>
      <c r="U65" s="33"/>
    </row>
    <row r="66" spans="1: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N66" s="33"/>
      <c r="O66" s="62" t="str">
        <f>IFERROR(IFERROR(VLOOKUP(S66,soils2!$A$2:$D$8514,3,FALSE),VLOOKUP(N66,soils2!$B$2:$D$8514,2,FALSE)),"")</f>
        <v/>
      </c>
      <c r="P66" s="62"/>
      <c r="Q66" s="62"/>
      <c r="R66" s="34" t="str">
        <f>IFERROR(VLOOKUP(N66,soils2!$B$2:$D$8514,3),"")</f>
        <v/>
      </c>
      <c r="S66" s="62"/>
      <c r="T66" s="62"/>
      <c r="U66" s="33"/>
    </row>
    <row r="67" spans="1: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N67" s="33"/>
      <c r="O67" s="62" t="str">
        <f>IFERROR(IFERROR(VLOOKUP(S67,soils2!$A$2:$D$8514,3,FALSE),VLOOKUP(N67,soils2!$B$2:$D$8514,2,FALSE)),"")</f>
        <v/>
      </c>
      <c r="P67" s="62"/>
      <c r="Q67" s="62"/>
      <c r="R67" s="34" t="str">
        <f>IFERROR(VLOOKUP(N67,soils2!$B$2:$D$8514,3),"")</f>
        <v/>
      </c>
      <c r="S67" s="62"/>
      <c r="T67" s="62"/>
      <c r="U67" s="33"/>
    </row>
    <row r="68" spans="1: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N68" s="33"/>
      <c r="O68" s="62" t="str">
        <f>IFERROR(IFERROR(VLOOKUP(S68,soils2!$A$2:$D$8514,3,FALSE),VLOOKUP(N68,soils2!$B$2:$D$8514,2,FALSE)),"")</f>
        <v/>
      </c>
      <c r="P68" s="62"/>
      <c r="Q68" s="62"/>
      <c r="R68" s="34" t="str">
        <f>IFERROR(VLOOKUP(N68,soils2!$B$2:$D$8514,3),"")</f>
        <v/>
      </c>
      <c r="S68" s="62"/>
      <c r="T68" s="62"/>
      <c r="U68" s="33"/>
    </row>
    <row r="69" spans="1: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N69" s="33"/>
      <c r="O69" s="62" t="str">
        <f>IFERROR(IFERROR(VLOOKUP(S69,soils2!$A$2:$D$8514,3,FALSE),VLOOKUP(N69,soils2!$B$2:$D$8514,2,FALSE)),"")</f>
        <v/>
      </c>
      <c r="P69" s="62"/>
      <c r="Q69" s="62"/>
      <c r="R69" s="34" t="str">
        <f>IFERROR(VLOOKUP(N69,soils2!$B$2:$D$8514,3),"")</f>
        <v/>
      </c>
      <c r="S69" s="62"/>
      <c r="T69" s="62"/>
      <c r="U69" s="33"/>
    </row>
    <row r="70" spans="1: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N70" s="33"/>
      <c r="O70" s="62" t="str">
        <f>IFERROR(IFERROR(VLOOKUP(S70,soils2!$A$2:$D$8514,3,FALSE),VLOOKUP(N70,soils2!$B$2:$D$8514,2,FALSE)),"")</f>
        <v/>
      </c>
      <c r="P70" s="62"/>
      <c r="Q70" s="62"/>
      <c r="R70" s="34" t="str">
        <f>IFERROR(VLOOKUP(N70,soils2!$B$2:$D$8514,3),"")</f>
        <v/>
      </c>
      <c r="S70" s="62"/>
      <c r="T70" s="62"/>
      <c r="U70" s="33"/>
    </row>
    <row r="71" spans="1: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N71" s="33"/>
      <c r="O71" s="62" t="str">
        <f>IFERROR(IFERROR(VLOOKUP(S71,soils2!$A$2:$D$8514,3,FALSE),VLOOKUP(N71,soils2!$B$2:$D$8514,2,FALSE)),"")</f>
        <v/>
      </c>
      <c r="P71" s="62"/>
      <c r="Q71" s="62"/>
      <c r="R71" s="34" t="str">
        <f>IFERROR(VLOOKUP(N71,soils2!$B$2:$D$8514,3),"")</f>
        <v/>
      </c>
      <c r="S71" s="62"/>
      <c r="T71" s="62"/>
      <c r="U71" s="33"/>
    </row>
    <row r="72" spans="1: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N72" s="33"/>
      <c r="O72" s="62" t="str">
        <f>IFERROR(IFERROR(VLOOKUP(S72,soils2!$A$2:$D$8514,3,FALSE),VLOOKUP(N72,soils2!$B$2:$D$8514,2,FALSE)),"")</f>
        <v/>
      </c>
      <c r="P72" s="62"/>
      <c r="Q72" s="62"/>
      <c r="R72" s="34" t="str">
        <f>IFERROR(VLOOKUP(N72,soils2!$B$2:$D$8514,3),"")</f>
        <v/>
      </c>
      <c r="S72" s="62"/>
      <c r="T72" s="62"/>
      <c r="U72" s="33"/>
    </row>
    <row r="73" spans="1:21">
      <c r="N73" s="33"/>
      <c r="O73" s="62" t="str">
        <f>IFERROR(IFERROR(VLOOKUP(S73,soils2!$A$2:$D$8514,3,FALSE),VLOOKUP(N73,soils2!$B$2:$D$8514,2,FALSE)),"")</f>
        <v/>
      </c>
      <c r="P73" s="62"/>
      <c r="Q73" s="62"/>
      <c r="R73" s="34" t="str">
        <f>IFERROR(VLOOKUP(N73,soils2!$B$2:$D$8514,3),"")</f>
        <v/>
      </c>
      <c r="S73" s="62"/>
      <c r="T73" s="62"/>
      <c r="U73" s="33"/>
    </row>
    <row r="74" spans="1:21">
      <c r="N74" s="33"/>
      <c r="O74" s="62" t="str">
        <f>IFERROR(IFERROR(VLOOKUP(S74,soils2!$A$2:$D$8514,3,FALSE),VLOOKUP(N74,soils2!$B$2:$D$8514,2,FALSE)),"")</f>
        <v/>
      </c>
      <c r="P74" s="62"/>
      <c r="Q74" s="62"/>
      <c r="R74" s="34" t="str">
        <f>IFERROR(VLOOKUP(N74,soils2!$B$2:$D$8514,3),"")</f>
        <v/>
      </c>
      <c r="S74" s="62"/>
      <c r="T74" s="62"/>
      <c r="U74" s="33"/>
    </row>
    <row r="75" spans="1:21">
      <c r="N75" s="33"/>
      <c r="O75" s="62" t="str">
        <f>IFERROR(IFERROR(VLOOKUP(S75,soils2!$A$2:$D$8514,3,FALSE),VLOOKUP(N75,soils2!$B$2:$D$8514,2,FALSE)),"")</f>
        <v/>
      </c>
      <c r="P75" s="62"/>
      <c r="Q75" s="62"/>
      <c r="R75" s="34" t="str">
        <f>IFERROR(VLOOKUP(N75,soils2!$B$2:$D$8514,3),"")</f>
        <v/>
      </c>
      <c r="S75" s="62"/>
      <c r="T75" s="62"/>
      <c r="U75" s="33"/>
    </row>
    <row r="76" spans="1:21">
      <c r="N76" s="33"/>
      <c r="O76" s="62" t="str">
        <f>IFERROR(IFERROR(VLOOKUP(S76,soils2!$A$2:$D$8514,3,FALSE),VLOOKUP(N76,soils2!$B$2:$D$8514,2,FALSE)),"")</f>
        <v/>
      </c>
      <c r="P76" s="62"/>
      <c r="Q76" s="62"/>
      <c r="R76" s="34" t="str">
        <f>IFERROR(VLOOKUP(N76,soils2!$B$2:$D$8514,3),"")</f>
        <v/>
      </c>
      <c r="S76" s="62"/>
      <c r="T76" s="62"/>
      <c r="U76" s="33"/>
    </row>
    <row r="77" spans="1:21">
      <c r="N77" s="33"/>
      <c r="O77" s="62" t="str">
        <f>IFERROR(IFERROR(VLOOKUP(S77,soils2!$A$2:$D$8514,3,FALSE),VLOOKUP(N77,soils2!$B$2:$D$8514,2,FALSE)),"")</f>
        <v/>
      </c>
      <c r="P77" s="62"/>
      <c r="Q77" s="62"/>
      <c r="R77" s="34" t="str">
        <f>IFERROR(VLOOKUP(N77,soils2!$B$2:$D$8514,3),"")</f>
        <v/>
      </c>
      <c r="S77" s="62"/>
      <c r="T77" s="62"/>
      <c r="U77" s="33"/>
    </row>
    <row r="78" spans="1:21">
      <c r="N78" s="33"/>
      <c r="O78" s="62" t="str">
        <f>IFERROR(IFERROR(VLOOKUP(S78,soils2!$A$2:$D$8514,3,FALSE),VLOOKUP(N78,soils2!$B$2:$D$8514,2,FALSE)),"")</f>
        <v/>
      </c>
      <c r="P78" s="62"/>
      <c r="Q78" s="62"/>
      <c r="R78" s="34" t="str">
        <f>IFERROR(VLOOKUP(N78,soils2!$B$2:$D$8514,3),"")</f>
        <v/>
      </c>
      <c r="S78" s="62"/>
      <c r="T78" s="62"/>
      <c r="U78" s="33"/>
    </row>
    <row r="79" spans="1:21">
      <c r="N79" s="33"/>
      <c r="O79" s="62" t="str">
        <f>IFERROR(IFERROR(VLOOKUP(S79,soils2!$A$2:$D$8514,3,FALSE),VLOOKUP(N79,soils2!$B$2:$D$8514,2,FALSE)),"")</f>
        <v/>
      </c>
      <c r="P79" s="62"/>
      <c r="Q79" s="62"/>
      <c r="R79" s="34" t="str">
        <f>IFERROR(VLOOKUP(N79,soils2!$B$2:$D$8514,3),"")</f>
        <v/>
      </c>
      <c r="S79" s="62"/>
      <c r="T79" s="62"/>
      <c r="U79" s="33"/>
    </row>
    <row r="80" spans="1:21">
      <c r="N80" s="33"/>
      <c r="O80" s="62" t="str">
        <f>IFERROR(IFERROR(VLOOKUP(S80,soils2!$A$2:$D$8514,3,FALSE),VLOOKUP(N80,soils2!$B$2:$D$8514,2,FALSE)),"")</f>
        <v/>
      </c>
      <c r="P80" s="62"/>
      <c r="Q80" s="62"/>
      <c r="R80" s="34" t="str">
        <f>IFERROR(VLOOKUP(N80,soils2!$B$2:$D$8514,3),"")</f>
        <v/>
      </c>
      <c r="S80" s="62"/>
      <c r="T80" s="62"/>
      <c r="U80" s="33"/>
    </row>
    <row r="81" spans="14:21">
      <c r="N81" s="33"/>
      <c r="O81" s="62" t="str">
        <f>IFERROR(IFERROR(VLOOKUP(S81,soils2!$A$2:$D$8514,3,FALSE),VLOOKUP(N81,soils2!$B$2:$D$8514,2,FALSE)),"")</f>
        <v/>
      </c>
      <c r="P81" s="62"/>
      <c r="Q81" s="62"/>
      <c r="R81" s="34" t="str">
        <f>IFERROR(VLOOKUP(N81,soils2!$B$2:$D$8514,3),"")</f>
        <v/>
      </c>
      <c r="S81" s="62"/>
      <c r="T81" s="62"/>
      <c r="U81" s="33"/>
    </row>
    <row r="82" spans="14:21">
      <c r="N82" s="33"/>
      <c r="O82" s="62" t="str">
        <f>IFERROR(IFERROR(VLOOKUP(S82,soils2!$A$2:$D$8514,3,FALSE),VLOOKUP(N82,soils2!$B$2:$D$8514,2,FALSE)),"")</f>
        <v/>
      </c>
      <c r="P82" s="62"/>
      <c r="Q82" s="62"/>
      <c r="R82" s="34" t="str">
        <f>IFERROR(VLOOKUP(N82,soils2!$B$2:$D$8514,3),"")</f>
        <v/>
      </c>
      <c r="S82" s="62"/>
      <c r="T82" s="62"/>
      <c r="U82" s="33"/>
    </row>
    <row r="83" spans="14:21">
      <c r="N83" s="33"/>
      <c r="O83" s="62" t="str">
        <f>IFERROR(IFERROR(VLOOKUP(S83,soils2!$A$2:$D$8514,3,FALSE),VLOOKUP(N83,soils2!$B$2:$D$8514,2,FALSE)),"")</f>
        <v/>
      </c>
      <c r="P83" s="62"/>
      <c r="Q83" s="62"/>
      <c r="R83" s="34" t="str">
        <f>IFERROR(VLOOKUP(N83,soils2!$B$2:$D$8514,3),"")</f>
        <v/>
      </c>
      <c r="S83" s="62"/>
      <c r="T83" s="62"/>
      <c r="U83" s="33"/>
    </row>
    <row r="84" spans="14:21">
      <c r="N84" s="33"/>
      <c r="O84" s="62" t="str">
        <f>IFERROR(IFERROR(VLOOKUP(S84,soils2!$A$2:$D$8514,3,FALSE),VLOOKUP(N84,soils2!$B$2:$D$8514,2,FALSE)),"")</f>
        <v/>
      </c>
      <c r="P84" s="62"/>
      <c r="Q84" s="62"/>
      <c r="R84" s="34" t="str">
        <f>IFERROR(VLOOKUP(N84,soils2!$B$2:$D$8514,3),"")</f>
        <v/>
      </c>
      <c r="S84" s="62"/>
      <c r="T84" s="62"/>
      <c r="U84" s="33"/>
    </row>
    <row r="85" spans="14:21">
      <c r="N85" s="33"/>
      <c r="O85" s="62" t="str">
        <f>IFERROR(IFERROR(VLOOKUP(S85,soils2!$A$2:$D$8514,3,FALSE),VLOOKUP(N85,soils2!$B$2:$D$8514,2,FALSE)),"")</f>
        <v/>
      </c>
      <c r="P85" s="62"/>
      <c r="Q85" s="62"/>
      <c r="R85" s="34" t="str">
        <f>IFERROR(VLOOKUP(N85,soils2!$B$2:$D$8514,3),"")</f>
        <v/>
      </c>
      <c r="S85" s="62"/>
      <c r="T85" s="62"/>
      <c r="U85" s="33"/>
    </row>
    <row r="86" spans="14:21">
      <c r="N86" s="33"/>
      <c r="O86" s="62" t="str">
        <f>IFERROR(IFERROR(VLOOKUP(S86,soils2!$A$2:$D$8514,3,FALSE),VLOOKUP(N86,soils2!$B$2:$D$8514,2,FALSE)),"")</f>
        <v/>
      </c>
      <c r="P86" s="62"/>
      <c r="Q86" s="62"/>
      <c r="R86" s="34" t="str">
        <f>IFERROR(VLOOKUP(N86,soils2!$B$2:$D$8514,3),"")</f>
        <v/>
      </c>
      <c r="S86" s="62"/>
      <c r="T86" s="62"/>
      <c r="U86" s="33"/>
    </row>
    <row r="87" spans="14:21">
      <c r="N87" s="33"/>
      <c r="O87" s="62" t="str">
        <f>IFERROR(IFERROR(VLOOKUP(S87,soils2!$A$2:$D$8514,3,FALSE),VLOOKUP(N87,soils2!$B$2:$D$8514,2,FALSE)),"")</f>
        <v/>
      </c>
      <c r="P87" s="62"/>
      <c r="Q87" s="62"/>
      <c r="R87" s="34" t="str">
        <f>IFERROR(VLOOKUP(N87,soils2!$B$2:$D$8514,3),"")</f>
        <v/>
      </c>
      <c r="S87" s="62"/>
      <c r="T87" s="62"/>
      <c r="U87" s="33"/>
    </row>
    <row r="88" spans="14:21">
      <c r="N88" s="33"/>
      <c r="O88" s="62" t="str">
        <f>IFERROR(IFERROR(VLOOKUP(S88,soils2!$A$2:$D$8514,3,FALSE),VLOOKUP(N88,soils2!$B$2:$D$8514,2,FALSE)),"")</f>
        <v/>
      </c>
      <c r="P88" s="62"/>
      <c r="Q88" s="62"/>
      <c r="R88" s="34" t="str">
        <f>IFERROR(VLOOKUP(N88,soils2!$B$2:$D$8514,3),"")</f>
        <v/>
      </c>
      <c r="S88" s="62"/>
      <c r="T88" s="62"/>
      <c r="U88" s="33"/>
    </row>
    <row r="89" spans="14:21">
      <c r="N89" s="33"/>
      <c r="O89" s="62" t="str">
        <f>IFERROR(IFERROR(VLOOKUP(S89,soils2!$A$2:$D$8514,3,FALSE),VLOOKUP(N89,soils2!$B$2:$D$8514,2,FALSE)),"")</f>
        <v/>
      </c>
      <c r="P89" s="62"/>
      <c r="Q89" s="62"/>
      <c r="R89" s="34" t="str">
        <f>IFERROR(VLOOKUP(N89,soils2!$B$2:$D$8514,3),"")</f>
        <v/>
      </c>
      <c r="S89" s="62"/>
      <c r="T89" s="62"/>
      <c r="U89" s="33"/>
    </row>
    <row r="90" spans="14:21">
      <c r="N90" s="33"/>
      <c r="O90" s="62" t="str">
        <f>IFERROR(IFERROR(VLOOKUP(S90,soils2!$A$2:$D$8514,3,FALSE),VLOOKUP(N90,soils2!$B$2:$D$8514,2,FALSE)),"")</f>
        <v/>
      </c>
      <c r="P90" s="62"/>
      <c r="Q90" s="62"/>
      <c r="R90" s="34" t="str">
        <f>IFERROR(VLOOKUP(N90,soils2!$B$2:$D$8514,3),"")</f>
        <v/>
      </c>
      <c r="S90" s="62"/>
      <c r="T90" s="62"/>
      <c r="U90" s="33"/>
    </row>
    <row r="91" spans="14:21">
      <c r="N91" s="33"/>
      <c r="O91" s="62" t="str">
        <f>IFERROR(IFERROR(VLOOKUP(S91,soils2!$A$2:$D$8514,3,FALSE),VLOOKUP(N91,soils2!$B$2:$D$8514,2,FALSE)),"")</f>
        <v/>
      </c>
      <c r="P91" s="62"/>
      <c r="Q91" s="62"/>
      <c r="R91" s="34" t="str">
        <f>IFERROR(VLOOKUP(N91,soils2!$B$2:$D$8514,3),"")</f>
        <v/>
      </c>
      <c r="S91" s="62"/>
      <c r="T91" s="62"/>
      <c r="U91" s="33"/>
    </row>
    <row r="92" spans="14:21">
      <c r="N92" s="33"/>
      <c r="O92" s="62" t="str">
        <f>IFERROR(IFERROR(VLOOKUP(S92,soils2!$A$2:$D$8514,3,FALSE),VLOOKUP(N92,soils2!$B$2:$D$8514,2,FALSE)),"")</f>
        <v/>
      </c>
      <c r="P92" s="62"/>
      <c r="Q92" s="62"/>
      <c r="R92" s="34" t="str">
        <f>IFERROR(VLOOKUP(N92,soils2!$B$2:$D$8514,3),"")</f>
        <v/>
      </c>
      <c r="S92" s="62"/>
      <c r="T92" s="62"/>
      <c r="U92" s="33"/>
    </row>
    <row r="93" spans="14:21">
      <c r="N93" s="33"/>
      <c r="O93" s="62" t="str">
        <f>IFERROR(IFERROR(VLOOKUP(S93,soils2!$A$2:$D$8514,3,FALSE),VLOOKUP(N93,soils2!$B$2:$D$8514,2,FALSE)),"")</f>
        <v/>
      </c>
      <c r="P93" s="62"/>
      <c r="Q93" s="62"/>
      <c r="R93" s="34" t="str">
        <f>IFERROR(VLOOKUP(N93,soils2!$B$2:$D$8514,3),"")</f>
        <v/>
      </c>
      <c r="S93" s="62"/>
      <c r="T93" s="62"/>
      <c r="U93" s="33"/>
    </row>
    <row r="94" spans="14:21">
      <c r="N94" s="33"/>
      <c r="O94" s="62" t="str">
        <f>IFERROR(IFERROR(VLOOKUP(S94,soils2!$A$2:$D$8514,3,FALSE),VLOOKUP(N94,soils2!$B$2:$D$8514,2,FALSE)),"")</f>
        <v/>
      </c>
      <c r="P94" s="62"/>
      <c r="Q94" s="62"/>
      <c r="R94" s="34" t="str">
        <f>IFERROR(VLOOKUP(N94,soils2!$B$2:$D$8514,3),"")</f>
        <v/>
      </c>
      <c r="S94" s="62"/>
      <c r="T94" s="62"/>
      <c r="U94" s="33"/>
    </row>
    <row r="95" spans="14:21">
      <c r="N95" s="33"/>
      <c r="O95" s="62" t="str">
        <f>IFERROR(IFERROR(VLOOKUP(S95,soils2!$A$2:$D$8514,3,FALSE),VLOOKUP(N95,soils2!$B$2:$D$8514,2,FALSE)),"")</f>
        <v/>
      </c>
      <c r="P95" s="62"/>
      <c r="Q95" s="62"/>
      <c r="R95" s="34" t="str">
        <f>IFERROR(VLOOKUP(N95,soils2!$B$2:$D$8514,3),"")</f>
        <v/>
      </c>
      <c r="S95" s="62"/>
      <c r="T95" s="62"/>
      <c r="U95" s="33"/>
    </row>
    <row r="96" spans="14:21">
      <c r="N96" s="33"/>
      <c r="O96" s="62" t="str">
        <f>IFERROR(IFERROR(VLOOKUP(S96,soils2!$A$2:$D$8514,3,FALSE),VLOOKUP(N96,soils2!$B$2:$D$8514,2,FALSE)),"")</f>
        <v/>
      </c>
      <c r="P96" s="62"/>
      <c r="Q96" s="62"/>
      <c r="R96" s="34" t="str">
        <f>IFERROR(VLOOKUP(N96,soils2!$B$2:$D$8514,3),"")</f>
        <v/>
      </c>
      <c r="S96" s="62"/>
      <c r="T96" s="62"/>
      <c r="U96" s="33"/>
    </row>
    <row r="97" spans="14:21">
      <c r="N97" s="33"/>
      <c r="O97" s="62" t="str">
        <f>IFERROR(IFERROR(VLOOKUP(S97,soils2!$A$2:$D$8514,3,FALSE),VLOOKUP(N97,soils2!$B$2:$D$8514,2,FALSE)),"")</f>
        <v/>
      </c>
      <c r="P97" s="62"/>
      <c r="Q97" s="62"/>
      <c r="R97" s="34" t="str">
        <f>IFERROR(VLOOKUP(N97,soils2!$B$2:$D$8514,3),"")</f>
        <v/>
      </c>
      <c r="S97" s="62"/>
      <c r="T97" s="62"/>
      <c r="U97" s="33"/>
    </row>
    <row r="98" spans="14:21">
      <c r="N98" s="33"/>
      <c r="O98" s="62" t="str">
        <f>IFERROR(IFERROR(VLOOKUP(S98,soils2!$A$2:$D$8514,3,FALSE),VLOOKUP(N98,soils2!$B$2:$D$8514,2,FALSE)),"")</f>
        <v/>
      </c>
      <c r="P98" s="62"/>
      <c r="Q98" s="62"/>
      <c r="R98" s="34" t="str">
        <f>IFERROR(VLOOKUP(N98,soils2!$B$2:$D$8514,3),"")</f>
        <v/>
      </c>
      <c r="S98" s="62"/>
      <c r="T98" s="62"/>
      <c r="U98" s="33"/>
    </row>
    <row r="99" spans="14:21">
      <c r="N99" s="33"/>
      <c r="O99" s="62" t="str">
        <f>IFERROR(IFERROR(VLOOKUP(S99,soils2!$A$2:$D$8514,3,FALSE),VLOOKUP(N99,soils2!$B$2:$D$8514,2,FALSE)),"")</f>
        <v/>
      </c>
      <c r="P99" s="62"/>
      <c r="Q99" s="62"/>
      <c r="R99" s="34" t="str">
        <f>IFERROR(VLOOKUP(N99,soils2!$B$2:$D$8514,3),"")</f>
        <v/>
      </c>
      <c r="S99" s="62"/>
      <c r="T99" s="62"/>
      <c r="U99" s="33"/>
    </row>
    <row r="100" spans="14:21">
      <c r="N100" s="33"/>
      <c r="O100" s="62" t="str">
        <f>IFERROR(IFERROR(VLOOKUP(S100,soils2!$A$2:$D$8514,3,FALSE),VLOOKUP(N100,soils2!$B$2:$D$8514,2,FALSE)),"")</f>
        <v/>
      </c>
      <c r="P100" s="62"/>
      <c r="Q100" s="62"/>
      <c r="R100" s="34" t="str">
        <f>IFERROR(VLOOKUP(N100,soils2!$B$2:$D$8514,3),"")</f>
        <v/>
      </c>
      <c r="S100" s="62"/>
      <c r="T100" s="62"/>
      <c r="U100" s="33"/>
    </row>
    <row r="101" spans="14:21">
      <c r="N101" s="33"/>
      <c r="O101" s="62" t="str">
        <f>IFERROR(IFERROR(VLOOKUP(S101,soils2!$A$2:$D$8514,3,FALSE),VLOOKUP(N101,soils2!$B$2:$D$8514,2,FALSE)),"")</f>
        <v/>
      </c>
      <c r="P101" s="62"/>
      <c r="Q101" s="62"/>
      <c r="R101" s="34" t="str">
        <f>IFERROR(VLOOKUP(N101,soils2!$B$2:$D$8514,3),"")</f>
        <v/>
      </c>
      <c r="S101" s="62"/>
      <c r="T101" s="62"/>
      <c r="U101" s="33"/>
    </row>
    <row r="102" spans="14:21">
      <c r="N102" s="33"/>
      <c r="O102" s="62" t="str">
        <f>IFERROR(IFERROR(VLOOKUP(S102,soils2!$A$2:$D$8514,3,FALSE),VLOOKUP(N102,soils2!$B$2:$D$8514,2,FALSE)),"")</f>
        <v/>
      </c>
      <c r="P102" s="62"/>
      <c r="Q102" s="62"/>
      <c r="R102" s="34" t="str">
        <f>IFERROR(VLOOKUP(N102,soils2!$B$2:$D$8514,3),"")</f>
        <v/>
      </c>
      <c r="S102" s="62"/>
      <c r="T102" s="62"/>
      <c r="U102" s="33"/>
    </row>
    <row r="103" spans="14:21">
      <c r="N103" s="33"/>
      <c r="O103" s="62" t="str">
        <f>IFERROR(IFERROR(VLOOKUP(S103,soils2!$A$2:$D$8514,3,FALSE),VLOOKUP(N103,soils2!$B$2:$D$8514,2,FALSE)),"")</f>
        <v/>
      </c>
      <c r="P103" s="62"/>
      <c r="Q103" s="62"/>
      <c r="R103" s="34" t="str">
        <f>IFERROR(VLOOKUP(N103,soils2!$B$2:$D$8514,3),"")</f>
        <v/>
      </c>
      <c r="S103" s="62"/>
      <c r="T103" s="62"/>
      <c r="U103" s="33"/>
    </row>
    <row r="104" spans="14:21">
      <c r="N104" s="33"/>
      <c r="O104" s="62" t="str">
        <f>IFERROR(IFERROR(VLOOKUP(S104,soils2!$A$2:$D$8514,3,FALSE),VLOOKUP(N104,soils2!$B$2:$D$8514,2,FALSE)),"")</f>
        <v/>
      </c>
      <c r="P104" s="62"/>
      <c r="Q104" s="62"/>
      <c r="R104" s="34" t="str">
        <f>IFERROR(VLOOKUP(N104,soils2!$B$2:$D$8514,3),"")</f>
        <v/>
      </c>
      <c r="S104" s="62"/>
      <c r="T104" s="62"/>
      <c r="U104" s="33"/>
    </row>
    <row r="105" spans="14:21">
      <c r="N105" s="33"/>
      <c r="O105" s="62" t="str">
        <f>IFERROR(IFERROR(VLOOKUP(S105,soils2!$A$2:$D$8514,3,FALSE),VLOOKUP(N105,soils2!$B$2:$D$8514,2,FALSE)),"")</f>
        <v/>
      </c>
      <c r="P105" s="62"/>
      <c r="Q105" s="62"/>
      <c r="R105" s="34" t="str">
        <f>IFERROR(VLOOKUP(N105,soils2!$B$2:$D$8514,3),"")</f>
        <v/>
      </c>
      <c r="S105" s="62"/>
      <c r="T105" s="62"/>
      <c r="U105" s="33"/>
    </row>
    <row r="106" spans="14:21">
      <c r="N106" s="33"/>
      <c r="O106" s="62" t="str">
        <f>IFERROR(IFERROR(VLOOKUP(S106,soils2!$A$2:$D$8514,3,FALSE),VLOOKUP(N106,soils2!$B$2:$D$8514,2,FALSE)),"")</f>
        <v/>
      </c>
      <c r="P106" s="62"/>
      <c r="Q106" s="62"/>
      <c r="R106" s="34" t="str">
        <f>IFERROR(VLOOKUP(N106,soils2!$B$2:$D$8514,3),"")</f>
        <v/>
      </c>
      <c r="S106" s="62"/>
      <c r="T106" s="62"/>
      <c r="U106" s="33"/>
    </row>
    <row r="107" spans="14:21">
      <c r="N107" s="33"/>
      <c r="O107" s="62" t="str">
        <f>IFERROR(IFERROR(VLOOKUP(S107,soils2!$A$2:$D$8514,3,FALSE),VLOOKUP(N107,soils2!$B$2:$D$8514,2,FALSE)),"")</f>
        <v/>
      </c>
      <c r="P107" s="62"/>
      <c r="Q107" s="62"/>
      <c r="R107" s="34" t="str">
        <f>IFERROR(VLOOKUP(N107,soils2!$B$2:$D$8514,3),"")</f>
        <v/>
      </c>
      <c r="S107" s="62"/>
      <c r="T107" s="62"/>
      <c r="U107" s="33"/>
    </row>
    <row r="108" spans="14:21">
      <c r="N108" s="33"/>
      <c r="O108" s="62" t="str">
        <f>IFERROR(IFERROR(VLOOKUP(S108,soils2!$A$2:$D$8514,3,FALSE),VLOOKUP(N108,soils2!$B$2:$D$8514,2,FALSE)),"")</f>
        <v/>
      </c>
      <c r="P108" s="62"/>
      <c r="Q108" s="62"/>
      <c r="R108" s="34" t="str">
        <f>IFERROR(VLOOKUP(N108,soils2!$B$2:$D$8514,3),"")</f>
        <v/>
      </c>
      <c r="S108" s="62"/>
      <c r="T108" s="62"/>
      <c r="U108" s="33"/>
    </row>
    <row r="109" spans="14:21">
      <c r="N109" s="33"/>
      <c r="O109" s="62" t="str">
        <f>IFERROR(IFERROR(VLOOKUP(S109,soils2!$A$2:$D$8514,3,FALSE),VLOOKUP(N109,soils2!$B$2:$D$8514,2,FALSE)),"")</f>
        <v/>
      </c>
      <c r="P109" s="62"/>
      <c r="Q109" s="62"/>
      <c r="R109" s="34" t="str">
        <f>IFERROR(VLOOKUP(N109,soils2!$B$2:$D$8514,3),"")</f>
        <v/>
      </c>
      <c r="S109" s="62"/>
      <c r="T109" s="62"/>
      <c r="U109" s="33"/>
    </row>
    <row r="110" spans="14:21">
      <c r="N110" s="33"/>
      <c r="O110" s="62" t="str">
        <f>IFERROR(IFERROR(VLOOKUP(S110,soils2!$A$2:$D$8514,3,FALSE),VLOOKUP(N110,soils2!$B$2:$D$8514,2,FALSE)),"")</f>
        <v/>
      </c>
      <c r="P110" s="62"/>
      <c r="Q110" s="62"/>
      <c r="R110" s="34" t="str">
        <f>IFERROR(VLOOKUP(N110,soils2!$B$2:$D$8514,3),"")</f>
        <v/>
      </c>
      <c r="S110" s="62"/>
      <c r="T110" s="62"/>
      <c r="U110" s="33"/>
    </row>
    <row r="111" spans="14:21">
      <c r="N111" s="33"/>
      <c r="O111" s="62" t="str">
        <f>IFERROR(IFERROR(VLOOKUP(S111,soils2!$A$2:$D$8514,3,FALSE),VLOOKUP(N111,soils2!$B$2:$D$8514,2,FALSE)),"")</f>
        <v/>
      </c>
      <c r="P111" s="62"/>
      <c r="Q111" s="62"/>
      <c r="R111" s="34" t="str">
        <f>IFERROR(VLOOKUP(N111,soils2!$B$2:$D$8514,3),"")</f>
        <v/>
      </c>
      <c r="S111" s="62"/>
      <c r="T111" s="62"/>
      <c r="U111" s="33"/>
    </row>
    <row r="112" spans="14:21">
      <c r="N112" s="33"/>
      <c r="O112" s="62" t="str">
        <f>IFERROR(IFERROR(VLOOKUP(S112,soils2!$A$2:$D$8514,3,FALSE),VLOOKUP(N112,soils2!$B$2:$D$8514,2,FALSE)),"")</f>
        <v/>
      </c>
      <c r="P112" s="62"/>
      <c r="Q112" s="62"/>
      <c r="R112" s="34" t="str">
        <f>IFERROR(VLOOKUP(N112,soils2!$B$2:$D$8514,3),"")</f>
        <v/>
      </c>
      <c r="S112" s="62"/>
      <c r="T112" s="62"/>
      <c r="U112" s="33"/>
    </row>
    <row r="113" spans="14:21">
      <c r="N113" s="33"/>
      <c r="O113" s="62" t="str">
        <f>IFERROR(IFERROR(VLOOKUP(S113,soils2!$A$2:$D$8514,3,FALSE),VLOOKUP(N113,soils2!$B$2:$D$8514,2,FALSE)),"")</f>
        <v/>
      </c>
      <c r="P113" s="62"/>
      <c r="Q113" s="62"/>
      <c r="R113" s="34" t="str">
        <f>IFERROR(VLOOKUP(N113,soils2!$B$2:$D$8514,3),"")</f>
        <v/>
      </c>
      <c r="S113" s="62"/>
      <c r="T113" s="62"/>
      <c r="U113" s="33"/>
    </row>
    <row r="114" spans="14:21">
      <c r="N114" s="33"/>
      <c r="O114" s="62" t="str">
        <f>IFERROR(IFERROR(VLOOKUP(S114,soils2!$A$2:$D$8514,3,FALSE),VLOOKUP(N114,soils2!$B$2:$D$8514,2,FALSE)),"")</f>
        <v/>
      </c>
      <c r="P114" s="62"/>
      <c r="Q114" s="62"/>
      <c r="R114" s="34" t="str">
        <f>IFERROR(VLOOKUP(N114,soils2!$B$2:$D$8514,3),"")</f>
        <v/>
      </c>
      <c r="S114" s="62"/>
      <c r="T114" s="62"/>
      <c r="U114" s="33"/>
    </row>
    <row r="115" spans="14:21">
      <c r="N115" s="33"/>
      <c r="O115" s="62" t="str">
        <f>IFERROR(IFERROR(VLOOKUP(S115,soils2!$A$2:$D$8514,3,FALSE),VLOOKUP(N115,soils2!$B$2:$D$8514,2,FALSE)),"")</f>
        <v/>
      </c>
      <c r="P115" s="62"/>
      <c r="Q115" s="62"/>
      <c r="R115" s="34" t="str">
        <f>IFERROR(VLOOKUP(N115,soils2!$B$2:$D$8514,3),"")</f>
        <v/>
      </c>
      <c r="S115" s="62"/>
      <c r="T115" s="62"/>
      <c r="U115" s="33"/>
    </row>
    <row r="116" spans="14:21">
      <c r="N116" s="33"/>
      <c r="O116" s="62" t="str">
        <f>IFERROR(IFERROR(VLOOKUP(S116,soils2!$A$2:$D$8514,3,FALSE),VLOOKUP(N116,soils2!$B$2:$D$8514,2,FALSE)),"")</f>
        <v/>
      </c>
      <c r="P116" s="62"/>
      <c r="Q116" s="62"/>
      <c r="R116" s="34" t="str">
        <f>IFERROR(VLOOKUP(N116,soils2!$B$2:$D$8514,3),"")</f>
        <v/>
      </c>
      <c r="S116" s="62"/>
      <c r="T116" s="62"/>
      <c r="U116" s="33"/>
    </row>
    <row r="117" spans="14:21">
      <c r="N117" s="33"/>
      <c r="O117" s="62" t="str">
        <f>IFERROR(IFERROR(VLOOKUP(S117,soils2!$A$2:$D$8514,3,FALSE),VLOOKUP(N117,soils2!$B$2:$D$8514,2,FALSE)),"")</f>
        <v/>
      </c>
      <c r="P117" s="62"/>
      <c r="Q117" s="62"/>
      <c r="R117" s="34" t="str">
        <f>IFERROR(VLOOKUP(N117,soils2!$B$2:$D$8514,3),"")</f>
        <v/>
      </c>
      <c r="S117" s="62"/>
      <c r="T117" s="62"/>
      <c r="U117" s="33"/>
    </row>
    <row r="118" spans="14:21">
      <c r="N118" s="33"/>
      <c r="O118" s="62" t="str">
        <f>IFERROR(IFERROR(VLOOKUP(S118,soils2!$A$2:$D$8514,3,FALSE),VLOOKUP(N118,soils2!$B$2:$D$8514,2,FALSE)),"")</f>
        <v/>
      </c>
      <c r="P118" s="62"/>
      <c r="Q118" s="62"/>
      <c r="R118" s="34" t="str">
        <f>IFERROR(VLOOKUP(N118,soils2!$B$2:$D$8514,3),"")</f>
        <v/>
      </c>
      <c r="S118" s="62"/>
      <c r="T118" s="62"/>
      <c r="U118" s="33"/>
    </row>
    <row r="119" spans="14:21">
      <c r="N119" s="33"/>
      <c r="O119" s="62" t="str">
        <f>IFERROR(IFERROR(VLOOKUP(S119,soils2!$A$2:$D$8514,3,FALSE),VLOOKUP(N119,soils2!$B$2:$D$8514,2,FALSE)),"")</f>
        <v/>
      </c>
      <c r="P119" s="62"/>
      <c r="Q119" s="62"/>
      <c r="R119" s="34" t="str">
        <f>IFERROR(VLOOKUP(N119,soils2!$B$2:$D$8514,3),"")</f>
        <v/>
      </c>
      <c r="S119" s="62"/>
      <c r="T119" s="62"/>
      <c r="U119" s="33"/>
    </row>
    <row r="120" spans="14:21">
      <c r="N120" s="33"/>
      <c r="O120" s="62" t="str">
        <f>IFERROR(IFERROR(VLOOKUP(S120,soils2!$A$2:$D$8514,3,FALSE),VLOOKUP(N120,soils2!$B$2:$D$8514,2,FALSE)),"")</f>
        <v/>
      </c>
      <c r="P120" s="62"/>
      <c r="Q120" s="62"/>
      <c r="R120" s="34" t="str">
        <f>IFERROR(VLOOKUP(N120,soils2!$B$2:$D$8514,3),"")</f>
        <v/>
      </c>
      <c r="S120" s="62"/>
      <c r="T120" s="62"/>
      <c r="U120" s="33"/>
    </row>
    <row r="121" spans="14:21">
      <c r="N121" s="33"/>
      <c r="O121" s="62" t="str">
        <f>IFERROR(IFERROR(VLOOKUP(S121,soils2!$A$2:$D$8514,3,FALSE),VLOOKUP(N121,soils2!$B$2:$D$8514,2,FALSE)),"")</f>
        <v/>
      </c>
      <c r="P121" s="62"/>
      <c r="Q121" s="62"/>
      <c r="R121" s="34" t="str">
        <f>IFERROR(VLOOKUP(N121,soils2!$B$2:$D$8514,3),"")</f>
        <v/>
      </c>
      <c r="S121" s="62"/>
      <c r="T121" s="62"/>
      <c r="U121" s="33"/>
    </row>
    <row r="122" spans="14:21">
      <c r="N122" s="33"/>
      <c r="O122" s="62" t="str">
        <f>IFERROR(IFERROR(VLOOKUP(S122,soils2!$A$2:$D$8514,3,FALSE),VLOOKUP(N122,soils2!$B$2:$D$8514,2,FALSE)),"")</f>
        <v/>
      </c>
      <c r="P122" s="62"/>
      <c r="Q122" s="62"/>
      <c r="R122" s="34" t="str">
        <f>IFERROR(VLOOKUP(N122,soils2!$B$2:$D$8514,3),"")</f>
        <v/>
      </c>
      <c r="S122" s="62"/>
      <c r="T122" s="62"/>
      <c r="U122" s="33"/>
    </row>
    <row r="123" spans="14:21">
      <c r="N123" s="33"/>
      <c r="O123" s="62" t="str">
        <f>IFERROR(IFERROR(VLOOKUP(S123,soils2!$A$2:$D$8514,3,FALSE),VLOOKUP(N123,soils2!$B$2:$D$8514,2,FALSE)),"")</f>
        <v/>
      </c>
      <c r="P123" s="62"/>
      <c r="Q123" s="62"/>
      <c r="R123" s="34" t="str">
        <f>IFERROR(VLOOKUP(N123,soils2!$B$2:$D$8514,3),"")</f>
        <v/>
      </c>
      <c r="S123" s="62"/>
      <c r="T123" s="62"/>
      <c r="U123" s="33"/>
    </row>
    <row r="124" spans="14:21">
      <c r="N124" s="33"/>
      <c r="O124" s="62" t="str">
        <f>IFERROR(IFERROR(VLOOKUP(S124,soils2!$A$2:$D$8514,3,FALSE),VLOOKUP(N124,soils2!$B$2:$D$8514,2,FALSE)),"")</f>
        <v/>
      </c>
      <c r="P124" s="62"/>
      <c r="Q124" s="62"/>
      <c r="R124" s="34" t="str">
        <f>IFERROR(VLOOKUP(N124,soils2!$B$2:$D$8514,3),"")</f>
        <v/>
      </c>
      <c r="S124" s="62"/>
      <c r="T124" s="62"/>
      <c r="U124" s="33"/>
    </row>
    <row r="125" spans="14:21">
      <c r="N125" s="33"/>
      <c r="O125" s="62" t="str">
        <f>IFERROR(IFERROR(VLOOKUP(S125,soils2!$A$2:$D$8514,3,FALSE),VLOOKUP(N125,soils2!$B$2:$D$8514,2,FALSE)),"")</f>
        <v/>
      </c>
      <c r="P125" s="62"/>
      <c r="Q125" s="62"/>
      <c r="R125" s="34" t="str">
        <f>IFERROR(VLOOKUP(N125,soils2!$B$2:$D$8514,3),"")</f>
        <v/>
      </c>
      <c r="S125" s="62"/>
      <c r="T125" s="62"/>
      <c r="U125" s="33"/>
    </row>
    <row r="126" spans="14:21">
      <c r="N126" s="33"/>
      <c r="O126" s="62" t="str">
        <f>IFERROR(IFERROR(VLOOKUP(S126,soils2!$A$2:$D$8514,3,FALSE),VLOOKUP(N126,soils2!$B$2:$D$8514,2,FALSE)),"")</f>
        <v/>
      </c>
      <c r="P126" s="62"/>
      <c r="Q126" s="62"/>
      <c r="R126" s="34" t="str">
        <f>IFERROR(VLOOKUP(N126,soils2!$B$2:$D$8514,3),"")</f>
        <v/>
      </c>
      <c r="S126" s="62"/>
      <c r="T126" s="62"/>
      <c r="U126" s="33"/>
    </row>
    <row r="127" spans="14:21">
      <c r="N127" s="33"/>
      <c r="O127" s="62" t="str">
        <f>IFERROR(IFERROR(VLOOKUP(S127,soils2!$A$2:$D$8514,3,FALSE),VLOOKUP(N127,soils2!$B$2:$D$8514,2,FALSE)),"")</f>
        <v/>
      </c>
      <c r="P127" s="62"/>
      <c r="Q127" s="62"/>
      <c r="R127" s="34" t="str">
        <f>IFERROR(VLOOKUP(N127,soils2!$B$2:$D$8514,3),"")</f>
        <v/>
      </c>
      <c r="S127" s="62"/>
      <c r="T127" s="62"/>
      <c r="U127" s="33"/>
    </row>
    <row r="128" spans="14:21">
      <c r="N128" s="33"/>
      <c r="O128" s="62" t="str">
        <f>IFERROR(IFERROR(VLOOKUP(S128,soils2!$A$2:$D$8514,3,FALSE),VLOOKUP(N128,soils2!$B$2:$D$8514,2,FALSE)),"")</f>
        <v/>
      </c>
      <c r="P128" s="62"/>
      <c r="Q128" s="62"/>
      <c r="R128" s="34" t="str">
        <f>IFERROR(VLOOKUP(N128,soils2!$B$2:$D$8514,3),"")</f>
        <v/>
      </c>
      <c r="S128" s="62"/>
      <c r="T128" s="62"/>
      <c r="U128" s="33"/>
    </row>
    <row r="129" spans="14:21">
      <c r="N129" s="33"/>
      <c r="O129" s="62" t="str">
        <f>IFERROR(IFERROR(VLOOKUP(S129,soils2!$A$2:$D$8514,3,FALSE),VLOOKUP(N129,soils2!$B$2:$D$8514,2,FALSE)),"")</f>
        <v/>
      </c>
      <c r="P129" s="62"/>
      <c r="Q129" s="62"/>
      <c r="R129" s="34" t="str">
        <f>IFERROR(VLOOKUP(N129,soils2!$B$2:$D$8514,3),"")</f>
        <v/>
      </c>
      <c r="S129" s="62"/>
      <c r="T129" s="62"/>
      <c r="U129" s="33"/>
    </row>
    <row r="130" spans="14:21">
      <c r="N130" s="33"/>
      <c r="O130" s="62" t="str">
        <f>IFERROR(IFERROR(VLOOKUP(S130,soils2!$A$2:$D$8514,3,FALSE),VLOOKUP(N130,soils2!$B$2:$D$8514,2,FALSE)),"")</f>
        <v/>
      </c>
      <c r="P130" s="62"/>
      <c r="Q130" s="62"/>
      <c r="R130" s="34" t="str">
        <f>IFERROR(VLOOKUP(N130,soils2!$B$2:$D$8514,3),"")</f>
        <v/>
      </c>
      <c r="S130" s="62"/>
      <c r="T130" s="62"/>
      <c r="U130" s="33"/>
    </row>
    <row r="131" spans="14:21">
      <c r="N131" s="33"/>
      <c r="O131" s="62" t="str">
        <f>IFERROR(IFERROR(VLOOKUP(S131,soils2!$A$2:$D$8514,3,FALSE),VLOOKUP(N131,soils2!$B$2:$D$8514,2,FALSE)),"")</f>
        <v/>
      </c>
      <c r="P131" s="62"/>
      <c r="Q131" s="62"/>
      <c r="R131" s="34" t="str">
        <f>IFERROR(VLOOKUP(N131,soils2!$B$2:$D$8514,3),"")</f>
        <v/>
      </c>
      <c r="S131" s="62"/>
      <c r="T131" s="62"/>
      <c r="U131" s="33"/>
    </row>
    <row r="132" spans="14:21">
      <c r="N132" s="33"/>
      <c r="O132" s="62" t="str">
        <f>IFERROR(IFERROR(VLOOKUP(S132,soils2!$A$2:$D$8514,3,FALSE),VLOOKUP(N132,soils2!$B$2:$D$8514,2,FALSE)),"")</f>
        <v/>
      </c>
      <c r="P132" s="62"/>
      <c r="Q132" s="62"/>
      <c r="R132" s="34" t="str">
        <f>IFERROR(VLOOKUP(N132,soils2!$B$2:$D$8514,3),"")</f>
        <v/>
      </c>
      <c r="S132" s="62"/>
      <c r="T132" s="62"/>
      <c r="U132" s="33"/>
    </row>
    <row r="133" spans="14:21">
      <c r="N133" s="33"/>
      <c r="O133" s="62" t="str">
        <f>IFERROR(IFERROR(VLOOKUP(S133,soils2!$A$2:$D$8514,3,FALSE),VLOOKUP(N133,soils2!$B$2:$D$8514,2,FALSE)),"")</f>
        <v/>
      </c>
      <c r="P133" s="62"/>
      <c r="Q133" s="62"/>
      <c r="R133" s="34" t="str">
        <f>IFERROR(VLOOKUP(N133,soils2!$B$2:$D$8514,3),"")</f>
        <v/>
      </c>
      <c r="S133" s="62"/>
      <c r="T133" s="62"/>
      <c r="U133" s="33"/>
    </row>
    <row r="134" spans="14:21">
      <c r="N134" s="33"/>
      <c r="O134" s="62" t="str">
        <f>IFERROR(IFERROR(VLOOKUP(S134,soils2!$A$2:$D$8514,3,FALSE),VLOOKUP(N134,soils2!$B$2:$D$8514,2,FALSE)),"")</f>
        <v/>
      </c>
      <c r="P134" s="62"/>
      <c r="Q134" s="62"/>
      <c r="R134" s="34" t="str">
        <f>IFERROR(VLOOKUP(N134,soils2!$B$2:$D$8514,3),"")</f>
        <v/>
      </c>
      <c r="S134" s="62"/>
      <c r="T134" s="62"/>
      <c r="U134" s="33"/>
    </row>
    <row r="135" spans="14:21">
      <c r="N135" s="33"/>
      <c r="O135" s="62" t="str">
        <f>IFERROR(IFERROR(VLOOKUP(S135,soils2!$A$2:$D$8514,3,FALSE),VLOOKUP(N135,soils2!$B$2:$D$8514,2,FALSE)),"")</f>
        <v/>
      </c>
      <c r="P135" s="62"/>
      <c r="Q135" s="62"/>
      <c r="R135" s="34" t="str">
        <f>IFERROR(VLOOKUP(N135,soils2!$B$2:$D$8514,3),"")</f>
        <v/>
      </c>
      <c r="S135" s="62"/>
      <c r="T135" s="62"/>
      <c r="U135" s="33"/>
    </row>
    <row r="136" spans="14:21">
      <c r="N136" s="33"/>
      <c r="O136" s="62" t="str">
        <f>IFERROR(IFERROR(VLOOKUP(S136,soils2!$A$2:$D$8514,3,FALSE),VLOOKUP(N136,soils2!$B$2:$D$8514,2,FALSE)),"")</f>
        <v/>
      </c>
      <c r="P136" s="62"/>
      <c r="Q136" s="62"/>
      <c r="R136" s="34" t="str">
        <f>IFERROR(VLOOKUP(N136,soils2!$B$2:$D$8514,3),"")</f>
        <v/>
      </c>
      <c r="S136" s="62"/>
      <c r="T136" s="62"/>
      <c r="U136" s="33"/>
    </row>
    <row r="137" spans="14:21">
      <c r="N137" s="33"/>
      <c r="O137" s="62" t="str">
        <f>IFERROR(IFERROR(VLOOKUP(S137,soils2!$A$2:$D$8514,3,FALSE),VLOOKUP(N137,soils2!$B$2:$D$8514,2,FALSE)),"")</f>
        <v/>
      </c>
      <c r="P137" s="62"/>
      <c r="Q137" s="62"/>
      <c r="R137" s="34" t="str">
        <f>IFERROR(VLOOKUP(N137,soils2!$B$2:$D$8514,3),"")</f>
        <v/>
      </c>
      <c r="S137" s="62"/>
      <c r="T137" s="62"/>
      <c r="U137" s="33"/>
    </row>
    <row r="138" spans="14:21">
      <c r="N138" s="33"/>
      <c r="O138" s="62" t="str">
        <f>IFERROR(IFERROR(VLOOKUP(S138,soils2!$A$2:$D$8514,3,FALSE),VLOOKUP(N138,soils2!$B$2:$D$8514,2,FALSE)),"")</f>
        <v/>
      </c>
      <c r="P138" s="62"/>
      <c r="Q138" s="62"/>
      <c r="R138" s="34" t="str">
        <f>IFERROR(VLOOKUP(N138,soils2!$B$2:$D$8514,3),"")</f>
        <v/>
      </c>
      <c r="S138" s="62"/>
      <c r="T138" s="62"/>
      <c r="U138" s="33"/>
    </row>
    <row r="139" spans="14:21">
      <c r="N139" s="33"/>
      <c r="O139" s="62" t="str">
        <f>IFERROR(IFERROR(VLOOKUP(S139,soils2!$A$2:$D$8514,3,FALSE),VLOOKUP(N139,soils2!$B$2:$D$8514,2,FALSE)),"")</f>
        <v/>
      </c>
      <c r="P139" s="62"/>
      <c r="Q139" s="62"/>
      <c r="R139" s="34" t="str">
        <f>IFERROR(VLOOKUP(N139,soils2!$B$2:$D$8514,3),"")</f>
        <v/>
      </c>
      <c r="S139" s="62"/>
      <c r="T139" s="62"/>
      <c r="U139" s="33"/>
    </row>
    <row r="140" spans="14:21">
      <c r="N140" s="33"/>
      <c r="O140" s="62" t="str">
        <f>IFERROR(IFERROR(VLOOKUP(S140,soils2!$A$2:$D$8514,3,FALSE),VLOOKUP(N140,soils2!$B$2:$D$8514,2,FALSE)),"")</f>
        <v/>
      </c>
      <c r="P140" s="62"/>
      <c r="Q140" s="62"/>
      <c r="R140" s="34" t="str">
        <f>IFERROR(VLOOKUP(N140,soils2!$B$2:$D$8514,3),"")</f>
        <v/>
      </c>
      <c r="S140" s="62"/>
      <c r="T140" s="62"/>
      <c r="U140" s="33"/>
    </row>
    <row r="141" spans="14:21">
      <c r="N141" s="33"/>
      <c r="O141" s="62" t="str">
        <f>IFERROR(IFERROR(VLOOKUP(S141,soils2!$A$2:$D$8514,3,FALSE),VLOOKUP(N141,soils2!$B$2:$D$8514,2,FALSE)),"")</f>
        <v/>
      </c>
      <c r="P141" s="62"/>
      <c r="Q141" s="62"/>
      <c r="R141" s="34" t="str">
        <f>IFERROR(VLOOKUP(N141,soils2!$B$2:$D$8514,3),"")</f>
        <v/>
      </c>
      <c r="S141" s="62"/>
      <c r="T141" s="62"/>
      <c r="U141" s="33"/>
    </row>
    <row r="142" spans="14:21">
      <c r="N142" s="33"/>
      <c r="O142" s="62" t="str">
        <f>IFERROR(IFERROR(VLOOKUP(S142,soils2!$A$2:$D$8514,3,FALSE),VLOOKUP(N142,soils2!$B$2:$D$8514,2,FALSE)),"")</f>
        <v/>
      </c>
      <c r="P142" s="62"/>
      <c r="Q142" s="62"/>
      <c r="R142" s="34" t="str">
        <f>IFERROR(VLOOKUP(N142,soils2!$B$2:$D$8514,3),"")</f>
        <v/>
      </c>
      <c r="S142" s="62"/>
      <c r="T142" s="62"/>
      <c r="U142" s="33"/>
    </row>
    <row r="143" spans="14:21">
      <c r="N143" s="33"/>
      <c r="O143" s="62" t="str">
        <f>IFERROR(IFERROR(VLOOKUP(S143,soils2!$A$2:$D$8514,3,FALSE),VLOOKUP(N143,soils2!$B$2:$D$8514,2,FALSE)),"")</f>
        <v/>
      </c>
      <c r="P143" s="62"/>
      <c r="Q143" s="62"/>
      <c r="R143" s="34" t="str">
        <f>IFERROR(VLOOKUP(N143,soils2!$B$2:$D$8514,3),"")</f>
        <v/>
      </c>
      <c r="S143" s="62"/>
      <c r="T143" s="62"/>
      <c r="U143" s="33"/>
    </row>
    <row r="144" spans="14:21">
      <c r="N144" s="33"/>
      <c r="O144" s="62" t="str">
        <f>IFERROR(IFERROR(VLOOKUP(S144,soils2!$A$2:$D$8514,3,FALSE),VLOOKUP(N144,soils2!$B$2:$D$8514,2,FALSE)),"")</f>
        <v/>
      </c>
      <c r="P144" s="62"/>
      <c r="Q144" s="62"/>
      <c r="R144" s="34" t="str">
        <f>IFERROR(VLOOKUP(N144,soils2!$B$2:$D$8514,3),"")</f>
        <v/>
      </c>
      <c r="S144" s="62"/>
      <c r="T144" s="62"/>
      <c r="U144" s="33"/>
    </row>
    <row r="145" spans="14:21">
      <c r="N145" s="33"/>
      <c r="O145" s="62" t="str">
        <f>IFERROR(IFERROR(VLOOKUP(S145,soils2!$A$2:$D$8514,3,FALSE),VLOOKUP(N145,soils2!$B$2:$D$8514,2,FALSE)),"")</f>
        <v/>
      </c>
      <c r="P145" s="62"/>
      <c r="Q145" s="62"/>
      <c r="R145" s="34" t="str">
        <f>IFERROR(VLOOKUP(N145,soils2!$B$2:$D$8514,3),"")</f>
        <v/>
      </c>
      <c r="S145" s="62"/>
      <c r="T145" s="62"/>
      <c r="U145" s="33"/>
    </row>
    <row r="146" spans="14:21">
      <c r="N146" s="33"/>
      <c r="O146" s="62" t="str">
        <f>IFERROR(IFERROR(VLOOKUP(S146,soils2!$A$2:$D$8514,3,FALSE),VLOOKUP(N146,soils2!$B$2:$D$8514,2,FALSE)),"")</f>
        <v/>
      </c>
      <c r="P146" s="62"/>
      <c r="Q146" s="62"/>
      <c r="R146" s="34" t="str">
        <f>IFERROR(VLOOKUP(N146,soils2!$B$2:$D$8514,3),"")</f>
        <v/>
      </c>
      <c r="S146" s="62"/>
      <c r="T146" s="62"/>
      <c r="U146" s="33"/>
    </row>
    <row r="147" spans="14:21">
      <c r="N147" s="33"/>
      <c r="O147" s="62" t="str">
        <f>IFERROR(IFERROR(VLOOKUP(S147,soils2!$A$2:$D$8514,3,FALSE),VLOOKUP(N147,soils2!$B$2:$D$8514,2,FALSE)),"")</f>
        <v/>
      </c>
      <c r="P147" s="62"/>
      <c r="Q147" s="62"/>
      <c r="R147" s="34" t="str">
        <f>IFERROR(VLOOKUP(N147,soils2!$B$2:$D$8514,3),"")</f>
        <v/>
      </c>
      <c r="S147" s="62"/>
      <c r="T147" s="62"/>
      <c r="U147" s="33"/>
    </row>
    <row r="148" spans="14:21">
      <c r="N148" s="33"/>
      <c r="O148" s="62" t="str">
        <f>IFERROR(IFERROR(VLOOKUP(S148,soils2!$A$2:$D$8514,3,FALSE),VLOOKUP(N148,soils2!$B$2:$D$8514,2,FALSE)),"")</f>
        <v/>
      </c>
      <c r="P148" s="62"/>
      <c r="Q148" s="62"/>
      <c r="R148" s="34" t="str">
        <f>IFERROR(VLOOKUP(N148,soils2!$B$2:$D$8514,3),"")</f>
        <v/>
      </c>
      <c r="S148" s="62"/>
      <c r="T148" s="62"/>
      <c r="U148" s="33"/>
    </row>
    <row r="149" spans="14:21">
      <c r="N149" s="33"/>
      <c r="O149" s="62" t="str">
        <f>IFERROR(IFERROR(VLOOKUP(S149,soils2!$A$2:$D$8514,3,FALSE),VLOOKUP(N149,soils2!$B$2:$D$8514,2,FALSE)),"")</f>
        <v/>
      </c>
      <c r="P149" s="62"/>
      <c r="Q149" s="62"/>
      <c r="R149" s="34" t="str">
        <f>IFERROR(VLOOKUP(N149,soils2!$B$2:$D$8514,3),"")</f>
        <v/>
      </c>
      <c r="S149" s="62"/>
      <c r="T149" s="62"/>
      <c r="U149" s="33"/>
    </row>
    <row r="150" spans="14:21">
      <c r="N150" s="33"/>
      <c r="O150" s="62" t="str">
        <f>IFERROR(IFERROR(VLOOKUP(S150,soils2!$A$2:$D$8514,3,FALSE),VLOOKUP(N150,soils2!$B$2:$D$8514,2,FALSE)),"")</f>
        <v/>
      </c>
      <c r="P150" s="62"/>
      <c r="Q150" s="62"/>
      <c r="R150" s="34" t="str">
        <f>IFERROR(VLOOKUP(N150,soils2!$B$2:$D$8514,3),"")</f>
        <v/>
      </c>
      <c r="S150" s="62"/>
      <c r="T150" s="62"/>
      <c r="U150" s="33"/>
    </row>
    <row r="151" spans="14:21">
      <c r="N151" s="33"/>
      <c r="O151" s="62" t="str">
        <f>IFERROR(IFERROR(VLOOKUP(S151,soils2!$A$2:$D$8514,3,FALSE),VLOOKUP(N151,soils2!$B$2:$D$8514,2,FALSE)),"")</f>
        <v/>
      </c>
      <c r="P151" s="62"/>
      <c r="Q151" s="62"/>
      <c r="R151" s="34" t="str">
        <f>IFERROR(VLOOKUP(N151,soils2!$B$2:$D$8514,3),"")</f>
        <v/>
      </c>
      <c r="S151" s="62"/>
      <c r="T151" s="62"/>
      <c r="U151" s="33"/>
    </row>
    <row r="152" spans="14:21">
      <c r="N152" s="33"/>
      <c r="O152" s="62" t="str">
        <f>IFERROR(IFERROR(VLOOKUP(S152,soils2!$A$2:$D$8514,3,FALSE),VLOOKUP(N152,soils2!$B$2:$D$8514,2,FALSE)),"")</f>
        <v/>
      </c>
      <c r="P152" s="62"/>
      <c r="Q152" s="62"/>
      <c r="R152" s="34" t="str">
        <f>IFERROR(VLOOKUP(N152,soils2!$B$2:$D$8514,3),"")</f>
        <v/>
      </c>
      <c r="S152" s="62"/>
      <c r="T152" s="62"/>
      <c r="U152" s="33"/>
    </row>
    <row r="153" spans="14:21">
      <c r="N153" s="33"/>
      <c r="O153" s="62" t="str">
        <f>IFERROR(IFERROR(VLOOKUP(S153,soils2!$A$2:$D$8514,3,FALSE),VLOOKUP(N153,soils2!$B$2:$D$8514,2,FALSE)),"")</f>
        <v/>
      </c>
      <c r="P153" s="62"/>
      <c r="Q153" s="62"/>
      <c r="R153" s="34" t="str">
        <f>IFERROR(VLOOKUP(N153,soils2!$B$2:$D$8514,3),"")</f>
        <v/>
      </c>
      <c r="S153" s="62"/>
      <c r="T153" s="62"/>
      <c r="U153" s="33"/>
    </row>
    <row r="154" spans="14:21">
      <c r="N154" s="33"/>
      <c r="O154" s="62" t="str">
        <f>IFERROR(IFERROR(VLOOKUP(S154,soils2!$A$2:$D$8514,3,FALSE),VLOOKUP(N154,soils2!$B$2:$D$8514,2,FALSE)),"")</f>
        <v/>
      </c>
      <c r="P154" s="62"/>
      <c r="Q154" s="62"/>
      <c r="R154" s="34" t="str">
        <f>IFERROR(VLOOKUP(N154,soils2!$B$2:$D$8514,3),"")</f>
        <v/>
      </c>
      <c r="S154" s="62"/>
      <c r="T154" s="62"/>
      <c r="U154" s="33"/>
    </row>
    <row r="155" spans="14:21">
      <c r="N155" s="33"/>
      <c r="O155" s="62" t="str">
        <f>IFERROR(IFERROR(VLOOKUP(S155,soils2!$A$2:$D$8514,3,FALSE),VLOOKUP(N155,soils2!$B$2:$D$8514,2,FALSE)),"")</f>
        <v/>
      </c>
      <c r="P155" s="62"/>
      <c r="Q155" s="62"/>
      <c r="R155" s="34" t="str">
        <f>IFERROR(VLOOKUP(N155,soils2!$B$2:$D$8514,3),"")</f>
        <v/>
      </c>
      <c r="S155" s="62"/>
      <c r="T155" s="62"/>
      <c r="U155" s="33"/>
    </row>
    <row r="156" spans="14:21">
      <c r="N156" s="33"/>
      <c r="O156" s="62" t="str">
        <f>IFERROR(IFERROR(VLOOKUP(S156,soils2!$A$2:$D$8514,3,FALSE),VLOOKUP(N156,soils2!$B$2:$D$8514,2,FALSE)),"")</f>
        <v/>
      </c>
      <c r="P156" s="62"/>
      <c r="Q156" s="62"/>
      <c r="R156" s="34" t="str">
        <f>IFERROR(VLOOKUP(N156,soils2!$B$2:$D$8514,3),"")</f>
        <v/>
      </c>
      <c r="S156" s="62"/>
      <c r="T156" s="62"/>
      <c r="U156" s="33"/>
    </row>
    <row r="157" spans="14:21">
      <c r="N157" s="33"/>
      <c r="O157" s="62" t="str">
        <f>IFERROR(IFERROR(VLOOKUP(S157,soils2!$A$2:$D$8514,3,FALSE),VLOOKUP(N157,soils2!$B$2:$D$8514,2,FALSE)),"")</f>
        <v/>
      </c>
      <c r="P157" s="62"/>
      <c r="Q157" s="62"/>
      <c r="R157" s="34" t="str">
        <f>IFERROR(VLOOKUP(N157,soils2!$B$2:$D$8514,3),"")</f>
        <v/>
      </c>
      <c r="S157" s="62"/>
      <c r="T157" s="62"/>
      <c r="U157" s="33"/>
    </row>
    <row r="158" spans="14:21">
      <c r="N158" s="33"/>
      <c r="O158" s="62" t="str">
        <f>IFERROR(IFERROR(VLOOKUP(S158,soils2!$A$2:$D$8514,3,FALSE),VLOOKUP(N158,soils2!$B$2:$D$8514,2,FALSE)),"")</f>
        <v/>
      </c>
      <c r="P158" s="62"/>
      <c r="Q158" s="62"/>
      <c r="R158" s="34" t="str">
        <f>IFERROR(VLOOKUP(N158,soils2!$B$2:$D$8514,3),"")</f>
        <v/>
      </c>
      <c r="S158" s="62"/>
      <c r="T158" s="62"/>
      <c r="U158" s="33"/>
    </row>
    <row r="159" spans="14:21">
      <c r="N159" s="33"/>
      <c r="O159" s="62" t="str">
        <f>IFERROR(IFERROR(VLOOKUP(S159,soils2!$A$2:$D$8514,3,FALSE),VLOOKUP(N159,soils2!$B$2:$D$8514,2,FALSE)),"")</f>
        <v/>
      </c>
      <c r="P159" s="62"/>
      <c r="Q159" s="62"/>
      <c r="R159" s="34" t="str">
        <f>IFERROR(VLOOKUP(N159,soils2!$B$2:$D$8514,3),"")</f>
        <v/>
      </c>
      <c r="S159" s="62"/>
      <c r="T159" s="62"/>
      <c r="U159" s="33"/>
    </row>
    <row r="160" spans="14:21">
      <c r="N160" s="33"/>
      <c r="O160" s="62" t="str">
        <f>IFERROR(IFERROR(VLOOKUP(S160,soils2!$A$2:$D$8514,3,FALSE),VLOOKUP(N160,soils2!$B$2:$D$8514,2,FALSE)),"")</f>
        <v/>
      </c>
      <c r="P160" s="62"/>
      <c r="Q160" s="62"/>
      <c r="R160" s="34" t="str">
        <f>IFERROR(VLOOKUP(N160,soils2!$B$2:$D$8514,3),"")</f>
        <v/>
      </c>
      <c r="S160" s="62"/>
      <c r="T160" s="62"/>
      <c r="U160" s="33"/>
    </row>
    <row r="161" spans="14:21">
      <c r="N161" s="33"/>
      <c r="O161" s="62" t="str">
        <f>IFERROR(IFERROR(VLOOKUP(S161,soils2!$A$2:$D$8514,3,FALSE),VLOOKUP(N161,soils2!$B$2:$D$8514,2,FALSE)),"")</f>
        <v/>
      </c>
      <c r="P161" s="62"/>
      <c r="Q161" s="62"/>
      <c r="R161" s="34" t="str">
        <f>IFERROR(VLOOKUP(N161,soils2!$B$2:$D$8514,3),"")</f>
        <v/>
      </c>
      <c r="S161" s="62"/>
      <c r="T161" s="62"/>
      <c r="U161" s="33"/>
    </row>
    <row r="162" spans="14:21">
      <c r="N162" s="33"/>
      <c r="O162" s="62" t="str">
        <f>IFERROR(IFERROR(VLOOKUP(S162,soils2!$A$2:$D$8514,3,FALSE),VLOOKUP(N162,soils2!$B$2:$D$8514,2,FALSE)),"")</f>
        <v/>
      </c>
      <c r="P162" s="62"/>
      <c r="Q162" s="62"/>
      <c r="R162" s="34" t="str">
        <f>IFERROR(VLOOKUP(N162,soils2!$B$2:$D$8514,3),"")</f>
        <v/>
      </c>
      <c r="S162" s="62"/>
      <c r="T162" s="62"/>
      <c r="U162" s="33"/>
    </row>
    <row r="163" spans="14:21">
      <c r="N163" s="33"/>
      <c r="O163" s="62" t="str">
        <f>IFERROR(IFERROR(VLOOKUP(S163,soils2!$A$2:$D$8514,3,FALSE),VLOOKUP(N163,soils2!$B$2:$D$8514,2,FALSE)),"")</f>
        <v/>
      </c>
      <c r="P163" s="62"/>
      <c r="Q163" s="62"/>
      <c r="R163" s="34" t="str">
        <f>IFERROR(VLOOKUP(N163,soils2!$B$2:$D$8514,3),"")</f>
        <v/>
      </c>
      <c r="S163" s="62"/>
      <c r="T163" s="62"/>
      <c r="U163" s="33"/>
    </row>
    <row r="164" spans="14:21">
      <c r="N164" s="33"/>
      <c r="O164" s="62" t="str">
        <f>IFERROR(IFERROR(VLOOKUP(S164,soils2!$A$2:$D$8514,3,FALSE),VLOOKUP(N164,soils2!$B$2:$D$8514,2,FALSE)),"")</f>
        <v/>
      </c>
      <c r="P164" s="62"/>
      <c r="Q164" s="62"/>
      <c r="R164" s="34" t="str">
        <f>IFERROR(VLOOKUP(N164,soils2!$B$2:$D$8514,3),"")</f>
        <v/>
      </c>
      <c r="S164" s="62"/>
      <c r="T164" s="62"/>
      <c r="U164" s="33"/>
    </row>
    <row r="165" spans="14:21">
      <c r="N165" s="33"/>
      <c r="O165" s="62" t="str">
        <f>IFERROR(IFERROR(VLOOKUP(S165,soils2!$A$2:$D$8514,3,FALSE),VLOOKUP(N165,soils2!$B$2:$D$8514,2,FALSE)),"")</f>
        <v/>
      </c>
      <c r="P165" s="62"/>
      <c r="Q165" s="62"/>
      <c r="R165" s="34" t="str">
        <f>IFERROR(VLOOKUP(N165,soils2!$B$2:$D$8514,3),"")</f>
        <v/>
      </c>
      <c r="S165" s="62"/>
      <c r="T165" s="62"/>
      <c r="U165" s="33"/>
    </row>
    <row r="166" spans="14:21">
      <c r="N166" s="33"/>
      <c r="O166" s="62" t="str">
        <f>IFERROR(IFERROR(VLOOKUP(S166,soils2!$A$2:$D$8514,3,FALSE),VLOOKUP(N166,soils2!$B$2:$D$8514,2,FALSE)),"")</f>
        <v/>
      </c>
      <c r="P166" s="62"/>
      <c r="Q166" s="62"/>
      <c r="R166" s="34" t="str">
        <f>IFERROR(VLOOKUP(N166,soils2!$B$2:$D$8514,3),"")</f>
        <v/>
      </c>
      <c r="S166" s="62"/>
      <c r="T166" s="62"/>
      <c r="U166" s="33"/>
    </row>
    <row r="167" spans="14:21">
      <c r="N167" s="33"/>
      <c r="O167" s="62" t="str">
        <f>IFERROR(IFERROR(VLOOKUP(S167,soils2!$A$2:$D$8514,3,FALSE),VLOOKUP(N167,soils2!$B$2:$D$8514,2,FALSE)),"")</f>
        <v/>
      </c>
      <c r="P167" s="62"/>
      <c r="Q167" s="62"/>
      <c r="R167" s="34" t="str">
        <f>IFERROR(VLOOKUP(N167,soils2!$B$2:$D$8514,3),"")</f>
        <v/>
      </c>
      <c r="S167" s="62"/>
      <c r="T167" s="62"/>
      <c r="U167" s="33"/>
    </row>
    <row r="168" spans="14:21">
      <c r="N168" s="33"/>
      <c r="O168" s="62" t="str">
        <f>IFERROR(IFERROR(VLOOKUP(S168,soils2!$A$2:$D$8514,3,FALSE),VLOOKUP(N168,soils2!$B$2:$D$8514,2,FALSE)),"")</f>
        <v/>
      </c>
      <c r="P168" s="62"/>
      <c r="Q168" s="62"/>
      <c r="R168" s="34" t="str">
        <f>IFERROR(VLOOKUP(N168,soils2!$B$2:$D$8514,3),"")</f>
        <v/>
      </c>
      <c r="S168" s="62"/>
      <c r="T168" s="62"/>
      <c r="U168" s="33"/>
    </row>
    <row r="169" spans="14:21">
      <c r="N169" s="33"/>
      <c r="O169" s="62" t="str">
        <f>IFERROR(IFERROR(VLOOKUP(S169,soils2!$A$2:$D$8514,3,FALSE),VLOOKUP(N169,soils2!$B$2:$D$8514,2,FALSE)),"")</f>
        <v/>
      </c>
      <c r="P169" s="62"/>
      <c r="Q169" s="62"/>
      <c r="R169" s="34" t="str">
        <f>IFERROR(VLOOKUP(N169,soils2!$B$2:$D$8514,3),"")</f>
        <v/>
      </c>
      <c r="S169" s="62"/>
      <c r="T169" s="62"/>
      <c r="U169" s="33"/>
    </row>
    <row r="170" spans="14:21">
      <c r="N170" s="33"/>
      <c r="O170" s="62" t="str">
        <f>IFERROR(IFERROR(VLOOKUP(S170,soils2!$A$2:$D$8514,3,FALSE),VLOOKUP(N170,soils2!$B$2:$D$8514,2,FALSE)),"")</f>
        <v/>
      </c>
      <c r="P170" s="62"/>
      <c r="Q170" s="62"/>
      <c r="R170" s="34" t="str">
        <f>IFERROR(VLOOKUP(N170,soils2!$B$2:$D$8514,3),"")</f>
        <v/>
      </c>
      <c r="S170" s="62"/>
      <c r="T170" s="62"/>
      <c r="U170" s="33"/>
    </row>
    <row r="171" spans="14:21">
      <c r="N171" s="33"/>
      <c r="O171" s="62" t="str">
        <f>IFERROR(IFERROR(VLOOKUP(S171,soils2!$A$2:$D$8514,3,FALSE),VLOOKUP(N171,soils2!$B$2:$D$8514,2,FALSE)),"")</f>
        <v/>
      </c>
      <c r="P171" s="62"/>
      <c r="Q171" s="62"/>
      <c r="R171" s="34" t="str">
        <f>IFERROR(VLOOKUP(N171,soils2!$B$2:$D$8514,3),"")</f>
        <v/>
      </c>
      <c r="S171" s="62"/>
      <c r="T171" s="62"/>
      <c r="U171" s="33"/>
    </row>
    <row r="172" spans="14:21">
      <c r="N172" s="33"/>
      <c r="O172" s="62" t="str">
        <f>IFERROR(IFERROR(VLOOKUP(S172,soils2!$A$2:$D$8514,3,FALSE),VLOOKUP(N172,soils2!$B$2:$D$8514,2,FALSE)),"")</f>
        <v/>
      </c>
      <c r="P172" s="62"/>
      <c r="Q172" s="62"/>
      <c r="R172" s="34" t="str">
        <f>IFERROR(VLOOKUP(N172,soils2!$B$2:$D$8514,3),"")</f>
        <v/>
      </c>
      <c r="S172" s="62"/>
      <c r="T172" s="62"/>
      <c r="U172" s="33"/>
    </row>
    <row r="173" spans="14:21">
      <c r="N173" s="33"/>
      <c r="O173" s="62" t="str">
        <f>IFERROR(IFERROR(VLOOKUP(S173,soils2!$A$2:$D$8514,3,FALSE),VLOOKUP(N173,soils2!$B$2:$D$8514,2,FALSE)),"")</f>
        <v/>
      </c>
      <c r="P173" s="62"/>
      <c r="Q173" s="62"/>
      <c r="R173" s="34" t="str">
        <f>IFERROR(VLOOKUP(N173,soils2!$B$2:$D$8514,3),"")</f>
        <v/>
      </c>
      <c r="S173" s="62"/>
      <c r="T173" s="62"/>
      <c r="U173" s="33"/>
    </row>
    <row r="174" spans="14:21">
      <c r="N174" s="33"/>
      <c r="O174" s="62" t="str">
        <f>IFERROR(IFERROR(VLOOKUP(S174,soils2!$A$2:$D$8514,3,FALSE),VLOOKUP(N174,soils2!$B$2:$D$8514,2,FALSE)),"")</f>
        <v/>
      </c>
      <c r="P174" s="62"/>
      <c r="Q174" s="62"/>
      <c r="R174" s="34" t="str">
        <f>IFERROR(VLOOKUP(N174,soils2!$B$2:$D$8514,3),"")</f>
        <v/>
      </c>
      <c r="S174" s="62"/>
      <c r="T174" s="62"/>
      <c r="U174" s="33"/>
    </row>
    <row r="175" spans="14:21">
      <c r="N175" s="33"/>
      <c r="O175" s="62" t="str">
        <f>IFERROR(IFERROR(VLOOKUP(S175,soils2!$A$2:$D$8514,3,FALSE),VLOOKUP(N175,soils2!$B$2:$D$8514,2,FALSE)),"")</f>
        <v/>
      </c>
      <c r="P175" s="62"/>
      <c r="Q175" s="62"/>
      <c r="R175" s="34" t="str">
        <f>IFERROR(VLOOKUP(N175,soils2!$B$2:$D$8514,3),"")</f>
        <v/>
      </c>
      <c r="S175" s="62"/>
      <c r="T175" s="62"/>
      <c r="U175" s="33"/>
    </row>
    <row r="176" spans="14:21">
      <c r="N176" s="33"/>
      <c r="O176" s="62" t="str">
        <f>IFERROR(IFERROR(VLOOKUP(S176,soils2!$A$2:$D$8514,3,FALSE),VLOOKUP(N176,soils2!$B$2:$D$8514,2,FALSE)),"")</f>
        <v/>
      </c>
      <c r="P176" s="62"/>
      <c r="Q176" s="62"/>
      <c r="R176" s="34" t="str">
        <f>IFERROR(VLOOKUP(N176,soils2!$B$2:$D$8514,3),"")</f>
        <v/>
      </c>
      <c r="S176" s="62"/>
      <c r="T176" s="62"/>
      <c r="U176" s="33"/>
    </row>
    <row r="177" spans="14:21">
      <c r="N177" s="33"/>
      <c r="O177" s="62" t="str">
        <f>IFERROR(IFERROR(VLOOKUP(S177,soils2!$A$2:$D$8514,3,FALSE),VLOOKUP(N177,soils2!$B$2:$D$8514,2,FALSE)),"")</f>
        <v/>
      </c>
      <c r="P177" s="62"/>
      <c r="Q177" s="62"/>
      <c r="R177" s="34" t="str">
        <f>IFERROR(VLOOKUP(N177,soils2!$B$2:$D$8514,3),"")</f>
        <v/>
      </c>
      <c r="S177" s="62"/>
      <c r="T177" s="62"/>
      <c r="U177" s="33"/>
    </row>
    <row r="178" spans="14:21">
      <c r="N178" s="33"/>
      <c r="O178" s="62" t="str">
        <f>IFERROR(IFERROR(VLOOKUP(S178,soils2!$A$2:$D$8514,3,FALSE),VLOOKUP(N178,soils2!$B$2:$D$8514,2,FALSE)),"")</f>
        <v/>
      </c>
      <c r="P178" s="62"/>
      <c r="Q178" s="62"/>
      <c r="R178" s="34" t="str">
        <f>IFERROR(VLOOKUP(N178,soils2!$B$2:$D$8514,3),"")</f>
        <v/>
      </c>
      <c r="S178" s="62"/>
      <c r="T178" s="62"/>
      <c r="U178" s="33"/>
    </row>
    <row r="179" spans="14:21">
      <c r="N179" s="33"/>
      <c r="O179" s="62" t="str">
        <f>IFERROR(IFERROR(VLOOKUP(S179,soils2!$A$2:$D$8514,3,FALSE),VLOOKUP(N179,soils2!$B$2:$D$8514,2,FALSE)),"")</f>
        <v/>
      </c>
      <c r="P179" s="62"/>
      <c r="Q179" s="62"/>
      <c r="R179" s="34" t="str">
        <f>IFERROR(VLOOKUP(N179,soils2!$B$2:$D$8514,3),"")</f>
        <v/>
      </c>
      <c r="S179" s="62"/>
      <c r="T179" s="62"/>
      <c r="U179" s="33"/>
    </row>
    <row r="180" spans="14:21">
      <c r="N180" s="33"/>
      <c r="O180" s="62" t="str">
        <f>IFERROR(IFERROR(VLOOKUP(S180,soils2!$A$2:$D$8514,3,FALSE),VLOOKUP(N180,soils2!$B$2:$D$8514,2,FALSE)),"")</f>
        <v/>
      </c>
      <c r="P180" s="62"/>
      <c r="Q180" s="62"/>
      <c r="R180" s="34" t="str">
        <f>IFERROR(VLOOKUP(N180,soils2!$B$2:$D$8514,3),"")</f>
        <v/>
      </c>
      <c r="S180" s="62"/>
      <c r="T180" s="62"/>
      <c r="U180" s="33"/>
    </row>
    <row r="181" spans="14:21">
      <c r="N181" s="33"/>
      <c r="O181" s="62" t="str">
        <f>IFERROR(IFERROR(VLOOKUP(S181,soils2!$A$2:$D$8514,3,FALSE),VLOOKUP(N181,soils2!$B$2:$D$8514,2,FALSE)),"")</f>
        <v/>
      </c>
      <c r="P181" s="62"/>
      <c r="Q181" s="62"/>
      <c r="R181" s="34" t="str">
        <f>IFERROR(VLOOKUP(N181,soils2!$B$2:$D$8514,3),"")</f>
        <v/>
      </c>
      <c r="S181" s="62"/>
      <c r="T181" s="62"/>
      <c r="U181" s="33"/>
    </row>
    <row r="182" spans="14:21">
      <c r="N182" s="33"/>
      <c r="O182" s="62" t="str">
        <f>IFERROR(IFERROR(VLOOKUP(S182,soils2!$A$2:$D$8514,3,FALSE),VLOOKUP(N182,soils2!$B$2:$D$8514,2,FALSE)),"")</f>
        <v/>
      </c>
      <c r="P182" s="62"/>
      <c r="Q182" s="62"/>
      <c r="R182" s="34" t="str">
        <f>IFERROR(VLOOKUP(N182,soils2!$B$2:$D$8514,3),"")</f>
        <v/>
      </c>
      <c r="S182" s="62"/>
      <c r="T182" s="62"/>
      <c r="U182" s="33"/>
    </row>
    <row r="183" spans="14:21">
      <c r="N183" s="33"/>
      <c r="O183" s="62" t="str">
        <f>IFERROR(IFERROR(VLOOKUP(S183,soils2!$A$2:$D$8514,3,FALSE),VLOOKUP(N183,soils2!$B$2:$D$8514,2,FALSE)),"")</f>
        <v/>
      </c>
      <c r="P183" s="62"/>
      <c r="Q183" s="62"/>
      <c r="R183" s="34" t="str">
        <f>IFERROR(VLOOKUP(N183,soils2!$B$2:$D$8514,3),"")</f>
        <v/>
      </c>
      <c r="S183" s="62"/>
      <c r="T183" s="62"/>
      <c r="U183" s="33"/>
    </row>
    <row r="184" spans="14:21">
      <c r="N184" s="33"/>
      <c r="O184" s="62" t="str">
        <f>IFERROR(IFERROR(VLOOKUP(S184,soils2!$A$2:$D$8514,3,FALSE),VLOOKUP(N184,soils2!$B$2:$D$8514,2,FALSE)),"")</f>
        <v/>
      </c>
      <c r="P184" s="62"/>
      <c r="Q184" s="62"/>
      <c r="R184" s="34" t="str">
        <f>IFERROR(VLOOKUP(N184,soils2!$B$2:$D$8514,3),"")</f>
        <v/>
      </c>
      <c r="S184" s="62"/>
      <c r="T184" s="62"/>
      <c r="U184" s="33"/>
    </row>
    <row r="185" spans="14:21">
      <c r="N185" s="33"/>
      <c r="O185" s="62" t="str">
        <f>IFERROR(IFERROR(VLOOKUP(S185,soils2!$A$2:$D$8514,3,FALSE),VLOOKUP(N185,soils2!$B$2:$D$8514,2,FALSE)),"")</f>
        <v/>
      </c>
      <c r="P185" s="62"/>
      <c r="Q185" s="62"/>
      <c r="R185" s="34" t="str">
        <f>IFERROR(VLOOKUP(N185,soils2!$B$2:$D$8514,3),"")</f>
        <v/>
      </c>
      <c r="S185" s="62"/>
      <c r="T185" s="62"/>
      <c r="U185" s="33"/>
    </row>
    <row r="186" spans="14:21">
      <c r="N186" s="33"/>
      <c r="O186" s="62" t="str">
        <f>IFERROR(IFERROR(VLOOKUP(S186,soils2!$A$2:$D$8514,3,FALSE),VLOOKUP(N186,soils2!$B$2:$D$8514,2,FALSE)),"")</f>
        <v/>
      </c>
      <c r="P186" s="62"/>
      <c r="Q186" s="62"/>
      <c r="R186" s="34" t="str">
        <f>IFERROR(VLOOKUP(N186,soils2!$B$2:$D$8514,3),"")</f>
        <v/>
      </c>
      <c r="S186" s="62"/>
      <c r="T186" s="62"/>
      <c r="U186" s="33"/>
    </row>
    <row r="187" spans="14:21">
      <c r="N187" s="33"/>
      <c r="O187" s="62" t="str">
        <f>IFERROR(IFERROR(VLOOKUP(S187,soils2!$A$2:$D$8514,3,FALSE),VLOOKUP(N187,soils2!$B$2:$D$8514,2,FALSE)),"")</f>
        <v/>
      </c>
      <c r="P187" s="62"/>
      <c r="Q187" s="62"/>
      <c r="R187" s="34" t="str">
        <f>IFERROR(VLOOKUP(N187,soils2!$B$2:$D$8514,3),"")</f>
        <v/>
      </c>
      <c r="S187" s="62"/>
      <c r="T187" s="62"/>
      <c r="U187" s="33"/>
    </row>
    <row r="188" spans="14:21">
      <c r="N188" s="33"/>
      <c r="O188" s="62" t="str">
        <f>IFERROR(IFERROR(VLOOKUP(S188,soils2!$A$2:$D$8514,3,FALSE),VLOOKUP(N188,soils2!$B$2:$D$8514,2,FALSE)),"")</f>
        <v/>
      </c>
      <c r="P188" s="62"/>
      <c r="Q188" s="62"/>
      <c r="R188" s="34" t="str">
        <f>IFERROR(VLOOKUP(N188,soils2!$B$2:$D$8514,3),"")</f>
        <v/>
      </c>
      <c r="S188" s="62"/>
      <c r="T188" s="62"/>
      <c r="U188" s="33"/>
    </row>
    <row r="189" spans="14:21">
      <c r="N189" s="33"/>
      <c r="O189" s="62" t="str">
        <f>IFERROR(IFERROR(VLOOKUP(S189,soils2!$A$2:$D$8514,3,FALSE),VLOOKUP(N189,soils2!$B$2:$D$8514,2,FALSE)),"")</f>
        <v/>
      </c>
      <c r="P189" s="62"/>
      <c r="Q189" s="62"/>
      <c r="R189" s="34" t="str">
        <f>IFERROR(VLOOKUP(N189,soils2!$B$2:$D$8514,3),"")</f>
        <v/>
      </c>
      <c r="S189" s="62"/>
      <c r="T189" s="62"/>
      <c r="U189" s="33"/>
    </row>
    <row r="190" spans="14:21">
      <c r="N190" s="33"/>
      <c r="O190" s="62" t="str">
        <f>IFERROR(IFERROR(VLOOKUP(S190,soils2!$A$2:$D$8514,3,FALSE),VLOOKUP(N190,soils2!$B$2:$D$8514,2,FALSE)),"")</f>
        <v/>
      </c>
      <c r="P190" s="62"/>
      <c r="Q190" s="62"/>
      <c r="R190" s="34" t="str">
        <f>IFERROR(VLOOKUP(N190,soils2!$B$2:$D$8514,3),"")</f>
        <v/>
      </c>
      <c r="S190" s="62"/>
      <c r="T190" s="62"/>
      <c r="U190" s="33"/>
    </row>
    <row r="191" spans="14:21">
      <c r="N191" s="33"/>
      <c r="O191" s="62" t="str">
        <f>IFERROR(IFERROR(VLOOKUP(S191,soils2!$A$2:$D$8514,3,FALSE),VLOOKUP(N191,soils2!$B$2:$D$8514,2,FALSE)),"")</f>
        <v/>
      </c>
      <c r="P191" s="62"/>
      <c r="Q191" s="62"/>
      <c r="R191" s="34" t="str">
        <f>IFERROR(VLOOKUP(N191,soils2!$B$2:$D$8514,3),"")</f>
        <v/>
      </c>
      <c r="S191" s="62"/>
      <c r="T191" s="62"/>
      <c r="U191" s="33"/>
    </row>
    <row r="192" spans="14:21">
      <c r="N192" s="33"/>
      <c r="O192" s="62" t="str">
        <f>IFERROR(IFERROR(VLOOKUP(S192,soils2!$A$2:$D$8514,3,FALSE),VLOOKUP(N192,soils2!$B$2:$D$8514,2,FALSE)),"")</f>
        <v/>
      </c>
      <c r="P192" s="62"/>
      <c r="Q192" s="62"/>
      <c r="R192" s="34" t="str">
        <f>IFERROR(VLOOKUP(N192,soils2!$B$2:$D$8514,3),"")</f>
        <v/>
      </c>
      <c r="S192" s="62"/>
      <c r="T192" s="62"/>
      <c r="U192" s="33"/>
    </row>
    <row r="193" spans="14:21">
      <c r="N193" s="33"/>
      <c r="O193" s="62" t="str">
        <f>IFERROR(IFERROR(VLOOKUP(S193,soils2!$A$2:$D$8514,3,FALSE),VLOOKUP(N193,soils2!$B$2:$D$8514,2,FALSE)),"")</f>
        <v/>
      </c>
      <c r="P193" s="62"/>
      <c r="Q193" s="62"/>
      <c r="R193" s="34" t="str">
        <f>IFERROR(VLOOKUP(N193,soils2!$B$2:$D$8514,3),"")</f>
        <v/>
      </c>
      <c r="S193" s="62"/>
      <c r="T193" s="62"/>
      <c r="U193" s="33"/>
    </row>
    <row r="194" spans="14:21">
      <c r="N194" s="33"/>
      <c r="O194" s="62" t="str">
        <f>IFERROR(IFERROR(VLOOKUP(S194,soils2!$A$2:$D$8514,3,FALSE),VLOOKUP(N194,soils2!$B$2:$D$8514,2,FALSE)),"")</f>
        <v/>
      </c>
      <c r="P194" s="62"/>
      <c r="Q194" s="62"/>
      <c r="R194" s="34" t="str">
        <f>IFERROR(VLOOKUP(N194,soils2!$B$2:$D$8514,3),"")</f>
        <v/>
      </c>
      <c r="S194" s="62"/>
      <c r="T194" s="62"/>
      <c r="U194" s="33"/>
    </row>
    <row r="195" spans="14:21">
      <c r="N195" s="33"/>
      <c r="O195" s="62" t="str">
        <f>IFERROR(IFERROR(VLOOKUP(S195,soils2!$A$2:$D$8514,3,FALSE),VLOOKUP(N195,soils2!$B$2:$D$8514,2,FALSE)),"")</f>
        <v/>
      </c>
      <c r="P195" s="62"/>
      <c r="Q195" s="62"/>
      <c r="R195" s="34" t="str">
        <f>IFERROR(VLOOKUP(N195,soils2!$B$2:$D$8514,3),"")</f>
        <v/>
      </c>
      <c r="S195" s="62"/>
      <c r="T195" s="62"/>
      <c r="U195" s="33"/>
    </row>
    <row r="196" spans="14:21">
      <c r="N196" s="33"/>
      <c r="O196" s="62" t="str">
        <f>IFERROR(IFERROR(VLOOKUP(S196,soils2!$A$2:$D$8514,3,FALSE),VLOOKUP(N196,soils2!$B$2:$D$8514,2,FALSE)),"")</f>
        <v/>
      </c>
      <c r="P196" s="62"/>
      <c r="Q196" s="62"/>
      <c r="R196" s="34" t="str">
        <f>IFERROR(VLOOKUP(N196,soils2!$B$2:$D$8514,3),"")</f>
        <v/>
      </c>
      <c r="S196" s="62"/>
      <c r="T196" s="62"/>
      <c r="U196" s="33"/>
    </row>
    <row r="197" spans="14:21">
      <c r="N197" s="33"/>
      <c r="O197" s="62" t="str">
        <f>IFERROR(IFERROR(VLOOKUP(S197,soils2!$A$2:$D$8514,3,FALSE),VLOOKUP(N197,soils2!$B$2:$D$8514,2,FALSE)),"")</f>
        <v/>
      </c>
      <c r="P197" s="62"/>
      <c r="Q197" s="62"/>
      <c r="R197" s="34" t="str">
        <f>IFERROR(VLOOKUP(N197,soils2!$B$2:$D$8514,3),"")</f>
        <v/>
      </c>
      <c r="S197" s="62"/>
      <c r="T197" s="62"/>
      <c r="U197" s="33"/>
    </row>
    <row r="198" spans="14:21">
      <c r="N198" s="33"/>
      <c r="O198" s="62" t="str">
        <f>IFERROR(IFERROR(VLOOKUP(S198,soils2!$A$2:$D$8514,3,FALSE),VLOOKUP(N198,soils2!$B$2:$D$8514,2,FALSE)),"")</f>
        <v/>
      </c>
      <c r="P198" s="62"/>
      <c r="Q198" s="62"/>
      <c r="R198" s="34" t="str">
        <f>IFERROR(VLOOKUP(N198,soils2!$B$2:$D$8514,3),"")</f>
        <v/>
      </c>
      <c r="S198" s="62"/>
      <c r="T198" s="62"/>
      <c r="U198" s="33"/>
    </row>
    <row r="199" spans="14:21">
      <c r="N199" s="33"/>
      <c r="O199" s="62" t="str">
        <f>IFERROR(IFERROR(VLOOKUP(S199,soils2!$A$2:$D$8514,3,FALSE),VLOOKUP(N199,soils2!$B$2:$D$8514,2,FALSE)),"")</f>
        <v/>
      </c>
      <c r="P199" s="62"/>
      <c r="Q199" s="62"/>
      <c r="R199" s="34" t="str">
        <f>IFERROR(VLOOKUP(N199,soils2!$B$2:$D$8514,3),"")</f>
        <v/>
      </c>
      <c r="S199" s="62"/>
      <c r="T199" s="62"/>
      <c r="U199" s="33"/>
    </row>
    <row r="200" spans="14:21">
      <c r="N200" s="33"/>
      <c r="O200" s="62" t="str">
        <f>IFERROR(IFERROR(VLOOKUP(S200,soils2!$A$2:$D$8514,3,FALSE),VLOOKUP(N200,soils2!$B$2:$D$8514,2,FALSE)),"")</f>
        <v/>
      </c>
      <c r="P200" s="62"/>
      <c r="Q200" s="62"/>
      <c r="R200" s="34" t="str">
        <f>IFERROR(VLOOKUP(N200,soils2!$B$2:$D$8514,3),"")</f>
        <v/>
      </c>
      <c r="S200" s="62"/>
      <c r="T200" s="62"/>
      <c r="U200" s="33"/>
    </row>
    <row r="201" spans="14:21">
      <c r="N201" s="33"/>
      <c r="O201" s="62" t="str">
        <f>IFERROR(IFERROR(VLOOKUP(S201,soils2!$A$2:$D$8514,3,FALSE),VLOOKUP(N201,soils2!$B$2:$D$8514,2,FALSE)),"")</f>
        <v/>
      </c>
      <c r="P201" s="62"/>
      <c r="Q201" s="62"/>
      <c r="R201" s="34" t="str">
        <f>IFERROR(VLOOKUP(N201,soils2!$B$2:$D$8514,3),"")</f>
        <v/>
      </c>
      <c r="S201" s="62"/>
      <c r="T201" s="62"/>
      <c r="U201" s="33"/>
    </row>
    <row r="202" spans="14:21">
      <c r="N202" s="33"/>
      <c r="O202" s="62" t="str">
        <f>IFERROR(IFERROR(VLOOKUP(S202,soils2!$A$2:$D$8514,3,FALSE),VLOOKUP(N202,soils2!$B$2:$D$8514,2,FALSE)),"")</f>
        <v/>
      </c>
      <c r="P202" s="62"/>
      <c r="Q202" s="62"/>
      <c r="R202" s="34" t="str">
        <f>IFERROR(VLOOKUP(N202,soils2!$B$2:$D$8514,3),"")</f>
        <v/>
      </c>
      <c r="S202" s="62"/>
      <c r="T202" s="62"/>
      <c r="U202" s="33"/>
    </row>
    <row r="203" spans="14:21">
      <c r="N203" s="33"/>
      <c r="O203" s="62" t="str">
        <f>IFERROR(IFERROR(VLOOKUP(S203,soils2!$A$2:$D$8514,3,FALSE),VLOOKUP(N203,soils2!$B$2:$D$8514,2,FALSE)),"")</f>
        <v/>
      </c>
      <c r="P203" s="62"/>
      <c r="Q203" s="62"/>
      <c r="R203" s="34" t="str">
        <f>IFERROR(VLOOKUP(N203,soils2!$B$2:$D$8514,3),"")</f>
        <v/>
      </c>
      <c r="S203" s="62"/>
      <c r="T203" s="62"/>
      <c r="U203" s="33"/>
    </row>
    <row r="204" spans="14:21">
      <c r="N204" s="33"/>
      <c r="O204" s="62" t="str">
        <f>IFERROR(IFERROR(VLOOKUP(S204,soils2!$A$2:$D$8514,3,FALSE),VLOOKUP(N204,soils2!$B$2:$D$8514,2,FALSE)),"")</f>
        <v/>
      </c>
      <c r="P204" s="62"/>
      <c r="Q204" s="62"/>
      <c r="R204" s="34" t="str">
        <f>IFERROR(VLOOKUP(N204,soils2!$B$2:$D$8514,3),"")</f>
        <v/>
      </c>
      <c r="S204" s="62"/>
      <c r="T204" s="62"/>
      <c r="U204" s="33"/>
    </row>
    <row r="205" spans="14:21">
      <c r="N205" s="33"/>
      <c r="O205" s="62" t="str">
        <f>IFERROR(IFERROR(VLOOKUP(S205,soils2!$A$2:$D$8514,3,FALSE),VLOOKUP(N205,soils2!$B$2:$D$8514,2,FALSE)),"")</f>
        <v/>
      </c>
      <c r="P205" s="62"/>
      <c r="Q205" s="62"/>
      <c r="R205" s="34" t="str">
        <f>IFERROR(VLOOKUP(N205,soils2!$B$2:$D$8514,3),"")</f>
        <v/>
      </c>
      <c r="S205" s="62"/>
      <c r="T205" s="62"/>
      <c r="U205" s="33"/>
    </row>
    <row r="206" spans="14:21">
      <c r="N206" s="33"/>
      <c r="O206" s="62" t="str">
        <f>IFERROR(IFERROR(VLOOKUP(S206,soils2!$A$2:$D$8514,3,FALSE),VLOOKUP(N206,soils2!$B$2:$D$8514,2,FALSE)),"")</f>
        <v/>
      </c>
      <c r="P206" s="62"/>
      <c r="Q206" s="62"/>
      <c r="R206" s="34" t="str">
        <f>IFERROR(VLOOKUP(N206,soils2!$B$2:$D$8514,3),"")</f>
        <v/>
      </c>
      <c r="S206" s="62"/>
      <c r="T206" s="62"/>
      <c r="U206" s="33"/>
    </row>
    <row r="207" spans="14:21">
      <c r="N207" s="33"/>
      <c r="O207" s="62" t="str">
        <f>IFERROR(IFERROR(VLOOKUP(S207,soils2!$A$2:$D$8514,3,FALSE),VLOOKUP(N207,soils2!$B$2:$D$8514,2,FALSE)),"")</f>
        <v/>
      </c>
      <c r="P207" s="62"/>
      <c r="Q207" s="62"/>
      <c r="R207" s="34" t="str">
        <f>IFERROR(VLOOKUP(N207,soils2!$B$2:$D$8514,3),"")</f>
        <v/>
      </c>
      <c r="S207" s="62"/>
      <c r="T207" s="62"/>
      <c r="U207" s="33"/>
    </row>
    <row r="208" spans="14:21">
      <c r="N208" s="33"/>
      <c r="O208" s="62" t="str">
        <f>IFERROR(IFERROR(VLOOKUP(S208,soils2!$A$2:$D$8514,3,FALSE),VLOOKUP(N208,soils2!$B$2:$D$8514,2,FALSE)),"")</f>
        <v/>
      </c>
      <c r="P208" s="62"/>
      <c r="Q208" s="62"/>
      <c r="R208" s="34" t="str">
        <f>IFERROR(VLOOKUP(N208,soils2!$B$2:$D$8514,3),"")</f>
        <v/>
      </c>
      <c r="S208" s="62"/>
      <c r="T208" s="62"/>
      <c r="U208" s="33"/>
    </row>
    <row r="209" spans="14:21">
      <c r="N209" s="33"/>
      <c r="O209" s="62" t="str">
        <f>IFERROR(IFERROR(VLOOKUP(S209,soils2!$A$2:$D$8514,3,FALSE),VLOOKUP(N209,soils2!$B$2:$D$8514,2,FALSE)),"")</f>
        <v/>
      </c>
      <c r="P209" s="62"/>
      <c r="Q209" s="62"/>
      <c r="R209" s="34" t="str">
        <f>IFERROR(VLOOKUP(N209,soils2!$B$2:$D$8514,3),"")</f>
        <v/>
      </c>
      <c r="S209" s="62"/>
      <c r="T209" s="62"/>
      <c r="U209" s="33"/>
    </row>
    <row r="210" spans="14:21">
      <c r="N210" s="33"/>
      <c r="O210" s="62" t="str">
        <f>IFERROR(IFERROR(VLOOKUP(S210,soils2!$A$2:$D$8514,3,FALSE),VLOOKUP(N210,soils2!$B$2:$D$8514,2,FALSE)),"")</f>
        <v/>
      </c>
      <c r="P210" s="62"/>
      <c r="Q210" s="62"/>
      <c r="R210" s="34" t="str">
        <f>IFERROR(VLOOKUP(N210,soils2!$B$2:$D$8514,3),"")</f>
        <v/>
      </c>
      <c r="S210" s="62"/>
      <c r="T210" s="62"/>
      <c r="U210" s="33"/>
    </row>
    <row r="211" spans="14:21">
      <c r="N211" s="33"/>
      <c r="O211" s="62" t="str">
        <f>IFERROR(IFERROR(VLOOKUP(S211,soils2!$A$2:$D$8514,3,FALSE),VLOOKUP(N211,soils2!$B$2:$D$8514,2,FALSE)),"")</f>
        <v/>
      </c>
      <c r="P211" s="62"/>
      <c r="Q211" s="62"/>
      <c r="R211" s="34" t="str">
        <f>IFERROR(VLOOKUP(N211,soils2!$B$2:$D$8514,3),"")</f>
        <v/>
      </c>
      <c r="S211" s="62"/>
      <c r="T211" s="62"/>
      <c r="U211" s="33"/>
    </row>
    <row r="212" spans="14:21">
      <c r="N212" s="33"/>
      <c r="O212" s="62" t="str">
        <f>IFERROR(IFERROR(VLOOKUP(S212,soils2!$A$2:$D$8514,3,FALSE),VLOOKUP(N212,soils2!$B$2:$D$8514,2,FALSE)),"")</f>
        <v/>
      </c>
      <c r="P212" s="62"/>
      <c r="Q212" s="62"/>
      <c r="R212" s="34" t="str">
        <f>IFERROR(VLOOKUP(N212,soils2!$B$2:$D$8514,3),"")</f>
        <v/>
      </c>
      <c r="S212" s="62"/>
      <c r="T212" s="62"/>
      <c r="U212" s="33"/>
    </row>
    <row r="213" spans="14:21">
      <c r="N213" s="33"/>
      <c r="O213" s="62" t="str">
        <f>IFERROR(IFERROR(VLOOKUP(S213,soils2!$A$2:$D$8514,3,FALSE),VLOOKUP(N213,soils2!$B$2:$D$8514,2,FALSE)),"")</f>
        <v/>
      </c>
      <c r="P213" s="62"/>
      <c r="Q213" s="62"/>
      <c r="R213" s="34" t="str">
        <f>IFERROR(VLOOKUP(N213,soils2!$B$2:$D$8514,3),"")</f>
        <v/>
      </c>
      <c r="S213" s="62"/>
      <c r="T213" s="62"/>
      <c r="U213" s="33"/>
    </row>
    <row r="214" spans="14:21">
      <c r="N214" s="33"/>
      <c r="O214" s="62" t="str">
        <f>IFERROR(IFERROR(VLOOKUP(S214,soils2!$A$2:$D$8514,3,FALSE),VLOOKUP(N214,soils2!$B$2:$D$8514,2,FALSE)),"")</f>
        <v/>
      </c>
      <c r="P214" s="62"/>
      <c r="Q214" s="62"/>
      <c r="R214" s="34" t="str">
        <f>IFERROR(VLOOKUP(N214,soils2!$B$2:$D$8514,3),"")</f>
        <v/>
      </c>
      <c r="S214" s="62"/>
      <c r="T214" s="62"/>
      <c r="U214" s="33"/>
    </row>
    <row r="215" spans="14:21">
      <c r="N215" s="33"/>
      <c r="O215" s="62" t="str">
        <f>IFERROR(IFERROR(VLOOKUP(S215,soils2!$A$2:$D$8514,3,FALSE),VLOOKUP(N215,soils2!$B$2:$D$8514,2,FALSE)),"")</f>
        <v/>
      </c>
      <c r="P215" s="62"/>
      <c r="Q215" s="62"/>
      <c r="R215" s="34" t="str">
        <f>IFERROR(VLOOKUP(N215,soils2!$B$2:$D$8514,3),"")</f>
        <v/>
      </c>
      <c r="S215" s="62"/>
      <c r="T215" s="62"/>
      <c r="U215" s="33"/>
    </row>
    <row r="216" spans="14:21">
      <c r="N216" s="33"/>
      <c r="O216" s="62" t="str">
        <f>IFERROR(IFERROR(VLOOKUP(S216,soils2!$A$2:$D$8514,3,FALSE),VLOOKUP(N216,soils2!$B$2:$D$8514,2,FALSE)),"")</f>
        <v/>
      </c>
      <c r="P216" s="62"/>
      <c r="Q216" s="62"/>
      <c r="R216" s="34" t="str">
        <f>IFERROR(VLOOKUP(N216,soils2!$B$2:$D$8514,3),"")</f>
        <v/>
      </c>
      <c r="S216" s="62"/>
      <c r="T216" s="62"/>
      <c r="U216" s="33"/>
    </row>
    <row r="217" spans="14:21">
      <c r="N217" s="33"/>
      <c r="O217" s="62" t="str">
        <f>IFERROR(IFERROR(VLOOKUP(S217,soils2!$A$2:$D$8514,3,FALSE),VLOOKUP(N217,soils2!$B$2:$D$8514,2,FALSE)),"")</f>
        <v/>
      </c>
      <c r="P217" s="62"/>
      <c r="Q217" s="62"/>
      <c r="R217" s="34" t="str">
        <f>IFERROR(VLOOKUP(N217,soils2!$B$2:$D$8514,3),"")</f>
        <v/>
      </c>
      <c r="S217" s="62"/>
      <c r="T217" s="62"/>
      <c r="U217" s="33"/>
    </row>
    <row r="218" spans="14:21">
      <c r="N218" s="33"/>
      <c r="O218" s="62" t="str">
        <f>IFERROR(IFERROR(VLOOKUP(S218,soils2!$A$2:$D$8514,3,FALSE),VLOOKUP(N218,soils2!$B$2:$D$8514,2,FALSE)),"")</f>
        <v/>
      </c>
      <c r="P218" s="62"/>
      <c r="Q218" s="62"/>
      <c r="R218" s="34" t="str">
        <f>IFERROR(VLOOKUP(N218,soils2!$B$2:$D$8514,3),"")</f>
        <v/>
      </c>
      <c r="S218" s="62"/>
      <c r="T218" s="62"/>
      <c r="U218" s="33"/>
    </row>
    <row r="219" spans="14:21">
      <c r="N219" s="33"/>
      <c r="O219" s="62" t="str">
        <f>IFERROR(IFERROR(VLOOKUP(S219,soils2!$A$2:$D$8514,3,FALSE),VLOOKUP(N219,soils2!$B$2:$D$8514,2,FALSE)),"")</f>
        <v/>
      </c>
      <c r="P219" s="62"/>
      <c r="Q219" s="62"/>
      <c r="R219" s="34" t="str">
        <f>IFERROR(VLOOKUP(N219,soils2!$B$2:$D$8514,3),"")</f>
        <v/>
      </c>
      <c r="S219" s="62"/>
      <c r="T219" s="62"/>
      <c r="U219" s="33"/>
    </row>
    <row r="220" spans="14:21">
      <c r="N220" s="33"/>
      <c r="O220" s="62" t="str">
        <f>IFERROR(IFERROR(VLOOKUP(S220,soils2!$A$2:$D$8514,3,FALSE),VLOOKUP(N220,soils2!$B$2:$D$8514,2,FALSE)),"")</f>
        <v/>
      </c>
      <c r="P220" s="62"/>
      <c r="Q220" s="62"/>
      <c r="R220" s="34" t="str">
        <f>IFERROR(VLOOKUP(N220,soils2!$B$2:$D$8514,3),"")</f>
        <v/>
      </c>
      <c r="S220" s="62"/>
      <c r="T220" s="62"/>
      <c r="U220" s="33"/>
    </row>
    <row r="221" spans="14:21">
      <c r="N221" s="33"/>
      <c r="O221" s="62" t="str">
        <f>IFERROR(IFERROR(VLOOKUP(S221,soils2!$A$2:$D$8514,3,FALSE),VLOOKUP(N221,soils2!$B$2:$D$8514,2,FALSE)),"")</f>
        <v/>
      </c>
      <c r="P221" s="62"/>
      <c r="Q221" s="62"/>
      <c r="R221" s="34" t="str">
        <f>IFERROR(VLOOKUP(N221,soils2!$B$2:$D$8514,3),"")</f>
        <v/>
      </c>
      <c r="S221" s="62"/>
      <c r="T221" s="62"/>
      <c r="U221" s="33"/>
    </row>
    <row r="222" spans="14:21">
      <c r="N222" s="33"/>
      <c r="O222" s="62" t="str">
        <f>IFERROR(IFERROR(VLOOKUP(S222,soils2!$A$2:$D$8514,3,FALSE),VLOOKUP(N222,soils2!$B$2:$D$8514,2,FALSE)),"")</f>
        <v/>
      </c>
      <c r="P222" s="62"/>
      <c r="Q222" s="62"/>
      <c r="R222" s="34" t="str">
        <f>IFERROR(VLOOKUP(N222,soils2!$B$2:$D$8514,3),"")</f>
        <v/>
      </c>
      <c r="S222" s="62"/>
      <c r="T222" s="62"/>
      <c r="U222" s="33"/>
    </row>
    <row r="223" spans="14:21">
      <c r="N223" s="33"/>
      <c r="O223" s="62" t="str">
        <f>IFERROR(IFERROR(VLOOKUP(S223,soils2!$A$2:$D$8514,3,FALSE),VLOOKUP(N223,soils2!$B$2:$D$8514,2,FALSE)),"")</f>
        <v/>
      </c>
      <c r="P223" s="62"/>
      <c r="Q223" s="62"/>
      <c r="R223" s="34" t="str">
        <f>IFERROR(VLOOKUP(N223,soils2!$B$2:$D$8514,3),"")</f>
        <v/>
      </c>
      <c r="S223" s="62"/>
      <c r="T223" s="62"/>
      <c r="U223" s="33"/>
    </row>
    <row r="224" spans="14:21">
      <c r="N224" s="33"/>
      <c r="O224" s="62" t="str">
        <f>IFERROR(IFERROR(VLOOKUP(S224,soils2!$A$2:$D$8514,3,FALSE),VLOOKUP(N224,soils2!$B$2:$D$8514,2,FALSE)),"")</f>
        <v/>
      </c>
      <c r="P224" s="62"/>
      <c r="Q224" s="62"/>
      <c r="R224" s="34" t="str">
        <f>IFERROR(VLOOKUP(N224,soils2!$B$2:$D$8514,3),"")</f>
        <v/>
      </c>
      <c r="S224" s="62"/>
      <c r="T224" s="62"/>
      <c r="U224" s="33"/>
    </row>
    <row r="225" spans="14:21">
      <c r="N225" s="33"/>
      <c r="O225" s="62" t="str">
        <f>IFERROR(IFERROR(VLOOKUP(S225,soils2!$A$2:$D$8514,3,FALSE),VLOOKUP(N225,soils2!$B$2:$D$8514,2,FALSE)),"")</f>
        <v/>
      </c>
      <c r="P225" s="62"/>
      <c r="Q225" s="62"/>
      <c r="R225" s="34" t="str">
        <f>IFERROR(VLOOKUP(N225,soils2!$B$2:$D$8514,3),"")</f>
        <v/>
      </c>
      <c r="S225" s="62"/>
      <c r="T225" s="62"/>
      <c r="U225" s="33"/>
    </row>
    <row r="226" spans="14:21">
      <c r="N226" s="33"/>
      <c r="O226" s="62" t="str">
        <f>IFERROR(IFERROR(VLOOKUP(S226,soils2!$A$2:$D$8514,3,FALSE),VLOOKUP(N226,soils2!$B$2:$D$8514,2,FALSE)),"")</f>
        <v/>
      </c>
      <c r="P226" s="62"/>
      <c r="Q226" s="62"/>
      <c r="R226" s="34" t="str">
        <f>IFERROR(VLOOKUP(N226,soils2!$B$2:$D$8514,3),"")</f>
        <v/>
      </c>
      <c r="S226" s="62"/>
      <c r="T226" s="62"/>
      <c r="U226" s="33"/>
    </row>
    <row r="227" spans="14:21">
      <c r="N227" s="33"/>
      <c r="O227" s="62" t="str">
        <f>IFERROR(IFERROR(VLOOKUP(S227,soils2!$A$2:$D$8514,3,FALSE),VLOOKUP(N227,soils2!$B$2:$D$8514,2,FALSE)),"")</f>
        <v/>
      </c>
      <c r="P227" s="62"/>
      <c r="Q227" s="62"/>
      <c r="R227" s="34" t="str">
        <f>IFERROR(VLOOKUP(N227,soils2!$B$2:$D$8514,3),"")</f>
        <v/>
      </c>
      <c r="S227" s="62"/>
      <c r="T227" s="62"/>
      <c r="U227" s="33"/>
    </row>
    <row r="228" spans="14:21">
      <c r="N228" s="33"/>
      <c r="O228" s="62" t="str">
        <f>IFERROR(IFERROR(VLOOKUP(S228,soils2!$A$2:$D$8514,3,FALSE),VLOOKUP(N228,soils2!$B$2:$D$8514,2,FALSE)),"")</f>
        <v/>
      </c>
      <c r="P228" s="62"/>
      <c r="Q228" s="62"/>
      <c r="R228" s="34" t="str">
        <f>IFERROR(VLOOKUP(N228,soils2!$B$2:$D$8514,3),"")</f>
        <v/>
      </c>
      <c r="S228" s="62"/>
      <c r="T228" s="62"/>
      <c r="U228" s="33"/>
    </row>
    <row r="229" spans="14:21">
      <c r="N229" s="33"/>
      <c r="O229" s="62" t="str">
        <f>IFERROR(IFERROR(VLOOKUP(S229,soils2!$A$2:$D$8514,3,FALSE),VLOOKUP(N229,soils2!$B$2:$D$8514,2,FALSE)),"")</f>
        <v/>
      </c>
      <c r="P229" s="62"/>
      <c r="Q229" s="62"/>
      <c r="R229" s="34" t="str">
        <f>IFERROR(VLOOKUP(N229,soils2!$B$2:$D$8514,3),"")</f>
        <v/>
      </c>
      <c r="S229" s="62"/>
      <c r="T229" s="62"/>
      <c r="U229" s="33"/>
    </row>
    <row r="230" spans="14:21">
      <c r="N230" s="33"/>
      <c r="O230" s="62" t="str">
        <f>IFERROR(IFERROR(VLOOKUP(S230,soils2!$A$2:$D$8514,3,FALSE),VLOOKUP(N230,soils2!$B$2:$D$8514,2,FALSE)),"")</f>
        <v/>
      </c>
      <c r="P230" s="62"/>
      <c r="Q230" s="62"/>
      <c r="R230" s="34" t="str">
        <f>IFERROR(VLOOKUP(N230,soils2!$B$2:$D$8514,3),"")</f>
        <v/>
      </c>
      <c r="S230" s="62"/>
      <c r="T230" s="62"/>
      <c r="U230" s="33"/>
    </row>
    <row r="231" spans="14:21">
      <c r="N231" s="33"/>
      <c r="O231" s="62" t="str">
        <f>IFERROR(IFERROR(VLOOKUP(S231,soils2!$A$2:$D$8514,3,FALSE),VLOOKUP(N231,soils2!$B$2:$D$8514,2,FALSE)),"")</f>
        <v/>
      </c>
      <c r="P231" s="62"/>
      <c r="Q231" s="62"/>
      <c r="R231" s="34" t="str">
        <f>IFERROR(VLOOKUP(N231,soils2!$B$2:$D$8514,3),"")</f>
        <v/>
      </c>
      <c r="S231" s="62"/>
      <c r="T231" s="62"/>
      <c r="U231" s="33"/>
    </row>
    <row r="232" spans="14:21">
      <c r="N232" s="33"/>
      <c r="O232" s="62" t="str">
        <f>IFERROR(IFERROR(VLOOKUP(S232,soils2!$A$2:$D$8514,3,FALSE),VLOOKUP(N232,soils2!$B$2:$D$8514,2,FALSE)),"")</f>
        <v/>
      </c>
      <c r="P232" s="62"/>
      <c r="Q232" s="62"/>
      <c r="R232" s="34" t="str">
        <f>IFERROR(VLOOKUP(N232,soils2!$B$2:$D$8514,3),"")</f>
        <v/>
      </c>
      <c r="S232" s="62"/>
      <c r="T232" s="62"/>
      <c r="U232" s="33"/>
    </row>
    <row r="233" spans="14:21">
      <c r="N233" s="33"/>
      <c r="O233" s="62" t="str">
        <f>IFERROR(IFERROR(VLOOKUP(S233,soils2!$A$2:$D$8514,3,FALSE),VLOOKUP(N233,soils2!$B$2:$D$8514,2,FALSE)),"")</f>
        <v/>
      </c>
      <c r="P233" s="62"/>
      <c r="Q233" s="62"/>
      <c r="R233" s="34" t="str">
        <f>IFERROR(VLOOKUP(N233,soils2!$B$2:$D$8514,3),"")</f>
        <v/>
      </c>
      <c r="S233" s="62"/>
      <c r="T233" s="62"/>
      <c r="U233" s="33"/>
    </row>
    <row r="234" spans="14:21">
      <c r="N234" s="33"/>
      <c r="O234" s="62" t="str">
        <f>IFERROR(IFERROR(VLOOKUP(S234,soils2!$A$2:$D$8514,3,FALSE),VLOOKUP(N234,soils2!$B$2:$D$8514,2,FALSE)),"")</f>
        <v/>
      </c>
      <c r="P234" s="62"/>
      <c r="Q234" s="62"/>
      <c r="R234" s="34" t="str">
        <f>IFERROR(VLOOKUP(N234,soils2!$B$2:$D$8514,3),"")</f>
        <v/>
      </c>
      <c r="S234" s="62"/>
      <c r="T234" s="62"/>
      <c r="U234" s="33"/>
    </row>
    <row r="235" spans="14:21">
      <c r="N235" s="33"/>
      <c r="O235" s="62" t="str">
        <f>IFERROR(IFERROR(VLOOKUP(S235,soils2!$A$2:$D$8514,3,FALSE),VLOOKUP(N235,soils2!$B$2:$D$8514,2,FALSE)),"")</f>
        <v/>
      </c>
      <c r="P235" s="62"/>
      <c r="Q235" s="62"/>
      <c r="R235" s="34" t="str">
        <f>IFERROR(VLOOKUP(N235,soils2!$B$2:$D$8514,3),"")</f>
        <v/>
      </c>
      <c r="S235" s="62"/>
      <c r="T235" s="62"/>
      <c r="U235" s="33"/>
    </row>
    <row r="236" spans="14:21">
      <c r="N236" s="33"/>
      <c r="O236" s="62" t="str">
        <f>IFERROR(IFERROR(VLOOKUP(S236,soils2!$A$2:$D$8514,3,FALSE),VLOOKUP(N236,soils2!$B$2:$D$8514,2,FALSE)),"")</f>
        <v/>
      </c>
      <c r="P236" s="62"/>
      <c r="Q236" s="62"/>
      <c r="R236" s="34" t="str">
        <f>IFERROR(VLOOKUP(N236,soils2!$B$2:$D$8514,3),"")</f>
        <v/>
      </c>
      <c r="S236" s="62"/>
      <c r="T236" s="62"/>
      <c r="U236" s="33"/>
    </row>
    <row r="237" spans="14:21">
      <c r="N237" s="33"/>
      <c r="O237" s="62" t="str">
        <f>IFERROR(IFERROR(VLOOKUP(S237,soils2!$A$2:$D$8514,3,FALSE),VLOOKUP(N237,soils2!$B$2:$D$8514,2,FALSE)),"")</f>
        <v/>
      </c>
      <c r="P237" s="62"/>
      <c r="Q237" s="62"/>
      <c r="R237" s="34" t="str">
        <f>IFERROR(VLOOKUP(N237,soils2!$B$2:$D$8514,3),"")</f>
        <v/>
      </c>
      <c r="S237" s="62"/>
      <c r="T237" s="62"/>
      <c r="U237" s="33"/>
    </row>
    <row r="238" spans="14:21">
      <c r="N238" s="33"/>
      <c r="O238" s="62" t="str">
        <f>IFERROR(IFERROR(VLOOKUP(S238,soils2!$A$2:$D$8514,3,FALSE),VLOOKUP(N238,soils2!$B$2:$D$8514,2,FALSE)),"")</f>
        <v/>
      </c>
      <c r="P238" s="62"/>
      <c r="Q238" s="62"/>
      <c r="R238" s="34" t="str">
        <f>IFERROR(VLOOKUP(N238,soils2!$B$2:$D$8514,3),"")</f>
        <v/>
      </c>
      <c r="S238" s="62"/>
      <c r="T238" s="62"/>
      <c r="U238" s="33"/>
    </row>
    <row r="239" spans="14:21">
      <c r="N239" s="33"/>
      <c r="O239" s="62" t="str">
        <f>IFERROR(IFERROR(VLOOKUP(S239,soils2!$A$2:$D$8514,3,FALSE),VLOOKUP(N239,soils2!$B$2:$D$8514,2,FALSE)),"")</f>
        <v/>
      </c>
      <c r="P239" s="62"/>
      <c r="Q239" s="62"/>
      <c r="R239" s="34" t="str">
        <f>IFERROR(VLOOKUP(N239,soils2!$B$2:$D$8514,3),"")</f>
        <v/>
      </c>
      <c r="S239" s="62"/>
      <c r="T239" s="62"/>
      <c r="U239" s="33"/>
    </row>
    <row r="240" spans="14:21">
      <c r="N240" s="33"/>
      <c r="O240" s="62" t="str">
        <f>IFERROR(IFERROR(VLOOKUP(S240,soils2!$A$2:$D$8514,3,FALSE),VLOOKUP(N240,soils2!$B$2:$D$8514,2,FALSE)),"")</f>
        <v/>
      </c>
      <c r="P240" s="62"/>
      <c r="Q240" s="62"/>
      <c r="R240" s="34" t="str">
        <f>IFERROR(VLOOKUP(N240,soils2!$B$2:$D$8514,3),"")</f>
        <v/>
      </c>
      <c r="S240" s="62"/>
      <c r="T240" s="62"/>
      <c r="U240" s="33"/>
    </row>
    <row r="241" spans="14:21">
      <c r="N241" s="33"/>
      <c r="O241" s="62" t="str">
        <f>IFERROR(IFERROR(VLOOKUP(S241,soils2!$A$2:$D$8514,3,FALSE),VLOOKUP(N241,soils2!$B$2:$D$8514,2,FALSE)),"")</f>
        <v/>
      </c>
      <c r="P241" s="62"/>
      <c r="Q241" s="62"/>
      <c r="R241" s="34" t="str">
        <f>IFERROR(VLOOKUP(N241,soils2!$B$2:$D$8514,3),"")</f>
        <v/>
      </c>
      <c r="S241" s="62"/>
      <c r="T241" s="62"/>
      <c r="U241" s="33"/>
    </row>
    <row r="242" spans="14:21">
      <c r="N242" s="33"/>
      <c r="O242" s="62" t="str">
        <f>IFERROR(IFERROR(VLOOKUP(S242,soils2!$A$2:$D$8514,3,FALSE),VLOOKUP(N242,soils2!$B$2:$D$8514,2,FALSE)),"")</f>
        <v/>
      </c>
      <c r="P242" s="62"/>
      <c r="Q242" s="62"/>
      <c r="R242" s="34" t="str">
        <f>IFERROR(VLOOKUP(N242,soils2!$B$2:$D$8514,3),"")</f>
        <v/>
      </c>
      <c r="S242" s="62"/>
      <c r="T242" s="62"/>
      <c r="U242" s="33"/>
    </row>
    <row r="243" spans="14:21">
      <c r="N243" s="33"/>
      <c r="O243" s="62" t="str">
        <f>IFERROR(IFERROR(VLOOKUP(S243,soils2!$A$2:$D$8514,3,FALSE),VLOOKUP(N243,soils2!$B$2:$D$8514,2,FALSE)),"")</f>
        <v/>
      </c>
      <c r="P243" s="62"/>
      <c r="Q243" s="62"/>
      <c r="R243" s="34" t="str">
        <f>IFERROR(VLOOKUP(N243,soils2!$B$2:$D$8514,3),"")</f>
        <v/>
      </c>
      <c r="S243" s="62"/>
      <c r="T243" s="62"/>
      <c r="U243" s="33"/>
    </row>
    <row r="244" spans="14:21">
      <c r="N244" s="33"/>
      <c r="O244" s="62" t="str">
        <f>IFERROR(IFERROR(VLOOKUP(S244,soils2!$A$2:$D$8514,3,FALSE),VLOOKUP(N244,soils2!$B$2:$D$8514,2,FALSE)),"")</f>
        <v/>
      </c>
      <c r="P244" s="62"/>
      <c r="Q244" s="62"/>
      <c r="R244" s="34" t="str">
        <f>IFERROR(VLOOKUP(N244,soils2!$B$2:$D$8514,3),"")</f>
        <v/>
      </c>
      <c r="S244" s="62"/>
      <c r="T244" s="62"/>
      <c r="U244" s="33"/>
    </row>
    <row r="245" spans="14:21">
      <c r="N245" s="33"/>
      <c r="O245" s="62" t="str">
        <f>IFERROR(IFERROR(VLOOKUP(S245,soils2!$A$2:$D$8514,3,FALSE),VLOOKUP(N245,soils2!$B$2:$D$8514,2,FALSE)),"")</f>
        <v/>
      </c>
      <c r="P245" s="62"/>
      <c r="Q245" s="62"/>
      <c r="R245" s="34" t="str">
        <f>IFERROR(VLOOKUP(N245,soils2!$B$2:$D$8514,3),"")</f>
        <v/>
      </c>
      <c r="S245" s="62"/>
      <c r="T245" s="62"/>
      <c r="U245" s="33"/>
    </row>
    <row r="246" spans="14:21">
      <c r="N246" s="33"/>
      <c r="O246" s="62" t="str">
        <f>IFERROR(IFERROR(VLOOKUP(S246,soils2!$A$2:$D$8514,3,FALSE),VLOOKUP(N246,soils2!$B$2:$D$8514,2,FALSE)),"")</f>
        <v/>
      </c>
      <c r="P246" s="62"/>
      <c r="Q246" s="62"/>
      <c r="R246" s="34" t="str">
        <f>IFERROR(VLOOKUP(N246,soils2!$B$2:$D$8514,3),"")</f>
        <v/>
      </c>
      <c r="S246" s="62"/>
      <c r="T246" s="62"/>
      <c r="U246" s="33"/>
    </row>
    <row r="247" spans="14:21">
      <c r="N247" s="33"/>
      <c r="O247" s="62" t="str">
        <f>IFERROR(IFERROR(VLOOKUP(S247,soils2!$A$2:$D$8514,3,FALSE),VLOOKUP(N247,soils2!$B$2:$D$8514,2,FALSE)),"")</f>
        <v/>
      </c>
      <c r="P247" s="62"/>
      <c r="Q247" s="62"/>
      <c r="R247" s="34" t="str">
        <f>IFERROR(VLOOKUP(N247,soils2!$B$2:$D$8514,3),"")</f>
        <v/>
      </c>
      <c r="S247" s="62"/>
      <c r="T247" s="62"/>
      <c r="U247" s="33"/>
    </row>
    <row r="248" spans="14:21">
      <c r="N248" s="33"/>
      <c r="O248" s="62" t="str">
        <f>IFERROR(IFERROR(VLOOKUP(S248,soils2!$A$2:$D$8514,3,FALSE),VLOOKUP(N248,soils2!$B$2:$D$8514,2,FALSE)),"")</f>
        <v/>
      </c>
      <c r="P248" s="62"/>
      <c r="Q248" s="62"/>
      <c r="R248" s="34" t="str">
        <f>IFERROR(VLOOKUP(N248,soils2!$B$2:$D$8514,3),"")</f>
        <v/>
      </c>
      <c r="S248" s="62"/>
      <c r="T248" s="62"/>
      <c r="U248" s="33"/>
    </row>
    <row r="249" spans="14:21">
      <c r="N249" s="33"/>
      <c r="O249" s="62" t="str">
        <f>IFERROR(IFERROR(VLOOKUP(S249,soils2!$A$2:$D$8514,3,FALSE),VLOOKUP(N249,soils2!$B$2:$D$8514,2,FALSE)),"")</f>
        <v/>
      </c>
      <c r="P249" s="62"/>
      <c r="Q249" s="62"/>
      <c r="R249" s="34" t="str">
        <f>IFERROR(VLOOKUP(N249,soils2!$B$2:$D$8514,3),"")</f>
        <v/>
      </c>
      <c r="S249" s="62"/>
      <c r="T249" s="62"/>
      <c r="U249" s="33"/>
    </row>
    <row r="250" spans="14:21">
      <c r="N250" s="33"/>
      <c r="O250" s="62" t="str">
        <f>IFERROR(IFERROR(VLOOKUP(S250,soils2!$A$2:$D$8514,3,FALSE),VLOOKUP(N250,soils2!$B$2:$D$8514,2,FALSE)),"")</f>
        <v/>
      </c>
      <c r="P250" s="62"/>
      <c r="Q250" s="62"/>
      <c r="R250" s="34" t="str">
        <f>IFERROR(VLOOKUP(N250,soils2!$B$2:$D$8514,3),"")</f>
        <v/>
      </c>
      <c r="S250" s="62"/>
      <c r="T250" s="62"/>
      <c r="U250" s="33"/>
    </row>
    <row r="251" spans="14:21">
      <c r="N251" s="33"/>
      <c r="O251" s="62" t="str">
        <f>IFERROR(IFERROR(VLOOKUP(S251,soils2!$A$2:$D$8514,3,FALSE),VLOOKUP(N251,soils2!$B$2:$D$8514,2,FALSE)),"")</f>
        <v/>
      </c>
      <c r="P251" s="62"/>
      <c r="Q251" s="62"/>
      <c r="R251" s="34" t="str">
        <f>IFERROR(VLOOKUP(N251,soils2!$B$2:$D$8514,3),"")</f>
        <v/>
      </c>
      <c r="S251" s="62"/>
      <c r="T251" s="62"/>
      <c r="U251" s="33"/>
    </row>
    <row r="252" spans="14:21">
      <c r="N252" s="33"/>
      <c r="O252" s="62" t="str">
        <f>IFERROR(IFERROR(VLOOKUP(S252,soils2!$A$2:$D$8514,3,FALSE),VLOOKUP(N252,soils2!$B$2:$D$8514,2,FALSE)),"")</f>
        <v/>
      </c>
      <c r="P252" s="62"/>
      <c r="Q252" s="62"/>
      <c r="R252" s="34" t="str">
        <f>IFERROR(VLOOKUP(N252,soils2!$B$2:$D$8514,3),"")</f>
        <v/>
      </c>
      <c r="S252" s="62"/>
      <c r="T252" s="62"/>
      <c r="U252" s="33"/>
    </row>
    <row r="253" spans="14:21">
      <c r="N253" s="33"/>
      <c r="O253" s="62" t="str">
        <f>IFERROR(IFERROR(VLOOKUP(S253,soils2!$A$2:$D$8514,3,FALSE),VLOOKUP(N253,soils2!$B$2:$D$8514,2,FALSE)),"")</f>
        <v/>
      </c>
      <c r="P253" s="62"/>
      <c r="Q253" s="62"/>
      <c r="R253" s="34" t="str">
        <f>IFERROR(VLOOKUP(N253,soils2!$B$2:$D$8514,3),"")</f>
        <v/>
      </c>
      <c r="S253" s="62"/>
      <c r="T253" s="62"/>
      <c r="U253" s="33"/>
    </row>
    <row r="254" spans="14:21">
      <c r="N254" s="33"/>
      <c r="O254" s="62" t="str">
        <f>IFERROR(IFERROR(VLOOKUP(S254,soils2!$A$2:$D$8514,3,FALSE),VLOOKUP(N254,soils2!$B$2:$D$8514,2,FALSE)),"")</f>
        <v/>
      </c>
      <c r="P254" s="62"/>
      <c r="Q254" s="62"/>
      <c r="R254" s="34" t="str">
        <f>IFERROR(VLOOKUP(N254,soils2!$B$2:$D$8514,3),"")</f>
        <v/>
      </c>
      <c r="S254" s="62"/>
      <c r="T254" s="62"/>
      <c r="U254" s="33"/>
    </row>
    <row r="255" spans="14:21">
      <c r="N255" s="33"/>
      <c r="O255" s="62" t="str">
        <f>IFERROR(IFERROR(VLOOKUP(S255,soils2!$A$2:$D$8514,3,FALSE),VLOOKUP(N255,soils2!$B$2:$D$8514,2,FALSE)),"")</f>
        <v/>
      </c>
      <c r="P255" s="62"/>
      <c r="Q255" s="62"/>
      <c r="R255" s="34" t="str">
        <f>IFERROR(VLOOKUP(N255,soils2!$B$2:$D$8514,3),"")</f>
        <v/>
      </c>
      <c r="S255" s="62"/>
      <c r="T255" s="62"/>
      <c r="U255" s="33"/>
    </row>
    <row r="256" spans="14:21">
      <c r="N256" s="33"/>
      <c r="O256" s="62" t="str">
        <f>IFERROR(IFERROR(VLOOKUP(S256,soils2!$A$2:$D$8514,3,FALSE),VLOOKUP(N256,soils2!$B$2:$D$8514,2,FALSE)),"")</f>
        <v/>
      </c>
      <c r="P256" s="62"/>
      <c r="Q256" s="62"/>
      <c r="R256" s="34" t="str">
        <f>IFERROR(VLOOKUP(N256,soils2!$B$2:$D$8514,3),"")</f>
        <v/>
      </c>
      <c r="S256" s="62"/>
      <c r="T256" s="62"/>
      <c r="U256" s="33"/>
    </row>
    <row r="257" spans="14:21">
      <c r="N257" s="33"/>
      <c r="O257" s="62" t="str">
        <f>IFERROR(IFERROR(VLOOKUP(S257,soils2!$A$2:$D$8514,3,FALSE),VLOOKUP(N257,soils2!$B$2:$D$8514,2,FALSE)),"")</f>
        <v/>
      </c>
      <c r="P257" s="62"/>
      <c r="Q257" s="62"/>
      <c r="R257" s="34" t="str">
        <f>IFERROR(VLOOKUP(N257,soils2!$B$2:$D$8514,3),"")</f>
        <v/>
      </c>
      <c r="S257" s="62"/>
      <c r="T257" s="62"/>
      <c r="U257" s="33"/>
    </row>
    <row r="258" spans="14:21">
      <c r="N258" s="33"/>
      <c r="O258" s="62" t="str">
        <f>IFERROR(IFERROR(VLOOKUP(S258,soils2!$A$2:$D$8514,3,FALSE),VLOOKUP(N258,soils2!$B$2:$D$8514,2,FALSE)),"")</f>
        <v/>
      </c>
      <c r="P258" s="62"/>
      <c r="Q258" s="62"/>
      <c r="R258" s="34" t="str">
        <f>IFERROR(VLOOKUP(N258,soils2!$B$2:$D$8514,3),"")</f>
        <v/>
      </c>
      <c r="S258" s="62"/>
      <c r="T258" s="62"/>
      <c r="U258" s="33"/>
    </row>
    <row r="259" spans="14:21">
      <c r="N259" s="33"/>
      <c r="O259" s="62" t="str">
        <f>IFERROR(IFERROR(VLOOKUP(S259,soils2!$A$2:$D$8514,3,FALSE),VLOOKUP(N259,soils2!$B$2:$D$8514,2,FALSE)),"")</f>
        <v/>
      </c>
      <c r="P259" s="62"/>
      <c r="Q259" s="62"/>
      <c r="R259" s="34" t="str">
        <f>IFERROR(VLOOKUP(N259,soils2!$B$2:$D$8514,3),"")</f>
        <v/>
      </c>
      <c r="S259" s="62"/>
      <c r="T259" s="62"/>
      <c r="U259" s="33"/>
    </row>
    <row r="260" spans="14:21">
      <c r="N260" s="33"/>
      <c r="O260" s="62" t="str">
        <f>IFERROR(IFERROR(VLOOKUP(S260,soils2!$A$2:$D$8514,3,FALSE),VLOOKUP(N260,soils2!$B$2:$D$8514,2,FALSE)),"")</f>
        <v/>
      </c>
      <c r="P260" s="62"/>
      <c r="Q260" s="62"/>
      <c r="R260" s="34" t="str">
        <f>IFERROR(VLOOKUP(N260,soils2!$B$2:$D$8514,3),"")</f>
        <v/>
      </c>
      <c r="S260" s="62"/>
      <c r="T260" s="62"/>
      <c r="U260" s="33"/>
    </row>
    <row r="261" spans="14:21">
      <c r="N261" s="33"/>
      <c r="O261" s="62" t="str">
        <f>IFERROR(IFERROR(VLOOKUP(S261,soils2!$A$2:$D$8514,3,FALSE),VLOOKUP(N261,soils2!$B$2:$D$8514,2,FALSE)),"")</f>
        <v/>
      </c>
      <c r="P261" s="62"/>
      <c r="Q261" s="62"/>
      <c r="R261" s="34" t="str">
        <f>IFERROR(VLOOKUP(N261,soils2!$B$2:$D$8514,3),"")</f>
        <v/>
      </c>
      <c r="S261" s="62"/>
      <c r="T261" s="62"/>
      <c r="U261" s="33"/>
    </row>
    <row r="262" spans="14:21">
      <c r="N262" s="33"/>
      <c r="O262" s="62" t="str">
        <f>IFERROR(IFERROR(VLOOKUP(S262,soils2!$A$2:$D$8514,3,FALSE),VLOOKUP(N262,soils2!$B$2:$D$8514,2,FALSE)),"")</f>
        <v/>
      </c>
      <c r="P262" s="62"/>
      <c r="Q262" s="62"/>
      <c r="R262" s="34" t="str">
        <f>IFERROR(VLOOKUP(N262,soils2!$B$2:$D$8514,3),"")</f>
        <v/>
      </c>
      <c r="S262" s="62"/>
      <c r="T262" s="62"/>
      <c r="U262" s="33"/>
    </row>
    <row r="263" spans="14:21">
      <c r="N263" s="33"/>
      <c r="O263" s="62" t="str">
        <f>IFERROR(IFERROR(VLOOKUP(S263,soils2!$A$2:$D$8514,3,FALSE),VLOOKUP(N263,soils2!$B$2:$D$8514,2,FALSE)),"")</f>
        <v/>
      </c>
      <c r="P263" s="62"/>
      <c r="Q263" s="62"/>
      <c r="R263" s="34" t="str">
        <f>IFERROR(VLOOKUP(N263,soils2!$B$2:$D$8514,3),"")</f>
        <v/>
      </c>
      <c r="S263" s="62"/>
      <c r="T263" s="62"/>
      <c r="U263" s="33"/>
    </row>
    <row r="264" spans="14:21">
      <c r="N264" s="33"/>
      <c r="O264" s="62" t="str">
        <f>IFERROR(IFERROR(VLOOKUP(S264,soils2!$A$2:$D$8514,3,FALSE),VLOOKUP(N264,soils2!$B$2:$D$8514,2,FALSE)),"")</f>
        <v/>
      </c>
      <c r="P264" s="62"/>
      <c r="Q264" s="62"/>
      <c r="R264" s="34" t="str">
        <f>IFERROR(VLOOKUP(N264,soils2!$B$2:$D$8514,3),"")</f>
        <v/>
      </c>
      <c r="S264" s="62"/>
      <c r="T264" s="62"/>
      <c r="U264" s="33"/>
    </row>
    <row r="265" spans="14:21">
      <c r="N265" s="33"/>
      <c r="O265" s="62" t="str">
        <f>IFERROR(IFERROR(VLOOKUP(S265,soils2!$A$2:$D$8514,3,FALSE),VLOOKUP(N265,soils2!$B$2:$D$8514,2,FALSE)),"")</f>
        <v/>
      </c>
      <c r="P265" s="62"/>
      <c r="Q265" s="62"/>
      <c r="R265" s="34" t="str">
        <f>IFERROR(VLOOKUP(N265,soils2!$B$2:$D$8514,3),"")</f>
        <v/>
      </c>
      <c r="S265" s="62"/>
      <c r="T265" s="62"/>
      <c r="U265" s="33"/>
    </row>
    <row r="266" spans="14:21">
      <c r="N266" s="33"/>
      <c r="O266" s="62" t="str">
        <f>IFERROR(IFERROR(VLOOKUP(S266,soils2!$A$2:$D$8514,3,FALSE),VLOOKUP(N266,soils2!$B$2:$D$8514,2,FALSE)),"")</f>
        <v/>
      </c>
      <c r="P266" s="62"/>
      <c r="Q266" s="62"/>
      <c r="R266" s="34" t="str">
        <f>IFERROR(VLOOKUP(N266,soils2!$B$2:$D$8514,3),"")</f>
        <v/>
      </c>
      <c r="S266" s="62"/>
      <c r="T266" s="62"/>
      <c r="U266" s="33"/>
    </row>
    <row r="267" spans="14:21">
      <c r="N267" s="33"/>
      <c r="O267" s="62" t="str">
        <f>IFERROR(IFERROR(VLOOKUP(S267,soils2!$A$2:$D$8514,3,FALSE),VLOOKUP(N267,soils2!$B$2:$D$8514,2,FALSE)),"")</f>
        <v/>
      </c>
      <c r="P267" s="62"/>
      <c r="Q267" s="62"/>
      <c r="R267" s="34" t="str">
        <f>IFERROR(VLOOKUP(N267,soils2!$B$2:$D$8514,3),"")</f>
        <v/>
      </c>
      <c r="S267" s="62"/>
      <c r="T267" s="62"/>
      <c r="U267" s="33"/>
    </row>
    <row r="268" spans="14:21">
      <c r="N268" s="33"/>
      <c r="O268" s="62" t="str">
        <f>IFERROR(IFERROR(VLOOKUP(S268,soils2!$A$2:$D$8514,3,FALSE),VLOOKUP(N268,soils2!$B$2:$D$8514,2,FALSE)),"")</f>
        <v/>
      </c>
      <c r="P268" s="62"/>
      <c r="Q268" s="62"/>
      <c r="R268" s="34" t="str">
        <f>IFERROR(VLOOKUP(N268,soils2!$B$2:$D$8514,3),"")</f>
        <v/>
      </c>
      <c r="S268" s="62"/>
      <c r="T268" s="62"/>
      <c r="U268" s="33"/>
    </row>
    <row r="269" spans="14:21">
      <c r="N269" s="33"/>
      <c r="O269" s="62" t="str">
        <f>IFERROR(IFERROR(VLOOKUP(S269,soils2!$A$2:$D$8514,3,FALSE),VLOOKUP(N269,soils2!$B$2:$D$8514,2,FALSE)),"")</f>
        <v/>
      </c>
      <c r="P269" s="62"/>
      <c r="Q269" s="62"/>
      <c r="R269" s="34" t="str">
        <f>IFERROR(VLOOKUP(N269,soils2!$B$2:$D$8514,3),"")</f>
        <v/>
      </c>
      <c r="S269" s="62"/>
      <c r="T269" s="62"/>
      <c r="U269" s="33"/>
    </row>
    <row r="270" spans="14:21">
      <c r="N270" s="33"/>
      <c r="O270" s="62" t="str">
        <f>IFERROR(IFERROR(VLOOKUP(S270,soils2!$A$2:$D$8514,3,FALSE),VLOOKUP(N270,soils2!$B$2:$D$8514,2,FALSE)),"")</f>
        <v/>
      </c>
      <c r="P270" s="62"/>
      <c r="Q270" s="62"/>
      <c r="R270" s="34" t="str">
        <f>IFERROR(VLOOKUP(N270,soils2!$B$2:$D$8514,3),"")</f>
        <v/>
      </c>
      <c r="S270" s="62"/>
      <c r="T270" s="62"/>
      <c r="U270" s="33"/>
    </row>
    <row r="271" spans="14:21">
      <c r="N271" s="33"/>
      <c r="O271" s="62" t="str">
        <f>IFERROR(IFERROR(VLOOKUP(S271,soils2!$A$2:$D$8514,3,FALSE),VLOOKUP(N271,soils2!$B$2:$D$8514,2,FALSE)),"")</f>
        <v/>
      </c>
      <c r="P271" s="62"/>
      <c r="Q271" s="62"/>
      <c r="R271" s="34" t="str">
        <f>IFERROR(VLOOKUP(N271,soils2!$B$2:$D$8514,3),"")</f>
        <v/>
      </c>
      <c r="S271" s="62"/>
      <c r="T271" s="62"/>
      <c r="U271" s="33"/>
    </row>
    <row r="272" spans="14:21">
      <c r="N272" s="33"/>
      <c r="O272" s="62" t="str">
        <f>IFERROR(IFERROR(VLOOKUP(S272,soils2!$A$2:$D$8514,3,FALSE),VLOOKUP(N272,soils2!$B$2:$D$8514,2,FALSE)),"")</f>
        <v/>
      </c>
      <c r="P272" s="62"/>
      <c r="Q272" s="62"/>
      <c r="R272" s="34" t="str">
        <f>IFERROR(VLOOKUP(N272,soils2!$B$2:$D$8514,3),"")</f>
        <v/>
      </c>
      <c r="S272" s="62"/>
      <c r="T272" s="62"/>
      <c r="U272" s="33"/>
    </row>
    <row r="273" spans="14:21">
      <c r="N273" s="33"/>
      <c r="O273" s="62" t="str">
        <f>IFERROR(IFERROR(VLOOKUP(S273,soils2!$A$2:$D$8514,3,FALSE),VLOOKUP(N273,soils2!$B$2:$D$8514,2,FALSE)),"")</f>
        <v/>
      </c>
      <c r="P273" s="62"/>
      <c r="Q273" s="62"/>
      <c r="R273" s="34" t="str">
        <f>IFERROR(VLOOKUP(N273,soils2!$B$2:$D$8514,3),"")</f>
        <v/>
      </c>
      <c r="S273" s="62"/>
      <c r="T273" s="62"/>
      <c r="U273" s="33"/>
    </row>
    <row r="274" spans="14:21">
      <c r="N274" s="33"/>
      <c r="O274" s="62" t="str">
        <f>IFERROR(IFERROR(VLOOKUP(S274,soils2!$A$2:$D$8514,3,FALSE),VLOOKUP(N274,soils2!$B$2:$D$8514,2,FALSE)),"")</f>
        <v/>
      </c>
      <c r="P274" s="62"/>
      <c r="Q274" s="62"/>
      <c r="R274" s="34" t="str">
        <f>IFERROR(VLOOKUP(N274,soils2!$B$2:$D$8514,3),"")</f>
        <v/>
      </c>
      <c r="S274" s="62"/>
      <c r="T274" s="62"/>
      <c r="U274" s="33"/>
    </row>
    <row r="275" spans="14:21">
      <c r="N275" s="33"/>
      <c r="O275" s="62" t="str">
        <f>IFERROR(IFERROR(VLOOKUP(S275,soils2!$A$2:$D$8514,3,FALSE),VLOOKUP(N275,soils2!$B$2:$D$8514,2,FALSE)),"")</f>
        <v/>
      </c>
      <c r="P275" s="62"/>
      <c r="Q275" s="62"/>
      <c r="R275" s="34" t="str">
        <f>IFERROR(VLOOKUP(N275,soils2!$B$2:$D$8514,3),"")</f>
        <v/>
      </c>
      <c r="S275" s="62"/>
      <c r="T275" s="62"/>
      <c r="U275" s="33"/>
    </row>
    <row r="276" spans="14:21">
      <c r="N276" s="33"/>
      <c r="O276" s="62" t="str">
        <f>IFERROR(IFERROR(VLOOKUP(S276,soils2!$A$2:$D$8514,3,FALSE),VLOOKUP(N276,soils2!$B$2:$D$8514,2,FALSE)),"")</f>
        <v/>
      </c>
      <c r="P276" s="62"/>
      <c r="Q276" s="62"/>
      <c r="R276" s="34" t="str">
        <f>IFERROR(VLOOKUP(N276,soils2!$B$2:$D$8514,3),"")</f>
        <v/>
      </c>
      <c r="S276" s="62"/>
      <c r="T276" s="62"/>
      <c r="U276" s="33"/>
    </row>
    <row r="277" spans="14:21">
      <c r="N277" s="33"/>
      <c r="O277" s="62" t="str">
        <f>IFERROR(IFERROR(VLOOKUP(S277,soils2!$A$2:$D$8514,3,FALSE),VLOOKUP(N277,soils2!$B$2:$D$8514,2,FALSE)),"")</f>
        <v/>
      </c>
      <c r="P277" s="62"/>
      <c r="Q277" s="62"/>
      <c r="R277" s="34" t="str">
        <f>IFERROR(VLOOKUP(N277,soils2!$B$2:$D$8514,3),"")</f>
        <v/>
      </c>
      <c r="S277" s="62"/>
      <c r="T277" s="62"/>
      <c r="U277" s="33"/>
    </row>
    <row r="278" spans="14:21">
      <c r="N278" s="33"/>
      <c r="O278" s="62" t="str">
        <f>IFERROR(IFERROR(VLOOKUP(S278,soils2!$A$2:$D$8514,3,FALSE),VLOOKUP(N278,soils2!$B$2:$D$8514,2,FALSE)),"")</f>
        <v/>
      </c>
      <c r="P278" s="62"/>
      <c r="Q278" s="62"/>
      <c r="R278" s="34" t="str">
        <f>IFERROR(VLOOKUP(N278,soils2!$B$2:$D$8514,3),"")</f>
        <v/>
      </c>
      <c r="S278" s="62"/>
      <c r="T278" s="62"/>
      <c r="U278" s="33"/>
    </row>
    <row r="279" spans="14:21">
      <c r="N279" s="33"/>
      <c r="O279" s="62" t="str">
        <f>IFERROR(IFERROR(VLOOKUP(S279,soils2!$A$2:$D$8514,3,FALSE),VLOOKUP(N279,soils2!$B$2:$D$8514,2,FALSE)),"")</f>
        <v/>
      </c>
      <c r="P279" s="62"/>
      <c r="Q279" s="62"/>
      <c r="R279" s="34" t="str">
        <f>IFERROR(VLOOKUP(N279,soils2!$B$2:$D$8514,3),"")</f>
        <v/>
      </c>
      <c r="S279" s="62"/>
      <c r="T279" s="62"/>
      <c r="U279" s="33"/>
    </row>
    <row r="280" spans="14:21">
      <c r="N280" s="33"/>
      <c r="O280" s="62" t="str">
        <f>IFERROR(IFERROR(VLOOKUP(S280,soils2!$A$2:$D$8514,3,FALSE),VLOOKUP(N280,soils2!$B$2:$D$8514,2,FALSE)),"")</f>
        <v/>
      </c>
      <c r="P280" s="62"/>
      <c r="Q280" s="62"/>
      <c r="R280" s="34" t="str">
        <f>IFERROR(VLOOKUP(N280,soils2!$B$2:$D$8514,3),"")</f>
        <v/>
      </c>
      <c r="S280" s="62"/>
      <c r="T280" s="62"/>
      <c r="U280" s="33"/>
    </row>
    <row r="281" spans="14:21">
      <c r="N281" s="33"/>
      <c r="O281" s="62" t="str">
        <f>IFERROR(IFERROR(VLOOKUP(S281,soils2!$A$2:$D$8514,3,FALSE),VLOOKUP(N281,soils2!$B$2:$D$8514,2,FALSE)),"")</f>
        <v/>
      </c>
      <c r="P281" s="62"/>
      <c r="Q281" s="62"/>
      <c r="R281" s="34" t="str">
        <f>IFERROR(VLOOKUP(N281,soils2!$B$2:$D$8514,3),"")</f>
        <v/>
      </c>
      <c r="S281" s="62"/>
      <c r="T281" s="62"/>
      <c r="U281" s="33"/>
    </row>
    <row r="282" spans="14:21">
      <c r="N282" s="33"/>
      <c r="O282" s="62" t="str">
        <f>IFERROR(IFERROR(VLOOKUP(S282,soils2!$A$2:$D$8514,3,FALSE),VLOOKUP(N282,soils2!$B$2:$D$8514,2,FALSE)),"")</f>
        <v/>
      </c>
      <c r="P282" s="62"/>
      <c r="Q282" s="62"/>
      <c r="R282" s="34" t="str">
        <f>IFERROR(VLOOKUP(N282,soils2!$B$2:$D$8514,3),"")</f>
        <v/>
      </c>
      <c r="S282" s="62"/>
      <c r="T282" s="62"/>
      <c r="U282" s="33"/>
    </row>
    <row r="283" spans="14:21">
      <c r="N283" s="33"/>
      <c r="O283" s="62" t="str">
        <f>IFERROR(IFERROR(VLOOKUP(S283,soils2!$A$2:$D$8514,3,FALSE),VLOOKUP(N283,soils2!$B$2:$D$8514,2,FALSE)),"")</f>
        <v/>
      </c>
      <c r="P283" s="62"/>
      <c r="Q283" s="62"/>
      <c r="R283" s="34" t="str">
        <f>IFERROR(VLOOKUP(N283,soils2!$B$2:$D$8514,3),"")</f>
        <v/>
      </c>
      <c r="S283" s="62"/>
      <c r="T283" s="62"/>
      <c r="U283" s="33"/>
    </row>
    <row r="284" spans="14:21">
      <c r="N284" s="33"/>
      <c r="O284" s="62" t="str">
        <f>IFERROR(IFERROR(VLOOKUP(S284,soils2!$A$2:$D$8514,3,FALSE),VLOOKUP(N284,soils2!$B$2:$D$8514,2,FALSE)),"")</f>
        <v/>
      </c>
      <c r="P284" s="62"/>
      <c r="Q284" s="62"/>
      <c r="R284" s="34" t="str">
        <f>IFERROR(VLOOKUP(N284,soils2!$B$2:$D$8514,3),"")</f>
        <v/>
      </c>
      <c r="S284" s="62"/>
      <c r="T284" s="62"/>
      <c r="U284" s="33"/>
    </row>
    <row r="285" spans="14:21">
      <c r="N285" s="33"/>
      <c r="O285" s="62" t="str">
        <f>IFERROR(IFERROR(VLOOKUP(S285,soils2!$A$2:$D$8514,3,FALSE),VLOOKUP(N285,soils2!$B$2:$D$8514,2,FALSE)),"")</f>
        <v/>
      </c>
      <c r="P285" s="62"/>
      <c r="Q285" s="62"/>
      <c r="R285" s="34" t="str">
        <f>IFERROR(VLOOKUP(N285,soils2!$B$2:$D$8514,3),"")</f>
        <v/>
      </c>
      <c r="S285" s="62"/>
      <c r="T285" s="62"/>
      <c r="U285" s="33"/>
    </row>
    <row r="286" spans="14:21">
      <c r="N286" s="33"/>
      <c r="O286" s="62" t="str">
        <f>IFERROR(IFERROR(VLOOKUP(S286,soils2!$A$2:$D$8514,3,FALSE),VLOOKUP(N286,soils2!$B$2:$D$8514,2,FALSE)),"")</f>
        <v/>
      </c>
      <c r="P286" s="62"/>
      <c r="Q286" s="62"/>
      <c r="R286" s="34" t="str">
        <f>IFERROR(VLOOKUP(N286,soils2!$B$2:$D$8514,3),"")</f>
        <v/>
      </c>
      <c r="S286" s="62"/>
      <c r="T286" s="62"/>
      <c r="U286" s="33"/>
    </row>
    <row r="287" spans="14:21">
      <c r="N287" s="33"/>
      <c r="O287" s="62" t="str">
        <f>IFERROR(IFERROR(VLOOKUP(S287,soils2!$A$2:$D$8514,3,FALSE),VLOOKUP(N287,soils2!$B$2:$D$8514,2,FALSE)),"")</f>
        <v/>
      </c>
      <c r="P287" s="62"/>
      <c r="Q287" s="62"/>
      <c r="R287" s="34" t="str">
        <f>IFERROR(VLOOKUP(N287,soils2!$B$2:$D$8514,3),"")</f>
        <v/>
      </c>
      <c r="S287" s="62"/>
      <c r="T287" s="62"/>
      <c r="U287" s="33"/>
    </row>
    <row r="288" spans="14:21">
      <c r="N288" s="33"/>
      <c r="O288" s="62" t="str">
        <f>IFERROR(IFERROR(VLOOKUP(S288,soils2!$A$2:$D$8514,3,FALSE),VLOOKUP(N288,soils2!$B$2:$D$8514,2,FALSE)),"")</f>
        <v/>
      </c>
      <c r="P288" s="62"/>
      <c r="Q288" s="62"/>
      <c r="R288" s="34" t="str">
        <f>IFERROR(VLOOKUP(N288,soils2!$B$2:$D$8514,3),"")</f>
        <v/>
      </c>
      <c r="S288" s="62"/>
      <c r="T288" s="62"/>
      <c r="U288" s="33"/>
    </row>
    <row r="289" spans="14:21">
      <c r="N289" s="33"/>
      <c r="O289" s="62" t="str">
        <f>IFERROR(IFERROR(VLOOKUP(S289,soils2!$A$2:$D$8514,3,FALSE),VLOOKUP(N289,soils2!$B$2:$D$8514,2,FALSE)),"")</f>
        <v/>
      </c>
      <c r="P289" s="62"/>
      <c r="Q289" s="62"/>
      <c r="R289" s="34" t="str">
        <f>IFERROR(VLOOKUP(N289,soils2!$B$2:$D$8514,3),"")</f>
        <v/>
      </c>
      <c r="S289" s="62"/>
      <c r="T289" s="62"/>
      <c r="U289" s="33"/>
    </row>
    <row r="290" spans="14:21">
      <c r="N290" s="33"/>
      <c r="O290" s="62" t="str">
        <f>IFERROR(IFERROR(VLOOKUP(S290,soils2!$A$2:$D$8514,3,FALSE),VLOOKUP(N290,soils2!$B$2:$D$8514,2,FALSE)),"")</f>
        <v/>
      </c>
      <c r="P290" s="62"/>
      <c r="Q290" s="62"/>
      <c r="R290" s="34" t="str">
        <f>IFERROR(VLOOKUP(N290,soils2!$B$2:$D$8514,3),"")</f>
        <v/>
      </c>
      <c r="S290" s="62"/>
      <c r="T290" s="62"/>
      <c r="U290" s="33"/>
    </row>
    <row r="291" spans="14:21">
      <c r="N291" s="33"/>
      <c r="O291" s="62" t="str">
        <f>IFERROR(IFERROR(VLOOKUP(S291,soils2!$A$2:$D$8514,3,FALSE),VLOOKUP(N291,soils2!$B$2:$D$8514,2,FALSE)),"")</f>
        <v/>
      </c>
      <c r="P291" s="62"/>
      <c r="Q291" s="62"/>
      <c r="R291" s="34" t="str">
        <f>IFERROR(VLOOKUP(N291,soils2!$B$2:$D$8514,3),"")</f>
        <v/>
      </c>
      <c r="S291" s="62"/>
      <c r="T291" s="62"/>
      <c r="U291" s="33"/>
    </row>
    <row r="292" spans="14:21">
      <c r="N292" s="33"/>
      <c r="O292" s="62" t="str">
        <f>IFERROR(IFERROR(VLOOKUP(S292,soils2!$A$2:$D$8514,3,FALSE),VLOOKUP(N292,soils2!$B$2:$D$8514,2,FALSE)),"")</f>
        <v/>
      </c>
      <c r="P292" s="62"/>
      <c r="Q292" s="62"/>
      <c r="R292" s="34" t="str">
        <f>IFERROR(VLOOKUP(N292,soils2!$B$2:$D$8514,3),"")</f>
        <v/>
      </c>
      <c r="S292" s="62"/>
      <c r="T292" s="62"/>
      <c r="U292" s="33"/>
    </row>
    <row r="293" spans="14:21">
      <c r="N293" s="33"/>
      <c r="O293" s="62" t="str">
        <f>IFERROR(IFERROR(VLOOKUP(S293,soils2!$A$2:$D$8514,3,FALSE),VLOOKUP(N293,soils2!$B$2:$D$8514,2,FALSE)),"")</f>
        <v/>
      </c>
      <c r="P293" s="62"/>
      <c r="Q293" s="62"/>
      <c r="R293" s="34" t="str">
        <f>IFERROR(VLOOKUP(N293,soils2!$B$2:$D$8514,3),"")</f>
        <v/>
      </c>
      <c r="S293" s="62"/>
      <c r="T293" s="62"/>
      <c r="U293" s="33"/>
    </row>
    <row r="294" spans="14:21">
      <c r="N294" s="33"/>
      <c r="O294" s="62" t="str">
        <f>IFERROR(IFERROR(VLOOKUP(S294,soils2!$A$2:$D$8514,3,FALSE),VLOOKUP(N294,soils2!$B$2:$D$8514,2,FALSE)),"")</f>
        <v/>
      </c>
      <c r="P294" s="62"/>
      <c r="Q294" s="62"/>
      <c r="R294" s="34" t="str">
        <f>IFERROR(VLOOKUP(N294,soils2!$B$2:$D$8514,3),"")</f>
        <v/>
      </c>
      <c r="S294" s="62"/>
      <c r="T294" s="62"/>
      <c r="U294" s="33"/>
    </row>
    <row r="295" spans="14:21">
      <c r="N295" s="33"/>
      <c r="O295" s="62" t="str">
        <f>IFERROR(IFERROR(VLOOKUP(S295,soils2!$A$2:$D$8514,3,FALSE),VLOOKUP(N295,soils2!$B$2:$D$8514,2,FALSE)),"")</f>
        <v/>
      </c>
      <c r="P295" s="62"/>
      <c r="Q295" s="62"/>
      <c r="R295" s="34" t="str">
        <f>IFERROR(VLOOKUP(N295,soils2!$B$2:$D$8514,3),"")</f>
        <v/>
      </c>
      <c r="S295" s="62"/>
      <c r="T295" s="62"/>
      <c r="U295" s="33"/>
    </row>
    <row r="296" spans="14:21">
      <c r="N296" s="33"/>
      <c r="O296" s="62" t="str">
        <f>IFERROR(IFERROR(VLOOKUP(S296,soils2!$A$2:$D$8514,3,FALSE),VLOOKUP(N296,soils2!$B$2:$D$8514,2,FALSE)),"")</f>
        <v/>
      </c>
      <c r="P296" s="62"/>
      <c r="Q296" s="62"/>
      <c r="R296" s="34" t="str">
        <f>IFERROR(VLOOKUP(N296,soils2!$B$2:$D$8514,3),"")</f>
        <v/>
      </c>
      <c r="S296" s="62"/>
      <c r="T296" s="62"/>
      <c r="U296" s="33"/>
    </row>
    <row r="297" spans="14:21">
      <c r="N297" s="33"/>
      <c r="O297" s="62" t="str">
        <f>IFERROR(IFERROR(VLOOKUP(S297,soils2!$A$2:$D$8514,3,FALSE),VLOOKUP(N297,soils2!$B$2:$D$8514,2,FALSE)),"")</f>
        <v/>
      </c>
      <c r="P297" s="62"/>
      <c r="Q297" s="62"/>
      <c r="R297" s="34" t="str">
        <f>IFERROR(VLOOKUP(N297,soils2!$B$2:$D$8514,3),"")</f>
        <v/>
      </c>
      <c r="S297" s="62"/>
      <c r="T297" s="62"/>
      <c r="U297" s="33"/>
    </row>
    <row r="298" spans="14:21">
      <c r="N298" s="33"/>
      <c r="O298" s="62" t="str">
        <f>IFERROR(IFERROR(VLOOKUP(S298,soils2!$A$2:$D$8514,3,FALSE),VLOOKUP(N298,soils2!$B$2:$D$8514,2,FALSE)),"")</f>
        <v/>
      </c>
      <c r="P298" s="62"/>
      <c r="Q298" s="62"/>
      <c r="R298" s="34" t="str">
        <f>IFERROR(VLOOKUP(N298,soils2!$B$2:$D$8514,3),"")</f>
        <v/>
      </c>
      <c r="S298" s="62"/>
      <c r="T298" s="62"/>
      <c r="U298" s="33"/>
    </row>
    <row r="299" spans="14:21">
      <c r="N299" s="33"/>
      <c r="O299" s="62" t="str">
        <f>IFERROR(IFERROR(VLOOKUP(S299,soils2!$A$2:$D$8514,3,FALSE),VLOOKUP(N299,soils2!$B$2:$D$8514,2,FALSE)),"")</f>
        <v/>
      </c>
      <c r="P299" s="62"/>
      <c r="Q299" s="62"/>
      <c r="R299" s="34" t="str">
        <f>IFERROR(VLOOKUP(N299,soils2!$B$2:$D$8514,3),"")</f>
        <v/>
      </c>
      <c r="S299" s="62"/>
      <c r="T299" s="62"/>
      <c r="U299" s="33"/>
    </row>
    <row r="300" spans="14:21">
      <c r="N300" s="33"/>
      <c r="O300" s="62" t="str">
        <f>IFERROR(IFERROR(VLOOKUP(S300,soils2!$A$2:$D$8514,3,FALSE),VLOOKUP(N300,soils2!$B$2:$D$8514,2,FALSE)),"")</f>
        <v/>
      </c>
      <c r="P300" s="62"/>
      <c r="Q300" s="62"/>
      <c r="R300" s="34" t="str">
        <f>IFERROR(VLOOKUP(N300,soils2!$B$2:$D$8514,3),"")</f>
        <v/>
      </c>
      <c r="S300" s="62"/>
      <c r="T300" s="62"/>
      <c r="U300" s="33"/>
    </row>
    <row r="301" spans="14:21">
      <c r="N301" s="33"/>
      <c r="O301" s="62" t="str">
        <f>IFERROR(IFERROR(VLOOKUP(S301,soils2!$A$2:$D$8514,3,FALSE),VLOOKUP(N301,soils2!$B$2:$D$8514,2,FALSE)),"")</f>
        <v/>
      </c>
      <c r="P301" s="62"/>
      <c r="Q301" s="62"/>
      <c r="R301" s="34" t="str">
        <f>IFERROR(VLOOKUP(N301,soils2!$B$2:$D$8514,3),"")</f>
        <v/>
      </c>
      <c r="S301" s="62"/>
      <c r="T301" s="62"/>
      <c r="U301" s="33"/>
    </row>
    <row r="302" spans="14:21">
      <c r="N302" s="33"/>
      <c r="O302" s="62" t="str">
        <f>IFERROR(IFERROR(VLOOKUP(S302,soils2!$A$2:$D$8514,3,FALSE),VLOOKUP(N302,soils2!$B$2:$D$8514,2,FALSE)),"")</f>
        <v/>
      </c>
      <c r="P302" s="62"/>
      <c r="Q302" s="62"/>
      <c r="R302" s="34" t="str">
        <f>IFERROR(VLOOKUP(N302,soils2!$B$2:$D$8514,3),"")</f>
        <v/>
      </c>
      <c r="S302" s="62"/>
      <c r="T302" s="62"/>
      <c r="U302" s="33"/>
    </row>
    <row r="303" spans="14:21">
      <c r="N303" s="33"/>
      <c r="O303" s="62" t="str">
        <f>IFERROR(IFERROR(VLOOKUP(S303,soils2!$A$2:$D$8514,3,FALSE),VLOOKUP(N303,soils2!$B$2:$D$8514,2,FALSE)),"")</f>
        <v/>
      </c>
      <c r="P303" s="62"/>
      <c r="Q303" s="62"/>
      <c r="R303" s="34" t="str">
        <f>IFERROR(VLOOKUP(N303,soils2!$B$2:$D$8514,3),"")</f>
        <v/>
      </c>
      <c r="S303" s="62"/>
      <c r="T303" s="62"/>
      <c r="U303" s="33"/>
    </row>
    <row r="304" spans="14:21">
      <c r="N304" s="33"/>
      <c r="O304" s="62" t="str">
        <f>IFERROR(IFERROR(VLOOKUP(S304,soils2!$A$2:$D$8514,3,FALSE),VLOOKUP(N304,soils2!$B$2:$D$8514,2,FALSE)),"")</f>
        <v/>
      </c>
      <c r="P304" s="62"/>
      <c r="Q304" s="62"/>
      <c r="R304" s="34" t="str">
        <f>IFERROR(VLOOKUP(N304,soils2!$B$2:$D$8514,3),"")</f>
        <v/>
      </c>
      <c r="S304" s="62"/>
      <c r="T304" s="62"/>
      <c r="U304" s="33"/>
    </row>
    <row r="305" spans="14:21">
      <c r="N305" s="33"/>
      <c r="O305" s="62" t="str">
        <f>IFERROR(IFERROR(VLOOKUP(S305,soils2!$A$2:$D$8514,3,FALSE),VLOOKUP(N305,soils2!$B$2:$D$8514,2,FALSE)),"")</f>
        <v/>
      </c>
      <c r="P305" s="62"/>
      <c r="Q305" s="62"/>
      <c r="R305" s="34" t="str">
        <f>IFERROR(VLOOKUP(N305,soils2!$B$2:$D$8514,3),"")</f>
        <v/>
      </c>
      <c r="S305" s="62"/>
      <c r="T305" s="62"/>
      <c r="U305" s="33"/>
    </row>
    <row r="306" spans="14:21">
      <c r="N306" s="33"/>
      <c r="O306" s="62" t="str">
        <f>IFERROR(IFERROR(VLOOKUP(S306,soils2!$A$2:$D$8514,3,FALSE),VLOOKUP(N306,soils2!$B$2:$D$8514,2,FALSE)),"")</f>
        <v/>
      </c>
      <c r="P306" s="62"/>
      <c r="Q306" s="62"/>
      <c r="R306" s="34" t="str">
        <f>IFERROR(VLOOKUP(N306,soils2!$B$2:$D$8514,3),"")</f>
        <v/>
      </c>
      <c r="S306" s="62"/>
      <c r="T306" s="62"/>
      <c r="U306" s="33"/>
    </row>
    <row r="307" spans="14:21">
      <c r="N307" s="33"/>
      <c r="O307" s="62" t="str">
        <f>IFERROR(IFERROR(VLOOKUP(S307,soils2!$A$2:$D$8514,3,FALSE),VLOOKUP(N307,soils2!$B$2:$D$8514,2,FALSE)),"")</f>
        <v/>
      </c>
      <c r="P307" s="62"/>
      <c r="Q307" s="62"/>
      <c r="R307" s="34" t="str">
        <f>IFERROR(VLOOKUP(N307,soils2!$B$2:$D$8514,3),"")</f>
        <v/>
      </c>
      <c r="S307" s="62"/>
      <c r="T307" s="62"/>
      <c r="U307" s="33"/>
    </row>
    <row r="308" spans="14:21">
      <c r="N308" s="33"/>
      <c r="O308" s="62" t="str">
        <f>IFERROR(IFERROR(VLOOKUP(S308,soils2!$A$2:$D$8514,3,FALSE),VLOOKUP(N308,soils2!$B$2:$D$8514,2,FALSE)),"")</f>
        <v/>
      </c>
      <c r="P308" s="62"/>
      <c r="Q308" s="62"/>
      <c r="R308" s="34" t="str">
        <f>IFERROR(VLOOKUP(N308,soils2!$B$2:$D$8514,3),"")</f>
        <v/>
      </c>
      <c r="S308" s="62"/>
      <c r="T308" s="62"/>
      <c r="U308" s="33"/>
    </row>
    <row r="309" spans="14:21">
      <c r="N309" s="33"/>
      <c r="O309" s="62" t="str">
        <f>IFERROR(IFERROR(VLOOKUP(S309,soils2!$A$2:$D$8514,3,FALSE),VLOOKUP(N309,soils2!$B$2:$D$8514,2,FALSE)),"")</f>
        <v/>
      </c>
      <c r="P309" s="62"/>
      <c r="Q309" s="62"/>
      <c r="R309" s="34" t="str">
        <f>IFERROR(VLOOKUP(N309,soils2!$B$2:$D$8514,3),"")</f>
        <v/>
      </c>
      <c r="S309" s="62"/>
      <c r="T309" s="62"/>
      <c r="U309" s="33"/>
    </row>
    <row r="310" spans="14:21">
      <c r="N310" s="33"/>
      <c r="O310" s="62" t="str">
        <f>IFERROR(IFERROR(VLOOKUP(S310,soils2!$A$2:$D$8514,3,FALSE),VLOOKUP(N310,soils2!$B$2:$D$8514,2,FALSE)),"")</f>
        <v/>
      </c>
      <c r="P310" s="62"/>
      <c r="Q310" s="62"/>
      <c r="R310" s="34" t="str">
        <f>IFERROR(VLOOKUP(N310,soils2!$B$2:$D$8514,3),"")</f>
        <v/>
      </c>
      <c r="S310" s="62"/>
      <c r="T310" s="62"/>
      <c r="U310" s="33"/>
    </row>
    <row r="311" spans="14:21">
      <c r="N311" s="33"/>
      <c r="O311" s="62" t="str">
        <f>IFERROR(IFERROR(VLOOKUP(S311,soils2!$A$2:$D$8514,3,FALSE),VLOOKUP(N311,soils2!$B$2:$D$8514,2,FALSE)),"")</f>
        <v/>
      </c>
      <c r="P311" s="62"/>
      <c r="Q311" s="62"/>
      <c r="R311" s="34" t="str">
        <f>IFERROR(VLOOKUP(N311,soils2!$B$2:$D$8514,3),"")</f>
        <v/>
      </c>
      <c r="S311" s="62"/>
      <c r="T311" s="62"/>
      <c r="U311" s="33"/>
    </row>
    <row r="312" spans="14:21">
      <c r="N312" s="33"/>
      <c r="O312" s="62" t="str">
        <f>IFERROR(IFERROR(VLOOKUP(S312,soils2!$A$2:$D$8514,3,FALSE),VLOOKUP(N312,soils2!$B$2:$D$8514,2,FALSE)),"")</f>
        <v/>
      </c>
      <c r="P312" s="62"/>
      <c r="Q312" s="62"/>
      <c r="R312" s="34" t="str">
        <f>IFERROR(VLOOKUP(N312,soils2!$B$2:$D$8514,3),"")</f>
        <v/>
      </c>
      <c r="S312" s="62"/>
      <c r="T312" s="62"/>
      <c r="U312" s="33"/>
    </row>
    <row r="313" spans="14:21">
      <c r="N313" s="33"/>
      <c r="O313" s="62" t="str">
        <f>IFERROR(IFERROR(VLOOKUP(S313,soils2!$A$2:$D$8514,3,FALSE),VLOOKUP(N313,soils2!$B$2:$D$8514,2,FALSE)),"")</f>
        <v/>
      </c>
      <c r="P313" s="62"/>
      <c r="Q313" s="62"/>
      <c r="R313" s="34" t="str">
        <f>IFERROR(VLOOKUP(N313,soils2!$B$2:$D$8514,3),"")</f>
        <v/>
      </c>
      <c r="S313" s="62"/>
      <c r="T313" s="62"/>
      <c r="U313" s="33"/>
    </row>
    <row r="314" spans="14:21">
      <c r="N314" s="33"/>
      <c r="O314" s="62" t="str">
        <f>IFERROR(IFERROR(VLOOKUP(S314,soils2!$A$2:$D$8514,3,FALSE),VLOOKUP(N314,soils2!$B$2:$D$8514,2,FALSE)),"")</f>
        <v/>
      </c>
      <c r="P314" s="62"/>
      <c r="Q314" s="62"/>
      <c r="R314" s="34" t="str">
        <f>IFERROR(VLOOKUP(N314,soils2!$B$2:$D$8514,3),"")</f>
        <v/>
      </c>
      <c r="S314" s="62"/>
      <c r="T314" s="62"/>
      <c r="U314" s="33"/>
    </row>
    <row r="315" spans="14:21">
      <c r="N315" s="33"/>
      <c r="O315" s="62" t="str">
        <f>IFERROR(IFERROR(VLOOKUP(S315,soils2!$A$2:$D$8514,3,FALSE),VLOOKUP(N315,soils2!$B$2:$D$8514,2,FALSE)),"")</f>
        <v/>
      </c>
      <c r="P315" s="62"/>
      <c r="Q315" s="62"/>
      <c r="R315" s="34" t="str">
        <f>IFERROR(VLOOKUP(N315,soils2!$B$2:$D$8514,3),"")</f>
        <v/>
      </c>
      <c r="S315" s="62"/>
      <c r="T315" s="62"/>
      <c r="U315" s="33"/>
    </row>
    <row r="316" spans="14:21">
      <c r="N316" s="33"/>
      <c r="O316" s="62" t="str">
        <f>IFERROR(IFERROR(VLOOKUP(S316,soils2!$A$2:$D$8514,3,FALSE),VLOOKUP(N316,soils2!$B$2:$D$8514,2,FALSE)),"")</f>
        <v/>
      </c>
      <c r="P316" s="62"/>
      <c r="Q316" s="62"/>
      <c r="R316" s="34" t="str">
        <f>IFERROR(VLOOKUP(N316,soils2!$B$2:$D$8514,3),"")</f>
        <v/>
      </c>
      <c r="S316" s="62"/>
      <c r="T316" s="62"/>
      <c r="U316" s="33"/>
    </row>
    <row r="317" spans="14:21">
      <c r="N317" s="33"/>
      <c r="O317" s="62" t="str">
        <f>IFERROR(IFERROR(VLOOKUP(S317,soils2!$A$2:$D$8514,3,FALSE),VLOOKUP(N317,soils2!$B$2:$D$8514,2,FALSE)),"")</f>
        <v/>
      </c>
      <c r="P317" s="62"/>
      <c r="Q317" s="62"/>
      <c r="R317" s="34" t="str">
        <f>IFERROR(VLOOKUP(N317,soils2!$B$2:$D$8514,3),"")</f>
        <v/>
      </c>
      <c r="S317" s="62"/>
      <c r="T317" s="62"/>
      <c r="U317" s="33"/>
    </row>
    <row r="318" spans="14:21">
      <c r="N318" s="33"/>
      <c r="O318" s="62" t="str">
        <f>IFERROR(IFERROR(VLOOKUP(S318,soils2!$A$2:$D$8514,3,FALSE),VLOOKUP(N318,soils2!$B$2:$D$8514,2,FALSE)),"")</f>
        <v/>
      </c>
      <c r="P318" s="62"/>
      <c r="Q318" s="62"/>
      <c r="R318" s="34" t="str">
        <f>IFERROR(VLOOKUP(N318,soils2!$B$2:$D$8514,3),"")</f>
        <v/>
      </c>
      <c r="S318" s="62"/>
      <c r="T318" s="62"/>
      <c r="U318" s="33"/>
    </row>
    <row r="319" spans="14:21">
      <c r="N319" s="33"/>
      <c r="O319" s="62" t="str">
        <f>IFERROR(IFERROR(VLOOKUP(S319,soils2!$A$2:$D$8514,3,FALSE),VLOOKUP(N319,soils2!$B$2:$D$8514,2,FALSE)),"")</f>
        <v/>
      </c>
      <c r="P319" s="62"/>
      <c r="Q319" s="62"/>
      <c r="R319" s="34" t="str">
        <f>IFERROR(VLOOKUP(N319,soils2!$B$2:$D$8514,3),"")</f>
        <v/>
      </c>
      <c r="S319" s="62"/>
      <c r="T319" s="62"/>
      <c r="U319" s="33"/>
    </row>
    <row r="320" spans="14:21">
      <c r="N320" s="33"/>
      <c r="O320" s="62" t="str">
        <f>IFERROR(IFERROR(VLOOKUP(S320,soils2!$A$2:$D$8514,3,FALSE),VLOOKUP(N320,soils2!$B$2:$D$8514,2,FALSE)),"")</f>
        <v/>
      </c>
      <c r="P320" s="62"/>
      <c r="Q320" s="62"/>
      <c r="R320" s="34" t="str">
        <f>IFERROR(VLOOKUP(N320,soils2!$B$2:$D$8514,3),"")</f>
        <v/>
      </c>
      <c r="S320" s="62"/>
      <c r="T320" s="62"/>
      <c r="U320" s="33"/>
    </row>
    <row r="321" spans="14:21">
      <c r="N321" s="33"/>
      <c r="O321" s="62" t="str">
        <f>IFERROR(IFERROR(VLOOKUP(S321,soils2!$A$2:$D$8514,3,FALSE),VLOOKUP(N321,soils2!$B$2:$D$8514,2,FALSE)),"")</f>
        <v/>
      </c>
      <c r="P321" s="62"/>
      <c r="Q321" s="62"/>
      <c r="R321" s="34" t="str">
        <f>IFERROR(VLOOKUP(N321,soils2!$B$2:$D$8514,3),"")</f>
        <v/>
      </c>
      <c r="S321" s="62"/>
      <c r="T321" s="62"/>
      <c r="U321" s="33"/>
    </row>
    <row r="322" spans="14:21">
      <c r="N322" s="33"/>
      <c r="O322" s="62" t="str">
        <f>IFERROR(IFERROR(VLOOKUP(S322,soils2!$A$2:$D$8514,3,FALSE),VLOOKUP(N322,soils2!$B$2:$D$8514,2,FALSE)),"")</f>
        <v/>
      </c>
      <c r="P322" s="62"/>
      <c r="Q322" s="62"/>
      <c r="R322" s="34" t="str">
        <f>IFERROR(VLOOKUP(N322,soils2!$B$2:$D$8514,3),"")</f>
        <v/>
      </c>
      <c r="S322" s="62"/>
      <c r="T322" s="62"/>
      <c r="U322" s="33"/>
    </row>
    <row r="323" spans="14:21">
      <c r="N323" s="33"/>
      <c r="O323" s="62" t="str">
        <f>IFERROR(IFERROR(VLOOKUP(S323,soils2!$A$2:$D$8514,3,FALSE),VLOOKUP(N323,soils2!$B$2:$D$8514,2,FALSE)),"")</f>
        <v/>
      </c>
      <c r="P323" s="62"/>
      <c r="Q323" s="62"/>
      <c r="R323" s="34" t="str">
        <f>IFERROR(VLOOKUP(N323,soils2!$B$2:$D$8514,3),"")</f>
        <v/>
      </c>
      <c r="S323" s="62"/>
      <c r="T323" s="62"/>
      <c r="U323" s="33"/>
    </row>
    <row r="324" spans="14:21">
      <c r="N324" s="33"/>
      <c r="O324" s="62" t="str">
        <f>IFERROR(IFERROR(VLOOKUP(S324,soils2!$A$2:$D$8514,3,FALSE),VLOOKUP(N324,soils2!$B$2:$D$8514,2,FALSE)),"")</f>
        <v/>
      </c>
      <c r="P324" s="62"/>
      <c r="Q324" s="62"/>
      <c r="R324" s="34" t="str">
        <f>IFERROR(VLOOKUP(N324,soils2!$B$2:$D$8514,3),"")</f>
        <v/>
      </c>
      <c r="S324" s="62"/>
      <c r="T324" s="62"/>
      <c r="U324" s="33"/>
    </row>
    <row r="325" spans="14:21">
      <c r="N325" s="33"/>
      <c r="O325" s="62" t="str">
        <f>IFERROR(IFERROR(VLOOKUP(S325,soils2!$A$2:$D$8514,3,FALSE),VLOOKUP(N325,soils2!$B$2:$D$8514,2,FALSE)),"")</f>
        <v/>
      </c>
      <c r="P325" s="62"/>
      <c r="Q325" s="62"/>
      <c r="R325" s="34" t="str">
        <f>IFERROR(VLOOKUP(N325,soils2!$B$2:$D$8514,3),"")</f>
        <v/>
      </c>
      <c r="S325" s="62"/>
      <c r="T325" s="62"/>
      <c r="U325" s="33"/>
    </row>
    <row r="326" spans="14:21">
      <c r="N326" s="33"/>
      <c r="O326" s="62" t="str">
        <f>IFERROR(IFERROR(VLOOKUP(S326,soils2!$A$2:$D$8514,3,FALSE),VLOOKUP(N326,soils2!$B$2:$D$8514,2,FALSE)),"")</f>
        <v/>
      </c>
      <c r="P326" s="62"/>
      <c r="Q326" s="62"/>
      <c r="R326" s="34" t="str">
        <f>IFERROR(VLOOKUP(N326,soils2!$B$2:$D$8514,3),"")</f>
        <v/>
      </c>
      <c r="S326" s="62"/>
      <c r="T326" s="62"/>
      <c r="U326" s="33"/>
    </row>
    <row r="327" spans="14:21">
      <c r="N327" s="33"/>
      <c r="O327" s="62" t="str">
        <f>IFERROR(IFERROR(VLOOKUP(S327,soils2!$A$2:$D$8514,3,FALSE),VLOOKUP(N327,soils2!$B$2:$D$8514,2,FALSE)),"")</f>
        <v/>
      </c>
      <c r="P327" s="62"/>
      <c r="Q327" s="62"/>
      <c r="R327" s="34" t="str">
        <f>IFERROR(VLOOKUP(N327,soils2!$B$2:$D$8514,3),"")</f>
        <v/>
      </c>
      <c r="S327" s="62"/>
      <c r="T327" s="62"/>
      <c r="U327" s="33"/>
    </row>
    <row r="328" spans="14:21">
      <c r="N328" s="33"/>
      <c r="O328" s="62" t="str">
        <f>IFERROR(IFERROR(VLOOKUP(S328,soils2!$A$2:$D$8514,3,FALSE),VLOOKUP(N328,soils2!$B$2:$D$8514,2,FALSE)),"")</f>
        <v/>
      </c>
      <c r="P328" s="62"/>
      <c r="Q328" s="62"/>
      <c r="R328" s="34" t="str">
        <f>IFERROR(VLOOKUP(N328,soils2!$B$2:$D$8514,3),"")</f>
        <v/>
      </c>
      <c r="S328" s="62"/>
      <c r="T328" s="62"/>
      <c r="U328" s="33"/>
    </row>
    <row r="329" spans="14:21">
      <c r="N329" s="33"/>
      <c r="O329" s="62" t="str">
        <f>IFERROR(IFERROR(VLOOKUP(S329,soils2!$A$2:$D$8514,3,FALSE),VLOOKUP(N329,soils2!$B$2:$D$8514,2,FALSE)),"")</f>
        <v/>
      </c>
      <c r="P329" s="62"/>
      <c r="Q329" s="62"/>
      <c r="R329" s="34" t="str">
        <f>IFERROR(VLOOKUP(N329,soils2!$B$2:$D$8514,3),"")</f>
        <v/>
      </c>
      <c r="S329" s="62"/>
      <c r="T329" s="62"/>
      <c r="U329" s="33"/>
    </row>
    <row r="330" spans="14:21">
      <c r="N330" s="33"/>
      <c r="O330" s="62" t="str">
        <f>IFERROR(IFERROR(VLOOKUP(S330,soils2!$A$2:$D$8514,3,FALSE),VLOOKUP(N330,soils2!$B$2:$D$8514,2,FALSE)),"")</f>
        <v/>
      </c>
      <c r="P330" s="62"/>
      <c r="Q330" s="62"/>
      <c r="R330" s="34" t="str">
        <f>IFERROR(VLOOKUP(N330,soils2!$B$2:$D$8514,3),"")</f>
        <v/>
      </c>
      <c r="S330" s="62"/>
      <c r="T330" s="62"/>
      <c r="U330" s="33"/>
    </row>
    <row r="331" spans="14:21">
      <c r="N331" s="33"/>
      <c r="O331" s="62" t="str">
        <f>IFERROR(IFERROR(VLOOKUP(S331,soils2!$A$2:$D$8514,3,FALSE),VLOOKUP(N331,soils2!$B$2:$D$8514,2,FALSE)),"")</f>
        <v/>
      </c>
      <c r="P331" s="62"/>
      <c r="Q331" s="62"/>
      <c r="R331" s="34" t="str">
        <f>IFERROR(VLOOKUP(N331,soils2!$B$2:$D$8514,3),"")</f>
        <v/>
      </c>
      <c r="S331" s="62"/>
      <c r="T331" s="62"/>
      <c r="U331" s="33"/>
    </row>
    <row r="332" spans="14:21">
      <c r="N332" s="33"/>
      <c r="O332" s="62" t="str">
        <f>IFERROR(IFERROR(VLOOKUP(S332,soils2!$A$2:$D$8514,3,FALSE),VLOOKUP(N332,soils2!$B$2:$D$8514,2,FALSE)),"")</f>
        <v/>
      </c>
      <c r="P332" s="62"/>
      <c r="Q332" s="62"/>
      <c r="R332" s="34" t="str">
        <f>IFERROR(VLOOKUP(N332,soils2!$B$2:$D$8514,3),"")</f>
        <v/>
      </c>
      <c r="S332" s="62"/>
      <c r="T332" s="62"/>
      <c r="U332" s="33"/>
    </row>
    <row r="333" spans="14:21">
      <c r="N333" s="33"/>
      <c r="O333" s="62" t="str">
        <f>IFERROR(IFERROR(VLOOKUP(S333,soils2!$A$2:$D$8514,3,FALSE),VLOOKUP(N333,soils2!$B$2:$D$8514,2,FALSE)),"")</f>
        <v/>
      </c>
      <c r="P333" s="62"/>
      <c r="Q333" s="62"/>
      <c r="R333" s="34" t="str">
        <f>IFERROR(VLOOKUP(N333,soils2!$B$2:$D$8514,3),"")</f>
        <v/>
      </c>
      <c r="S333" s="62"/>
      <c r="T333" s="62"/>
      <c r="U333" s="33"/>
    </row>
    <row r="334" spans="14:21">
      <c r="N334" s="33"/>
      <c r="O334" s="62" t="str">
        <f>IFERROR(IFERROR(VLOOKUP(S334,soils2!$A$2:$D$8514,3,FALSE),VLOOKUP(N334,soils2!$B$2:$D$8514,2,FALSE)),"")</f>
        <v/>
      </c>
      <c r="P334" s="62"/>
      <c r="Q334" s="62"/>
      <c r="R334" s="34" t="str">
        <f>IFERROR(VLOOKUP(N334,soils2!$B$2:$D$8514,3),"")</f>
        <v/>
      </c>
      <c r="S334" s="62"/>
      <c r="T334" s="62"/>
      <c r="U334" s="33"/>
    </row>
    <row r="335" spans="14:21">
      <c r="N335" s="33"/>
      <c r="O335" s="62" t="str">
        <f>IFERROR(IFERROR(VLOOKUP(S335,soils2!$A$2:$D$8514,3,FALSE),VLOOKUP(N335,soils2!$B$2:$D$8514,2,FALSE)),"")</f>
        <v/>
      </c>
      <c r="P335" s="62"/>
      <c r="Q335" s="62"/>
      <c r="R335" s="34" t="str">
        <f>IFERROR(VLOOKUP(N335,soils2!$B$2:$D$8514,3),"")</f>
        <v/>
      </c>
      <c r="S335" s="62"/>
      <c r="T335" s="62"/>
      <c r="U335" s="33"/>
    </row>
    <row r="336" spans="14:21">
      <c r="N336" s="33"/>
      <c r="O336" s="62" t="str">
        <f>IFERROR(IFERROR(VLOOKUP(S336,soils2!$A$2:$D$8514,3,FALSE),VLOOKUP(N336,soils2!$B$2:$D$8514,2,FALSE)),"")</f>
        <v/>
      </c>
      <c r="P336" s="62"/>
      <c r="Q336" s="62"/>
      <c r="R336" s="34" t="str">
        <f>IFERROR(VLOOKUP(N336,soils2!$B$2:$D$8514,3),"")</f>
        <v/>
      </c>
      <c r="S336" s="62"/>
      <c r="T336" s="62"/>
      <c r="U336" s="33"/>
    </row>
    <row r="337" spans="14:21">
      <c r="N337" s="33"/>
      <c r="O337" s="62" t="str">
        <f>IFERROR(IFERROR(VLOOKUP(S337,soils2!$A$2:$D$8514,3,FALSE),VLOOKUP(N337,soils2!$B$2:$D$8514,2,FALSE)),"")</f>
        <v/>
      </c>
      <c r="P337" s="62"/>
      <c r="Q337" s="62"/>
      <c r="R337" s="34" t="str">
        <f>IFERROR(VLOOKUP(N337,soils2!$B$2:$D$8514,3),"")</f>
        <v/>
      </c>
      <c r="S337" s="62"/>
      <c r="T337" s="62"/>
      <c r="U337" s="33"/>
    </row>
    <row r="338" spans="14:21">
      <c r="N338" s="33"/>
      <c r="O338" s="62" t="str">
        <f>IFERROR(IFERROR(VLOOKUP(S338,soils2!$A$2:$D$8514,3,FALSE),VLOOKUP(N338,soils2!$B$2:$D$8514,2,FALSE)),"")</f>
        <v/>
      </c>
      <c r="P338" s="62"/>
      <c r="Q338" s="62"/>
      <c r="R338" s="34" t="str">
        <f>IFERROR(VLOOKUP(N338,soils2!$B$2:$D$8514,3),"")</f>
        <v/>
      </c>
      <c r="S338" s="62"/>
      <c r="T338" s="62"/>
      <c r="U338" s="33"/>
    </row>
    <row r="339" spans="14:21">
      <c r="N339" s="33"/>
      <c r="O339" s="62" t="str">
        <f>IFERROR(IFERROR(VLOOKUP(S339,soils2!$A$2:$D$8514,3,FALSE),VLOOKUP(N339,soils2!$B$2:$D$8514,2,FALSE)),"")</f>
        <v/>
      </c>
      <c r="P339" s="62"/>
      <c r="Q339" s="62"/>
      <c r="R339" s="34" t="str">
        <f>IFERROR(VLOOKUP(N339,soils2!$B$2:$D$8514,3),"")</f>
        <v/>
      </c>
      <c r="S339" s="62"/>
      <c r="T339" s="62"/>
      <c r="U339" s="33"/>
    </row>
    <row r="340" spans="14:21">
      <c r="N340" s="33"/>
      <c r="O340" s="62" t="str">
        <f>IFERROR(IFERROR(VLOOKUP(S340,soils2!$A$2:$D$8514,3,FALSE),VLOOKUP(N340,soils2!$B$2:$D$8514,2,FALSE)),"")</f>
        <v/>
      </c>
      <c r="P340" s="62"/>
      <c r="Q340" s="62"/>
      <c r="R340" s="34" t="str">
        <f>IFERROR(VLOOKUP(N340,soils2!$B$2:$D$8514,3),"")</f>
        <v/>
      </c>
      <c r="S340" s="62"/>
      <c r="T340" s="62"/>
      <c r="U340" s="33"/>
    </row>
    <row r="341" spans="14:21">
      <c r="N341" s="33"/>
      <c r="O341" s="62" t="str">
        <f>IFERROR(IFERROR(VLOOKUP(S341,soils2!$A$2:$D$8514,3,FALSE),VLOOKUP(N341,soils2!$B$2:$D$8514,2,FALSE)),"")</f>
        <v/>
      </c>
      <c r="P341" s="62"/>
      <c r="Q341" s="62"/>
      <c r="R341" s="34" t="str">
        <f>IFERROR(VLOOKUP(N341,soils2!$B$2:$D$8514,3),"")</f>
        <v/>
      </c>
      <c r="S341" s="62"/>
      <c r="T341" s="62"/>
      <c r="U341" s="33"/>
    </row>
    <row r="342" spans="14:21">
      <c r="N342" s="33"/>
      <c r="O342" s="62" t="str">
        <f>IFERROR(IFERROR(VLOOKUP(S342,soils2!$A$2:$D$8514,3,FALSE),VLOOKUP(N342,soils2!$B$2:$D$8514,2,FALSE)),"")</f>
        <v/>
      </c>
      <c r="P342" s="62"/>
      <c r="Q342" s="62"/>
      <c r="R342" s="34" t="str">
        <f>IFERROR(VLOOKUP(N342,soils2!$B$2:$D$8514,3),"")</f>
        <v/>
      </c>
      <c r="S342" s="62"/>
      <c r="T342" s="62"/>
      <c r="U342" s="33"/>
    </row>
    <row r="343" spans="14:21">
      <c r="N343" s="33"/>
      <c r="O343" s="62" t="str">
        <f>IFERROR(IFERROR(VLOOKUP(S343,soils2!$A$2:$D$8514,3,FALSE),VLOOKUP(N343,soils2!$B$2:$D$8514,2,FALSE)),"")</f>
        <v/>
      </c>
      <c r="P343" s="62"/>
      <c r="Q343" s="62"/>
      <c r="R343" s="34" t="str">
        <f>IFERROR(VLOOKUP(N343,soils2!$B$2:$D$8514,3),"")</f>
        <v/>
      </c>
      <c r="S343" s="62"/>
      <c r="T343" s="62"/>
      <c r="U343" s="33"/>
    </row>
    <row r="344" spans="14:21">
      <c r="N344" s="33"/>
      <c r="O344" s="62" t="str">
        <f>IFERROR(IFERROR(VLOOKUP(S344,soils2!$A$2:$D$8514,3,FALSE),VLOOKUP(N344,soils2!$B$2:$D$8514,2,FALSE)),"")</f>
        <v/>
      </c>
      <c r="P344" s="62"/>
      <c r="Q344" s="62"/>
      <c r="R344" s="34" t="str">
        <f>IFERROR(VLOOKUP(N344,soils2!$B$2:$D$8514,3),"")</f>
        <v/>
      </c>
      <c r="S344" s="62"/>
      <c r="T344" s="62"/>
      <c r="U344" s="33"/>
    </row>
    <row r="345" spans="14:21">
      <c r="N345" s="33"/>
      <c r="O345" s="62" t="str">
        <f>IFERROR(IFERROR(VLOOKUP(S345,soils2!$A$2:$D$8514,3,FALSE),VLOOKUP(N345,soils2!$B$2:$D$8514,2,FALSE)),"")</f>
        <v/>
      </c>
      <c r="P345" s="62"/>
      <c r="Q345" s="62"/>
      <c r="R345" s="34" t="str">
        <f>IFERROR(VLOOKUP(N345,soils2!$B$2:$D$8514,3),"")</f>
        <v/>
      </c>
      <c r="S345" s="62"/>
      <c r="T345" s="62"/>
      <c r="U345" s="33"/>
    </row>
    <row r="346" spans="14:21">
      <c r="N346" s="33"/>
      <c r="O346" s="62" t="str">
        <f>IFERROR(IFERROR(VLOOKUP(S346,soils2!$A$2:$D$8514,3,FALSE),VLOOKUP(N346,soils2!$B$2:$D$8514,2,FALSE)),"")</f>
        <v/>
      </c>
      <c r="P346" s="62"/>
      <c r="Q346" s="62"/>
      <c r="R346" s="34" t="str">
        <f>IFERROR(VLOOKUP(N346,soils2!$B$2:$D$8514,3),"")</f>
        <v/>
      </c>
      <c r="S346" s="62"/>
      <c r="T346" s="62"/>
      <c r="U346" s="33"/>
    </row>
    <row r="347" spans="14:21">
      <c r="N347" s="33"/>
      <c r="O347" s="62" t="str">
        <f>IFERROR(IFERROR(VLOOKUP(S347,soils2!$A$2:$D$8514,3,FALSE),VLOOKUP(N347,soils2!$B$2:$D$8514,2,FALSE)),"")</f>
        <v/>
      </c>
      <c r="P347" s="62"/>
      <c r="Q347" s="62"/>
      <c r="R347" s="34" t="str">
        <f>IFERROR(VLOOKUP(N347,soils2!$B$2:$D$8514,3),"")</f>
        <v/>
      </c>
      <c r="S347" s="62"/>
      <c r="T347" s="62"/>
      <c r="U347" s="33"/>
    </row>
    <row r="348" spans="14:21">
      <c r="N348" s="33"/>
      <c r="O348" s="62" t="str">
        <f>IFERROR(IFERROR(VLOOKUP(S348,soils2!$A$2:$D$8514,3,FALSE),VLOOKUP(N348,soils2!$B$2:$D$8514,2,FALSE)),"")</f>
        <v/>
      </c>
      <c r="P348" s="62"/>
      <c r="Q348" s="62"/>
      <c r="R348" s="34" t="str">
        <f>IFERROR(VLOOKUP(N348,soils2!$B$2:$D$8514,3),"")</f>
        <v/>
      </c>
      <c r="S348" s="62"/>
      <c r="T348" s="62"/>
      <c r="U348" s="33"/>
    </row>
    <row r="349" spans="14:21">
      <c r="N349" s="33"/>
      <c r="O349" s="62" t="str">
        <f>IFERROR(IFERROR(VLOOKUP(S349,soils2!$A$2:$D$8514,3,FALSE),VLOOKUP(N349,soils2!$B$2:$D$8514,2,FALSE)),"")</f>
        <v/>
      </c>
      <c r="P349" s="62"/>
      <c r="Q349" s="62"/>
      <c r="R349" s="34" t="str">
        <f>IFERROR(VLOOKUP(N349,soils2!$B$2:$D$8514,3),"")</f>
        <v/>
      </c>
      <c r="S349" s="62"/>
      <c r="T349" s="62"/>
      <c r="U349" s="33"/>
    </row>
    <row r="350" spans="14:21">
      <c r="N350" s="33"/>
      <c r="O350" s="62" t="str">
        <f>IFERROR(IFERROR(VLOOKUP(S350,soils2!$A$2:$D$8514,3,FALSE),VLOOKUP(N350,soils2!$B$2:$D$8514,2,FALSE)),"")</f>
        <v/>
      </c>
      <c r="P350" s="62"/>
      <c r="Q350" s="62"/>
      <c r="R350" s="34" t="str">
        <f>IFERROR(VLOOKUP(N350,soils2!$B$2:$D$8514,3),"")</f>
        <v/>
      </c>
      <c r="S350" s="62"/>
      <c r="T350" s="62"/>
      <c r="U350" s="33"/>
    </row>
    <row r="351" spans="14:21">
      <c r="N351" s="33"/>
      <c r="O351" s="62" t="str">
        <f>IFERROR(IFERROR(VLOOKUP(S351,soils2!$A$2:$D$8514,3,FALSE),VLOOKUP(N351,soils2!$B$2:$D$8514,2,FALSE)),"")</f>
        <v/>
      </c>
      <c r="P351" s="62"/>
      <c r="Q351" s="62"/>
      <c r="R351" s="34" t="str">
        <f>IFERROR(VLOOKUP(N351,soils2!$B$2:$D$8514,3),"")</f>
        <v/>
      </c>
      <c r="S351" s="62"/>
      <c r="T351" s="62"/>
      <c r="U351" s="33"/>
    </row>
    <row r="352" spans="14:21">
      <c r="N352" s="33"/>
      <c r="O352" s="62" t="str">
        <f>IFERROR(IFERROR(VLOOKUP(S352,soils2!$A$2:$D$8514,3,FALSE),VLOOKUP(N352,soils2!$B$2:$D$8514,2,FALSE)),"")</f>
        <v/>
      </c>
      <c r="P352" s="62"/>
      <c r="Q352" s="62"/>
      <c r="R352" s="34" t="str">
        <f>IFERROR(VLOOKUP(N352,soils2!$B$2:$D$8514,3),"")</f>
        <v/>
      </c>
      <c r="S352" s="62"/>
      <c r="T352" s="62"/>
      <c r="U352" s="33"/>
    </row>
    <row r="353" spans="14:21">
      <c r="N353" s="33"/>
      <c r="O353" s="62" t="str">
        <f>IFERROR(IFERROR(VLOOKUP(S353,soils2!$A$2:$D$8514,3,FALSE),VLOOKUP(N353,soils2!$B$2:$D$8514,2,FALSE)),"")</f>
        <v/>
      </c>
      <c r="P353" s="62"/>
      <c r="Q353" s="62"/>
      <c r="R353" s="34" t="str">
        <f>IFERROR(VLOOKUP(N353,soils2!$B$2:$D$8514,3),"")</f>
        <v/>
      </c>
      <c r="S353" s="62"/>
      <c r="T353" s="62"/>
      <c r="U353" s="33"/>
    </row>
    <row r="354" spans="14:21">
      <c r="N354" s="33"/>
      <c r="O354" s="62" t="str">
        <f>IFERROR(IFERROR(VLOOKUP(S354,soils2!$A$2:$D$8514,3,FALSE),VLOOKUP(N354,soils2!$B$2:$D$8514,2,FALSE)),"")</f>
        <v/>
      </c>
      <c r="P354" s="62"/>
      <c r="Q354" s="62"/>
      <c r="R354" s="34" t="str">
        <f>IFERROR(VLOOKUP(N354,soils2!$B$2:$D$8514,3),"")</f>
        <v/>
      </c>
      <c r="S354" s="62"/>
      <c r="T354" s="62"/>
      <c r="U354" s="33"/>
    </row>
    <row r="355" spans="14:21">
      <c r="N355" s="33"/>
      <c r="O355" s="62" t="str">
        <f>IFERROR(IFERROR(VLOOKUP(S355,soils2!$A$2:$D$8514,3,FALSE),VLOOKUP(N355,soils2!$B$2:$D$8514,2,FALSE)),"")</f>
        <v/>
      </c>
      <c r="P355" s="62"/>
      <c r="Q355" s="62"/>
      <c r="R355" s="34" t="str">
        <f>IFERROR(VLOOKUP(N355,soils2!$B$2:$D$8514,3),"")</f>
        <v/>
      </c>
      <c r="S355" s="62"/>
      <c r="T355" s="62"/>
      <c r="U355" s="33"/>
    </row>
    <row r="356" spans="14:21">
      <c r="N356" s="33"/>
      <c r="O356" s="62" t="str">
        <f>IFERROR(IFERROR(VLOOKUP(S356,soils2!$A$2:$D$8514,3,FALSE),VLOOKUP(N356,soils2!$B$2:$D$8514,2,FALSE)),"")</f>
        <v/>
      </c>
      <c r="P356" s="62"/>
      <c r="Q356" s="62"/>
      <c r="R356" s="34" t="str">
        <f>IFERROR(VLOOKUP(N356,soils2!$B$2:$D$8514,3),"")</f>
        <v/>
      </c>
      <c r="S356" s="62"/>
      <c r="T356" s="62"/>
      <c r="U356" s="33"/>
    </row>
    <row r="357" spans="14:21">
      <c r="N357" s="33"/>
      <c r="O357" s="62" t="str">
        <f>IFERROR(IFERROR(VLOOKUP(S357,soils2!$A$2:$D$8514,3,FALSE),VLOOKUP(N357,soils2!$B$2:$D$8514,2,FALSE)),"")</f>
        <v/>
      </c>
      <c r="P357" s="62"/>
      <c r="Q357" s="62"/>
      <c r="R357" s="34" t="str">
        <f>IFERROR(VLOOKUP(N357,soils2!$B$2:$D$8514,3),"")</f>
        <v/>
      </c>
      <c r="S357" s="62"/>
      <c r="T357" s="62"/>
      <c r="U357" s="33"/>
    </row>
    <row r="358" spans="14:21">
      <c r="N358" s="33"/>
      <c r="O358" s="62" t="str">
        <f>IFERROR(IFERROR(VLOOKUP(S358,soils2!$A$2:$D$8514,3,FALSE),VLOOKUP(N358,soils2!$B$2:$D$8514,2,FALSE)),"")</f>
        <v/>
      </c>
      <c r="P358" s="62"/>
      <c r="Q358" s="62"/>
      <c r="R358" s="34" t="str">
        <f>IFERROR(VLOOKUP(N358,soils2!$B$2:$D$8514,3),"")</f>
        <v/>
      </c>
      <c r="S358" s="62"/>
      <c r="T358" s="62"/>
      <c r="U358" s="33"/>
    </row>
    <row r="359" spans="14:21">
      <c r="N359" s="33"/>
      <c r="O359" s="62" t="str">
        <f>IFERROR(IFERROR(VLOOKUP(S359,soils2!$A$2:$D$8514,3,FALSE),VLOOKUP(N359,soils2!$B$2:$D$8514,2,FALSE)),"")</f>
        <v/>
      </c>
      <c r="P359" s="62"/>
      <c r="Q359" s="62"/>
      <c r="R359" s="34" t="str">
        <f>IFERROR(VLOOKUP(N359,soils2!$B$2:$D$8514,3),"")</f>
        <v/>
      </c>
      <c r="S359" s="62"/>
      <c r="T359" s="62"/>
      <c r="U359" s="33"/>
    </row>
    <row r="360" spans="14:21">
      <c r="N360" s="33"/>
      <c r="O360" s="62" t="str">
        <f>IFERROR(IFERROR(VLOOKUP(S360,soils2!$A$2:$D$8514,3,FALSE),VLOOKUP(N360,soils2!$B$2:$D$8514,2,FALSE)),"")</f>
        <v/>
      </c>
      <c r="P360" s="62"/>
      <c r="Q360" s="62"/>
      <c r="R360" s="34" t="str">
        <f>IFERROR(VLOOKUP(N360,soils2!$B$2:$D$8514,3),"")</f>
        <v/>
      </c>
      <c r="S360" s="62"/>
      <c r="T360" s="62"/>
      <c r="U360" s="33"/>
    </row>
    <row r="361" spans="14:21">
      <c r="N361" s="33"/>
      <c r="O361" s="62" t="str">
        <f>IFERROR(IFERROR(VLOOKUP(S361,soils2!$A$2:$D$8514,3,FALSE),VLOOKUP(N361,soils2!$B$2:$D$8514,2,FALSE)),"")</f>
        <v/>
      </c>
      <c r="P361" s="62"/>
      <c r="Q361" s="62"/>
      <c r="R361" s="34" t="str">
        <f>IFERROR(VLOOKUP(N361,soils2!$B$2:$D$8514,3),"")</f>
        <v/>
      </c>
      <c r="S361" s="62"/>
      <c r="T361" s="62"/>
      <c r="U361" s="33"/>
    </row>
    <row r="362" spans="14:21">
      <c r="N362" s="33"/>
      <c r="O362" s="62" t="str">
        <f>IFERROR(IFERROR(VLOOKUP(S362,soils2!$A$2:$D$8514,3,FALSE),VLOOKUP(N362,soils2!$B$2:$D$8514,2,FALSE)),"")</f>
        <v/>
      </c>
      <c r="P362" s="62"/>
      <c r="Q362" s="62"/>
      <c r="R362" s="34" t="str">
        <f>IFERROR(VLOOKUP(N362,soils2!$B$2:$D$8514,3),"")</f>
        <v/>
      </c>
      <c r="S362" s="62"/>
      <c r="T362" s="62"/>
      <c r="U362" s="33"/>
    </row>
    <row r="363" spans="14:21">
      <c r="N363" s="33"/>
      <c r="O363" s="62" t="str">
        <f>IFERROR(IFERROR(VLOOKUP(S363,soils2!$A$2:$D$8514,3,FALSE),VLOOKUP(N363,soils2!$B$2:$D$8514,2,FALSE)),"")</f>
        <v/>
      </c>
      <c r="P363" s="62"/>
      <c r="Q363" s="62"/>
      <c r="R363" s="34" t="str">
        <f>IFERROR(VLOOKUP(N363,soils2!$B$2:$D$8514,3),"")</f>
        <v/>
      </c>
      <c r="S363" s="62"/>
      <c r="T363" s="62"/>
      <c r="U363" s="33"/>
    </row>
    <row r="364" spans="14:21">
      <c r="N364" s="33"/>
      <c r="O364" s="62" t="str">
        <f>IFERROR(IFERROR(VLOOKUP(S364,soils2!$A$2:$D$8514,3,FALSE),VLOOKUP(N364,soils2!$B$2:$D$8514,2,FALSE)),"")</f>
        <v/>
      </c>
      <c r="P364" s="62"/>
      <c r="Q364" s="62"/>
      <c r="R364" s="34" t="str">
        <f>IFERROR(VLOOKUP(N364,soils2!$B$2:$D$8514,3),"")</f>
        <v/>
      </c>
      <c r="S364" s="62"/>
      <c r="T364" s="62"/>
      <c r="U364" s="33"/>
    </row>
    <row r="365" spans="14:21">
      <c r="N365" s="33"/>
      <c r="O365" s="62" t="str">
        <f>IFERROR(IFERROR(VLOOKUP(S365,soils2!$A$2:$D$8514,3,FALSE),VLOOKUP(N365,soils2!$B$2:$D$8514,2,FALSE)),"")</f>
        <v/>
      </c>
      <c r="P365" s="62"/>
      <c r="Q365" s="62"/>
      <c r="R365" s="34" t="str">
        <f>IFERROR(VLOOKUP(N365,soils2!$B$2:$D$8514,3),"")</f>
        <v/>
      </c>
      <c r="S365" s="62"/>
      <c r="T365" s="62"/>
      <c r="U365" s="33"/>
    </row>
    <row r="366" spans="14:21">
      <c r="N366" s="33"/>
      <c r="O366" s="62" t="str">
        <f>IFERROR(IFERROR(VLOOKUP(S366,soils2!$A$2:$D$8514,3,FALSE),VLOOKUP(N366,soils2!$B$2:$D$8514,2,FALSE)),"")</f>
        <v/>
      </c>
      <c r="P366" s="62"/>
      <c r="Q366" s="62"/>
      <c r="R366" s="34" t="str">
        <f>IFERROR(VLOOKUP(N366,soils2!$B$2:$D$8514,3),"")</f>
        <v/>
      </c>
      <c r="S366" s="62"/>
      <c r="T366" s="62"/>
      <c r="U366" s="33"/>
    </row>
    <row r="367" spans="14:21">
      <c r="N367" s="33"/>
      <c r="O367" s="62" t="str">
        <f>IFERROR(IFERROR(VLOOKUP(S367,soils2!$A$2:$D$8514,3,FALSE),VLOOKUP(N367,soils2!$B$2:$D$8514,2,FALSE)),"")</f>
        <v/>
      </c>
      <c r="P367" s="62"/>
      <c r="Q367" s="62"/>
      <c r="R367" s="34" t="str">
        <f>IFERROR(VLOOKUP(N367,soils2!$B$2:$D$8514,3),"")</f>
        <v/>
      </c>
      <c r="S367" s="62"/>
      <c r="T367" s="62"/>
      <c r="U367" s="33"/>
    </row>
    <row r="368" spans="14:21">
      <c r="N368" s="33"/>
      <c r="O368" s="62" t="str">
        <f>IFERROR(IFERROR(VLOOKUP(S368,soils2!$A$2:$D$8514,3,FALSE),VLOOKUP(N368,soils2!$B$2:$D$8514,2,FALSE)),"")</f>
        <v/>
      </c>
      <c r="P368" s="62"/>
      <c r="Q368" s="62"/>
      <c r="R368" s="34" t="str">
        <f>IFERROR(VLOOKUP(N368,soils2!$B$2:$D$8514,3),"")</f>
        <v/>
      </c>
      <c r="S368" s="62"/>
      <c r="T368" s="62"/>
      <c r="U368" s="33"/>
    </row>
    <row r="369" spans="14:21">
      <c r="N369" s="33"/>
      <c r="O369" s="62" t="str">
        <f>IFERROR(IFERROR(VLOOKUP(S369,soils2!$A$2:$D$8514,3,FALSE),VLOOKUP(N369,soils2!$B$2:$D$8514,2,FALSE)),"")</f>
        <v/>
      </c>
      <c r="P369" s="62"/>
      <c r="Q369" s="62"/>
      <c r="R369" s="34" t="str">
        <f>IFERROR(VLOOKUP(N369,soils2!$B$2:$D$8514,3),"")</f>
        <v/>
      </c>
      <c r="S369" s="62"/>
      <c r="T369" s="62"/>
      <c r="U369" s="33"/>
    </row>
    <row r="370" spans="14:21">
      <c r="N370" s="33"/>
      <c r="O370" s="62" t="str">
        <f>IFERROR(IFERROR(VLOOKUP(S370,soils2!$A$2:$D$8514,3,FALSE),VLOOKUP(N370,soils2!$B$2:$D$8514,2,FALSE)),"")</f>
        <v/>
      </c>
      <c r="P370" s="62"/>
      <c r="Q370" s="62"/>
      <c r="R370" s="34" t="str">
        <f>IFERROR(VLOOKUP(N370,soils2!$B$2:$D$8514,3),"")</f>
        <v/>
      </c>
      <c r="S370" s="62"/>
      <c r="T370" s="62"/>
      <c r="U370" s="33"/>
    </row>
    <row r="371" spans="14:21">
      <c r="N371" s="33"/>
      <c r="O371" s="62" t="str">
        <f>IFERROR(IFERROR(VLOOKUP(S371,soils2!$A$2:$D$8514,3,FALSE),VLOOKUP(N371,soils2!$B$2:$D$8514,2,FALSE)),"")</f>
        <v/>
      </c>
      <c r="P371" s="62"/>
      <c r="Q371" s="62"/>
      <c r="R371" s="34" t="str">
        <f>IFERROR(VLOOKUP(N371,soils2!$B$2:$D$8514,3),"")</f>
        <v/>
      </c>
      <c r="S371" s="62"/>
      <c r="T371" s="62"/>
      <c r="U371" s="33"/>
    </row>
    <row r="372" spans="14:21">
      <c r="N372" s="33"/>
      <c r="O372" s="62" t="str">
        <f>IFERROR(IFERROR(VLOOKUP(S372,soils2!$A$2:$D$8514,3,FALSE),VLOOKUP(N372,soils2!$B$2:$D$8514,2,FALSE)),"")</f>
        <v/>
      </c>
      <c r="P372" s="62"/>
      <c r="Q372" s="62"/>
      <c r="R372" s="34" t="str">
        <f>IFERROR(VLOOKUP(N372,soils2!$B$2:$D$8514,3),"")</f>
        <v/>
      </c>
      <c r="S372" s="62"/>
      <c r="T372" s="62"/>
      <c r="U372" s="33"/>
    </row>
    <row r="373" spans="14:21">
      <c r="N373" s="33"/>
      <c r="O373" s="62" t="str">
        <f>IFERROR(IFERROR(VLOOKUP(S373,soils2!$A$2:$D$8514,3,FALSE),VLOOKUP(N373,soils2!$B$2:$D$8514,2,FALSE)),"")</f>
        <v/>
      </c>
      <c r="P373" s="62"/>
      <c r="Q373" s="62"/>
      <c r="R373" s="34" t="str">
        <f>IFERROR(VLOOKUP(N373,soils2!$B$2:$D$8514,3),"")</f>
        <v/>
      </c>
      <c r="S373" s="62"/>
      <c r="T373" s="62"/>
      <c r="U373" s="33"/>
    </row>
    <row r="374" spans="14:21">
      <c r="N374" s="33"/>
      <c r="O374" s="62" t="str">
        <f>IFERROR(IFERROR(VLOOKUP(S374,soils2!$A$2:$D$8514,3,FALSE),VLOOKUP(N374,soils2!$B$2:$D$8514,2,FALSE)),"")</f>
        <v/>
      </c>
      <c r="P374" s="62"/>
      <c r="Q374" s="62"/>
      <c r="R374" s="34" t="str">
        <f>IFERROR(VLOOKUP(N374,soils2!$B$2:$D$8514,3),"")</f>
        <v/>
      </c>
      <c r="S374" s="62"/>
      <c r="T374" s="62"/>
      <c r="U374" s="33"/>
    </row>
    <row r="375" spans="14:21">
      <c r="N375" s="33"/>
      <c r="O375" s="62" t="str">
        <f>IFERROR(IFERROR(VLOOKUP(S375,soils2!$A$2:$D$8514,3,FALSE),VLOOKUP(N375,soils2!$B$2:$D$8514,2,FALSE)),"")</f>
        <v/>
      </c>
      <c r="P375" s="62"/>
      <c r="Q375" s="62"/>
      <c r="R375" s="34" t="str">
        <f>IFERROR(VLOOKUP(N375,soils2!$B$2:$D$8514,3),"")</f>
        <v/>
      </c>
      <c r="S375" s="62"/>
      <c r="T375" s="62"/>
      <c r="U375" s="33"/>
    </row>
    <row r="376" spans="14:21">
      <c r="N376" s="33"/>
      <c r="O376" s="62" t="str">
        <f>IFERROR(IFERROR(VLOOKUP(S376,soils2!$A$2:$D$8514,3,FALSE),VLOOKUP(N376,soils2!$B$2:$D$8514,2,FALSE)),"")</f>
        <v/>
      </c>
      <c r="P376" s="62"/>
      <c r="Q376" s="62"/>
      <c r="R376" s="34" t="str">
        <f>IFERROR(VLOOKUP(N376,soils2!$B$2:$D$8514,3),"")</f>
        <v/>
      </c>
      <c r="S376" s="62"/>
      <c r="T376" s="62"/>
      <c r="U376" s="33"/>
    </row>
    <row r="377" spans="14:21">
      <c r="N377" s="33"/>
      <c r="O377" s="62" t="str">
        <f>IFERROR(IFERROR(VLOOKUP(S377,soils2!$A$2:$D$8514,3,FALSE),VLOOKUP(N377,soils2!$B$2:$D$8514,2,FALSE)),"")</f>
        <v/>
      </c>
      <c r="P377" s="62"/>
      <c r="Q377" s="62"/>
      <c r="R377" s="34" t="str">
        <f>IFERROR(VLOOKUP(N377,soils2!$B$2:$D$8514,3),"")</f>
        <v/>
      </c>
      <c r="S377" s="62"/>
      <c r="T377" s="62"/>
      <c r="U377" s="33"/>
    </row>
    <row r="378" spans="14:21">
      <c r="N378" s="33"/>
      <c r="O378" s="62" t="str">
        <f>IFERROR(IFERROR(VLOOKUP(S378,soils2!$A$2:$D$8514,3,FALSE),VLOOKUP(N378,soils2!$B$2:$D$8514,2,FALSE)),"")</f>
        <v/>
      </c>
      <c r="P378" s="62"/>
      <c r="Q378" s="62"/>
      <c r="R378" s="34" t="str">
        <f>IFERROR(VLOOKUP(N378,soils2!$B$2:$D$8514,3),"")</f>
        <v/>
      </c>
      <c r="S378" s="62"/>
      <c r="T378" s="62"/>
      <c r="U378" s="33"/>
    </row>
    <row r="379" spans="14:21">
      <c r="N379" s="33"/>
      <c r="O379" s="62" t="str">
        <f>IFERROR(IFERROR(VLOOKUP(S379,soils2!$A$2:$D$8514,3,FALSE),VLOOKUP(N379,soils2!$B$2:$D$8514,2,FALSE)),"")</f>
        <v/>
      </c>
      <c r="P379" s="62"/>
      <c r="Q379" s="62"/>
      <c r="R379" s="34" t="str">
        <f>IFERROR(VLOOKUP(N379,soils2!$B$2:$D$8514,3),"")</f>
        <v/>
      </c>
      <c r="S379" s="62"/>
      <c r="T379" s="62"/>
      <c r="U379" s="33"/>
    </row>
    <row r="380" spans="14:21">
      <c r="N380" s="33"/>
      <c r="O380" s="62" t="str">
        <f>IFERROR(IFERROR(VLOOKUP(S380,soils2!$A$2:$D$8514,3,FALSE),VLOOKUP(N380,soils2!$B$2:$D$8514,2,FALSE)),"")</f>
        <v/>
      </c>
      <c r="P380" s="62"/>
      <c r="Q380" s="62"/>
      <c r="R380" s="34" t="str">
        <f>IFERROR(VLOOKUP(N380,soils2!$B$2:$D$8514,3),"")</f>
        <v/>
      </c>
      <c r="S380" s="62"/>
      <c r="T380" s="62"/>
      <c r="U380" s="33"/>
    </row>
    <row r="381" spans="14:21">
      <c r="N381" s="33"/>
      <c r="O381" s="62" t="str">
        <f>IFERROR(IFERROR(VLOOKUP(S381,soils2!$A$2:$D$8514,3,FALSE),VLOOKUP(N381,soils2!$B$2:$D$8514,2,FALSE)),"")</f>
        <v/>
      </c>
      <c r="P381" s="62"/>
      <c r="Q381" s="62"/>
      <c r="R381" s="34" t="str">
        <f>IFERROR(VLOOKUP(N381,soils2!$B$2:$D$8514,3),"")</f>
        <v/>
      </c>
      <c r="S381" s="62"/>
      <c r="T381" s="62"/>
      <c r="U381" s="33"/>
    </row>
    <row r="382" spans="14:21">
      <c r="N382" s="33"/>
      <c r="O382" s="62" t="str">
        <f>IFERROR(IFERROR(VLOOKUP(S382,soils2!$A$2:$D$8514,3,FALSE),VLOOKUP(N382,soils2!$B$2:$D$8514,2,FALSE)),"")</f>
        <v/>
      </c>
      <c r="P382" s="62"/>
      <c r="Q382" s="62"/>
      <c r="R382" s="34" t="str">
        <f>IFERROR(VLOOKUP(N382,soils2!$B$2:$D$8514,3),"")</f>
        <v/>
      </c>
      <c r="S382" s="62"/>
      <c r="T382" s="62"/>
      <c r="U382" s="33"/>
    </row>
    <row r="383" spans="14:21">
      <c r="N383" s="33"/>
      <c r="O383" s="62" t="str">
        <f>IFERROR(IFERROR(VLOOKUP(S383,soils2!$A$2:$D$8514,3,FALSE),VLOOKUP(N383,soils2!$B$2:$D$8514,2,FALSE)),"")</f>
        <v/>
      </c>
      <c r="P383" s="62"/>
      <c r="Q383" s="62"/>
      <c r="R383" s="34" t="str">
        <f>IFERROR(VLOOKUP(N383,soils2!$B$2:$D$8514,3),"")</f>
        <v/>
      </c>
      <c r="S383" s="62"/>
      <c r="T383" s="62"/>
      <c r="U383" s="33"/>
    </row>
    <row r="384" spans="14:21">
      <c r="N384" s="33"/>
      <c r="O384" s="62" t="str">
        <f>IFERROR(IFERROR(VLOOKUP(S384,soils2!$A$2:$D$8514,3,FALSE),VLOOKUP(N384,soils2!$B$2:$D$8514,2,FALSE)),"")</f>
        <v/>
      </c>
      <c r="P384" s="62"/>
      <c r="Q384" s="62"/>
      <c r="R384" s="34" t="str">
        <f>IFERROR(VLOOKUP(N384,soils2!$B$2:$D$8514,3),"")</f>
        <v/>
      </c>
      <c r="S384" s="62"/>
      <c r="T384" s="62"/>
      <c r="U384" s="33"/>
    </row>
    <row r="385" spans="14:21">
      <c r="N385" s="33"/>
      <c r="O385" s="62" t="str">
        <f>IFERROR(IFERROR(VLOOKUP(S385,soils2!$A$2:$D$8514,3,FALSE),VLOOKUP(N385,soils2!$B$2:$D$8514,2,FALSE)),"")</f>
        <v/>
      </c>
      <c r="P385" s="62"/>
      <c r="Q385" s="62"/>
      <c r="R385" s="34" t="str">
        <f>IFERROR(VLOOKUP(N385,soils2!$B$2:$D$8514,3),"")</f>
        <v/>
      </c>
      <c r="S385" s="62"/>
      <c r="T385" s="62"/>
      <c r="U385" s="33"/>
    </row>
    <row r="386" spans="14:21">
      <c r="N386" s="33"/>
      <c r="O386" s="62" t="str">
        <f>IFERROR(IFERROR(VLOOKUP(S386,soils2!$A$2:$D$8514,3,FALSE),VLOOKUP(N386,soils2!$B$2:$D$8514,2,FALSE)),"")</f>
        <v/>
      </c>
      <c r="P386" s="62"/>
      <c r="Q386" s="62"/>
      <c r="R386" s="34" t="str">
        <f>IFERROR(VLOOKUP(N386,soils2!$B$2:$D$8514,3),"")</f>
        <v/>
      </c>
      <c r="S386" s="62"/>
      <c r="T386" s="62"/>
      <c r="U386" s="33"/>
    </row>
    <row r="387" spans="14:21">
      <c r="N387" s="33"/>
      <c r="O387" s="62" t="str">
        <f>IFERROR(IFERROR(VLOOKUP(S387,soils2!$A$2:$D$8514,3,FALSE),VLOOKUP(N387,soils2!$B$2:$D$8514,2,FALSE)),"")</f>
        <v/>
      </c>
      <c r="P387" s="62"/>
      <c r="Q387" s="62"/>
      <c r="R387" s="34" t="str">
        <f>IFERROR(VLOOKUP(N387,soils2!$B$2:$D$8514,3),"")</f>
        <v/>
      </c>
      <c r="S387" s="62"/>
      <c r="T387" s="62"/>
      <c r="U387" s="33"/>
    </row>
    <row r="388" spans="14:21">
      <c r="N388" s="33"/>
      <c r="O388" s="62" t="str">
        <f>IFERROR(IFERROR(VLOOKUP(S388,soils2!$A$2:$D$8514,3,FALSE),VLOOKUP(N388,soils2!$B$2:$D$8514,2,FALSE)),"")</f>
        <v/>
      </c>
      <c r="P388" s="62"/>
      <c r="Q388" s="62"/>
      <c r="R388" s="34" t="str">
        <f>IFERROR(VLOOKUP(N388,soils2!$B$2:$D$8514,3),"")</f>
        <v/>
      </c>
      <c r="S388" s="62"/>
      <c r="T388" s="62"/>
      <c r="U388" s="33"/>
    </row>
    <row r="389" spans="14:21">
      <c r="N389" s="33"/>
      <c r="O389" s="62" t="str">
        <f>IFERROR(IFERROR(VLOOKUP(S389,soils2!$A$2:$D$8514,3,FALSE),VLOOKUP(N389,soils2!$B$2:$D$8514,2,FALSE)),"")</f>
        <v/>
      </c>
      <c r="P389" s="62"/>
      <c r="Q389" s="62"/>
      <c r="R389" s="34" t="str">
        <f>IFERROR(VLOOKUP(N389,soils2!$B$2:$D$8514,3),"")</f>
        <v/>
      </c>
      <c r="S389" s="62"/>
      <c r="T389" s="62"/>
      <c r="U389" s="33"/>
    </row>
    <row r="390" spans="14:21">
      <c r="N390" s="33"/>
      <c r="O390" s="62" t="str">
        <f>IFERROR(IFERROR(VLOOKUP(S390,soils2!$A$2:$D$8514,3,FALSE),VLOOKUP(N390,soils2!$B$2:$D$8514,2,FALSE)),"")</f>
        <v/>
      </c>
      <c r="P390" s="62"/>
      <c r="Q390" s="62"/>
      <c r="R390" s="34" t="str">
        <f>IFERROR(VLOOKUP(N390,soils2!$B$2:$D$8514,3),"")</f>
        <v/>
      </c>
      <c r="S390" s="62"/>
      <c r="T390" s="62"/>
      <c r="U390" s="33"/>
    </row>
    <row r="391" spans="14:21">
      <c r="N391" s="33"/>
      <c r="O391" s="62" t="str">
        <f>IFERROR(IFERROR(VLOOKUP(S391,soils2!$A$2:$D$8514,3,FALSE),VLOOKUP(N391,soils2!$B$2:$D$8514,2,FALSE)),"")</f>
        <v/>
      </c>
      <c r="P391" s="62"/>
      <c r="Q391" s="62"/>
      <c r="R391" s="34" t="str">
        <f>IFERROR(VLOOKUP(N391,soils2!$B$2:$D$8514,3),"")</f>
        <v/>
      </c>
      <c r="S391" s="62"/>
      <c r="T391" s="62"/>
      <c r="U391" s="33"/>
    </row>
    <row r="392" spans="14:21">
      <c r="N392" s="33"/>
      <c r="O392" s="62" t="str">
        <f>IFERROR(IFERROR(VLOOKUP(S392,soils2!$A$2:$D$8514,3,FALSE),VLOOKUP(N392,soils2!$B$2:$D$8514,2,FALSE)),"")</f>
        <v/>
      </c>
      <c r="P392" s="62"/>
      <c r="Q392" s="62"/>
      <c r="R392" s="34" t="str">
        <f>IFERROR(VLOOKUP(N392,soils2!$B$2:$D$8514,3),"")</f>
        <v/>
      </c>
      <c r="S392" s="62"/>
      <c r="T392" s="62"/>
      <c r="U392" s="33"/>
    </row>
    <row r="393" spans="14:21">
      <c r="N393" s="33"/>
      <c r="O393" s="62" t="str">
        <f>IFERROR(IFERROR(VLOOKUP(S393,soils2!$A$2:$D$8514,3,FALSE),VLOOKUP(N393,soils2!$B$2:$D$8514,2,FALSE)),"")</f>
        <v/>
      </c>
      <c r="P393" s="62"/>
      <c r="Q393" s="62"/>
      <c r="R393" s="34" t="str">
        <f>IFERROR(VLOOKUP(N393,soils2!$B$2:$D$8514,3),"")</f>
        <v/>
      </c>
      <c r="S393" s="62"/>
      <c r="T393" s="62"/>
      <c r="U393" s="33"/>
    </row>
    <row r="394" spans="14:21">
      <c r="N394" s="33"/>
      <c r="O394" s="62" t="str">
        <f>IFERROR(IFERROR(VLOOKUP(S394,soils2!$A$2:$D$8514,3,FALSE),VLOOKUP(N394,soils2!$B$2:$D$8514,2,FALSE)),"")</f>
        <v/>
      </c>
      <c r="P394" s="62"/>
      <c r="Q394" s="62"/>
      <c r="R394" s="34" t="str">
        <f>IFERROR(VLOOKUP(N394,soils2!$B$2:$D$8514,3),"")</f>
        <v/>
      </c>
      <c r="S394" s="62"/>
      <c r="T394" s="62"/>
      <c r="U394" s="33"/>
    </row>
    <row r="395" spans="14:21">
      <c r="N395" s="33"/>
      <c r="O395" s="62" t="str">
        <f>IFERROR(IFERROR(VLOOKUP(S395,soils2!$A$2:$D$8514,3,FALSE),VLOOKUP(N395,soils2!$B$2:$D$8514,2,FALSE)),"")</f>
        <v/>
      </c>
      <c r="P395" s="62"/>
      <c r="Q395" s="62"/>
      <c r="R395" s="34" t="str">
        <f>IFERROR(VLOOKUP(N395,soils2!$B$2:$D$8514,3),"")</f>
        <v/>
      </c>
      <c r="S395" s="62"/>
      <c r="T395" s="62"/>
      <c r="U395" s="33"/>
    </row>
    <row r="396" spans="14:21">
      <c r="N396" s="33"/>
      <c r="O396" s="62" t="str">
        <f>IFERROR(IFERROR(VLOOKUP(S396,soils2!$A$2:$D$8514,3,FALSE),VLOOKUP(N396,soils2!$B$2:$D$8514,2,FALSE)),"")</f>
        <v/>
      </c>
      <c r="P396" s="62"/>
      <c r="Q396" s="62"/>
      <c r="R396" s="34" t="str">
        <f>IFERROR(VLOOKUP(N396,soils2!$B$2:$D$8514,3),"")</f>
        <v/>
      </c>
      <c r="S396" s="62"/>
      <c r="T396" s="62"/>
      <c r="U396" s="33"/>
    </row>
    <row r="397" spans="14:21">
      <c r="N397" s="33"/>
      <c r="O397" s="62" t="str">
        <f>IFERROR(IFERROR(VLOOKUP(S397,soils2!$A$2:$D$8514,3,FALSE),VLOOKUP(N397,soils2!$B$2:$D$8514,2,FALSE)),"")</f>
        <v/>
      </c>
      <c r="P397" s="62"/>
      <c r="Q397" s="62"/>
      <c r="R397" s="34" t="str">
        <f>IFERROR(VLOOKUP(N397,soils2!$B$2:$D$8514,3),"")</f>
        <v/>
      </c>
      <c r="S397" s="62"/>
      <c r="T397" s="62"/>
      <c r="U397" s="33"/>
    </row>
    <row r="398" spans="14:21">
      <c r="N398" s="33"/>
      <c r="O398" s="62" t="str">
        <f>IFERROR(IFERROR(VLOOKUP(S398,soils2!$A$2:$D$8514,3,FALSE),VLOOKUP(N398,soils2!$B$2:$D$8514,2,FALSE)),"")</f>
        <v/>
      </c>
      <c r="P398" s="62"/>
      <c r="Q398" s="62"/>
      <c r="R398" s="34" t="str">
        <f>IFERROR(VLOOKUP(N398,soils2!$B$2:$D$8514,3),"")</f>
        <v/>
      </c>
      <c r="S398" s="62"/>
      <c r="T398" s="62"/>
      <c r="U398" s="33"/>
    </row>
    <row r="399" spans="14:21">
      <c r="N399" s="33"/>
      <c r="O399" s="62" t="str">
        <f>IFERROR(IFERROR(VLOOKUP(S399,soils2!$A$2:$D$8514,3,FALSE),VLOOKUP(N399,soils2!$B$2:$D$8514,2,FALSE)),"")</f>
        <v/>
      </c>
      <c r="P399" s="62"/>
      <c r="Q399" s="62"/>
      <c r="R399" s="34" t="str">
        <f>IFERROR(VLOOKUP(N399,soils2!$B$2:$D$8514,3),"")</f>
        <v/>
      </c>
      <c r="S399" s="62"/>
      <c r="T399" s="62"/>
      <c r="U399" s="33"/>
    </row>
    <row r="400" spans="14:21">
      <c r="N400" s="33"/>
      <c r="O400" s="62" t="str">
        <f>IFERROR(IFERROR(VLOOKUP(S400,soils2!$A$2:$D$8514,3,FALSE),VLOOKUP(N400,soils2!$B$2:$D$8514,2,FALSE)),"")</f>
        <v/>
      </c>
      <c r="P400" s="62"/>
      <c r="Q400" s="62"/>
      <c r="R400" s="34" t="str">
        <f>IFERROR(VLOOKUP(N400,soils2!$B$2:$D$8514,3),"")</f>
        <v/>
      </c>
      <c r="S400" s="62"/>
      <c r="T400" s="62"/>
      <c r="U400" s="33"/>
    </row>
    <row r="401" spans="14:21">
      <c r="N401" s="33"/>
      <c r="O401" s="62" t="str">
        <f>IFERROR(IFERROR(VLOOKUP(S401,soils2!$A$2:$D$8514,3,FALSE),VLOOKUP(N401,soils2!$B$2:$D$8514,2,FALSE)),"")</f>
        <v/>
      </c>
      <c r="P401" s="62"/>
      <c r="Q401" s="62"/>
      <c r="R401" s="34" t="str">
        <f>IFERROR(VLOOKUP(N401,soils2!$B$2:$D$8514,3),"")</f>
        <v/>
      </c>
      <c r="S401" s="62"/>
      <c r="T401" s="62"/>
      <c r="U401" s="33"/>
    </row>
    <row r="402" spans="14:21">
      <c r="N402" s="33"/>
      <c r="O402" s="62" t="str">
        <f>IFERROR(IFERROR(VLOOKUP(S402,soils2!$A$2:$D$8514,3,FALSE),VLOOKUP(N402,soils2!$B$2:$D$8514,2,FALSE)),"")</f>
        <v/>
      </c>
      <c r="P402" s="62"/>
      <c r="Q402" s="62"/>
      <c r="R402" s="34" t="str">
        <f>IFERROR(VLOOKUP(N402,soils2!$B$2:$D$8514,3),"")</f>
        <v/>
      </c>
      <c r="S402" s="62"/>
      <c r="T402" s="62"/>
      <c r="U402" s="33"/>
    </row>
    <row r="403" spans="14:21">
      <c r="N403" s="33"/>
      <c r="O403" s="62" t="str">
        <f>IFERROR(IFERROR(VLOOKUP(S403,soils2!$A$2:$D$8514,3,FALSE),VLOOKUP(N403,soils2!$B$2:$D$8514,2,FALSE)),"")</f>
        <v/>
      </c>
      <c r="P403" s="62"/>
      <c r="Q403" s="62"/>
      <c r="R403" s="34" t="str">
        <f>IFERROR(VLOOKUP(N403,soils2!$B$2:$D$8514,3),"")</f>
        <v/>
      </c>
      <c r="S403" s="62"/>
      <c r="T403" s="62"/>
      <c r="U403" s="33"/>
    </row>
    <row r="404" spans="14:21">
      <c r="N404" s="33"/>
      <c r="O404" s="62" t="str">
        <f>IFERROR(IFERROR(VLOOKUP(S404,soils2!$A$2:$D$8514,3,FALSE),VLOOKUP(N404,soils2!$B$2:$D$8514,2,FALSE)),"")</f>
        <v/>
      </c>
      <c r="P404" s="62"/>
      <c r="Q404" s="62"/>
      <c r="R404" s="34" t="str">
        <f>IFERROR(VLOOKUP(N404,soils2!$B$2:$D$8514,3),"")</f>
        <v/>
      </c>
      <c r="S404" s="62"/>
      <c r="T404" s="62"/>
      <c r="U404" s="33"/>
    </row>
    <row r="405" spans="14:21">
      <c r="N405" s="33"/>
      <c r="O405" s="62" t="str">
        <f>IFERROR(IFERROR(VLOOKUP(S405,soils2!$A$2:$D$8514,3,FALSE),VLOOKUP(N405,soils2!$B$2:$D$8514,2,FALSE)),"")</f>
        <v/>
      </c>
      <c r="P405" s="62"/>
      <c r="Q405" s="62"/>
      <c r="R405" s="34" t="str">
        <f>IFERROR(VLOOKUP(N405,soils2!$B$2:$D$8514,3),"")</f>
        <v/>
      </c>
      <c r="S405" s="62"/>
      <c r="T405" s="62"/>
      <c r="U405" s="33"/>
    </row>
    <row r="406" spans="14:21">
      <c r="N406" s="33"/>
      <c r="O406" s="62" t="str">
        <f>IFERROR(IFERROR(VLOOKUP(S406,soils2!$A$2:$D$8514,3,FALSE),VLOOKUP(N406,soils2!$B$2:$D$8514,2,FALSE)),"")</f>
        <v/>
      </c>
      <c r="P406" s="62"/>
      <c r="Q406" s="62"/>
      <c r="R406" s="34" t="str">
        <f>IFERROR(VLOOKUP(N406,soils2!$B$2:$D$8514,3),"")</f>
        <v/>
      </c>
      <c r="S406" s="62"/>
      <c r="T406" s="62"/>
      <c r="U406" s="33"/>
    </row>
    <row r="407" spans="14:21">
      <c r="N407" s="33"/>
      <c r="O407" s="62" t="str">
        <f>IFERROR(IFERROR(VLOOKUP(S407,soils2!$A$2:$D$8514,3,FALSE),VLOOKUP(N407,soils2!$B$2:$D$8514,2,FALSE)),"")</f>
        <v/>
      </c>
      <c r="P407" s="62"/>
      <c r="Q407" s="62"/>
      <c r="R407" s="34" t="str">
        <f>IFERROR(VLOOKUP(N407,soils2!$B$2:$D$8514,3),"")</f>
        <v/>
      </c>
      <c r="S407" s="62"/>
      <c r="T407" s="62"/>
      <c r="U407" s="33"/>
    </row>
    <row r="408" spans="14:21">
      <c r="N408" s="33"/>
      <c r="O408" s="62" t="str">
        <f>IFERROR(IFERROR(VLOOKUP(S408,soils2!$A$2:$D$8514,3,FALSE),VLOOKUP(N408,soils2!$B$2:$D$8514,2,FALSE)),"")</f>
        <v/>
      </c>
      <c r="P408" s="62"/>
      <c r="Q408" s="62"/>
      <c r="R408" s="34" t="str">
        <f>IFERROR(VLOOKUP(N408,soils2!$B$2:$D$8514,3),"")</f>
        <v/>
      </c>
      <c r="S408" s="62"/>
      <c r="T408" s="62"/>
      <c r="U408" s="33"/>
    </row>
    <row r="409" spans="14:21">
      <c r="N409" s="33"/>
      <c r="O409" s="62" t="str">
        <f>IFERROR(IFERROR(VLOOKUP(S409,soils2!$A$2:$D$8514,3,FALSE),VLOOKUP(N409,soils2!$B$2:$D$8514,2,FALSE)),"")</f>
        <v/>
      </c>
      <c r="P409" s="62"/>
      <c r="Q409" s="62"/>
      <c r="R409" s="34" t="str">
        <f>IFERROR(VLOOKUP(N409,soils2!$B$2:$D$8514,3),"")</f>
        <v/>
      </c>
      <c r="S409" s="62"/>
      <c r="T409" s="62"/>
      <c r="U409" s="33"/>
    </row>
    <row r="410" spans="14:21">
      <c r="N410" s="33"/>
      <c r="O410" s="62" t="str">
        <f>IFERROR(IFERROR(VLOOKUP(S410,soils2!$A$2:$D$8514,3,FALSE),VLOOKUP(N410,soils2!$B$2:$D$8514,2,FALSE)),"")</f>
        <v/>
      </c>
      <c r="P410" s="62"/>
      <c r="Q410" s="62"/>
      <c r="R410" s="34" t="str">
        <f>IFERROR(VLOOKUP(N410,soils2!$B$2:$D$8514,3),"")</f>
        <v/>
      </c>
      <c r="S410" s="62"/>
      <c r="T410" s="62"/>
      <c r="U410" s="33"/>
    </row>
    <row r="411" spans="14:21">
      <c r="N411" s="33"/>
      <c r="O411" s="62" t="str">
        <f>IFERROR(IFERROR(VLOOKUP(S411,soils2!$A$2:$D$8514,3,FALSE),VLOOKUP(N411,soils2!$B$2:$D$8514,2,FALSE)),"")</f>
        <v/>
      </c>
      <c r="P411" s="62"/>
      <c r="Q411" s="62"/>
      <c r="R411" s="34" t="str">
        <f>IFERROR(VLOOKUP(N411,soils2!$B$2:$D$8514,3),"")</f>
        <v/>
      </c>
      <c r="S411" s="62"/>
      <c r="T411" s="62"/>
      <c r="U411" s="33"/>
    </row>
    <row r="412" spans="14:21">
      <c r="N412" s="33"/>
      <c r="O412" s="62" t="str">
        <f>IFERROR(IFERROR(VLOOKUP(S412,soils2!$A$2:$D$8514,3,FALSE),VLOOKUP(N412,soils2!$B$2:$D$8514,2,FALSE)),"")</f>
        <v/>
      </c>
      <c r="P412" s="62"/>
      <c r="Q412" s="62"/>
      <c r="R412" s="34" t="str">
        <f>IFERROR(VLOOKUP(N412,soils2!$B$2:$D$8514,3),"")</f>
        <v/>
      </c>
      <c r="S412" s="62"/>
      <c r="T412" s="62"/>
      <c r="U412" s="33"/>
    </row>
    <row r="413" spans="14:21">
      <c r="N413" s="33"/>
      <c r="O413" s="62" t="str">
        <f>IFERROR(IFERROR(VLOOKUP(S413,soils2!$A$2:$D$8514,3,FALSE),VLOOKUP(N413,soils2!$B$2:$D$8514,2,FALSE)),"")</f>
        <v/>
      </c>
      <c r="P413" s="62"/>
      <c r="Q413" s="62"/>
      <c r="R413" s="34" t="str">
        <f>IFERROR(VLOOKUP(N413,soils2!$B$2:$D$8514,3),"")</f>
        <v/>
      </c>
      <c r="S413" s="62"/>
      <c r="T413" s="62"/>
      <c r="U413" s="33"/>
    </row>
    <row r="414" spans="14:21">
      <c r="N414" s="33"/>
      <c r="O414" s="62" t="str">
        <f>IFERROR(IFERROR(VLOOKUP(S414,soils2!$A$2:$D$8514,3,FALSE),VLOOKUP(N414,soils2!$B$2:$D$8514,2,FALSE)),"")</f>
        <v/>
      </c>
      <c r="P414" s="62"/>
      <c r="Q414" s="62"/>
      <c r="R414" s="34" t="str">
        <f>IFERROR(VLOOKUP(N414,soils2!$B$2:$D$8514,3),"")</f>
        <v/>
      </c>
      <c r="S414" s="62"/>
      <c r="T414" s="62"/>
      <c r="U414" s="33"/>
    </row>
    <row r="415" spans="14:21">
      <c r="N415" s="33"/>
      <c r="O415" s="62" t="str">
        <f>IFERROR(IFERROR(VLOOKUP(S415,soils2!$A$2:$D$8514,3,FALSE),VLOOKUP(N415,soils2!$B$2:$D$8514,2,FALSE)),"")</f>
        <v/>
      </c>
      <c r="P415" s="62"/>
      <c r="Q415" s="62"/>
      <c r="R415" s="34" t="str">
        <f>IFERROR(VLOOKUP(N415,soils2!$B$2:$D$8514,3),"")</f>
        <v/>
      </c>
      <c r="S415" s="62"/>
      <c r="T415" s="62"/>
      <c r="U415" s="33"/>
    </row>
    <row r="416" spans="14:21">
      <c r="N416" s="33"/>
      <c r="O416" s="62" t="str">
        <f>IFERROR(IFERROR(VLOOKUP(S416,soils2!$A$2:$D$8514,3,FALSE),VLOOKUP(N416,soils2!$B$2:$D$8514,2,FALSE)),"")</f>
        <v/>
      </c>
      <c r="P416" s="62"/>
      <c r="Q416" s="62"/>
      <c r="R416" s="34" t="str">
        <f>IFERROR(VLOOKUP(N416,soils2!$B$2:$D$8514,3),"")</f>
        <v/>
      </c>
      <c r="S416" s="62"/>
      <c r="T416" s="62"/>
      <c r="U416" s="33"/>
    </row>
    <row r="417" spans="14:21">
      <c r="N417" s="33"/>
      <c r="O417" s="62" t="str">
        <f>IFERROR(IFERROR(VLOOKUP(S417,soils2!$A$2:$D$8514,3,FALSE),VLOOKUP(N417,soils2!$B$2:$D$8514,2,FALSE)),"")</f>
        <v/>
      </c>
      <c r="P417" s="62"/>
      <c r="Q417" s="62"/>
      <c r="R417" s="34" t="str">
        <f>IFERROR(VLOOKUP(N417,soils2!$B$2:$D$8514,3),"")</f>
        <v/>
      </c>
      <c r="S417" s="62"/>
      <c r="T417" s="62"/>
      <c r="U417" s="33"/>
    </row>
    <row r="418" spans="14:21">
      <c r="N418" s="33"/>
      <c r="O418" s="62" t="str">
        <f>IFERROR(IFERROR(VLOOKUP(S418,soils2!$A$2:$D$8514,3,FALSE),VLOOKUP(N418,soils2!$B$2:$D$8514,2,FALSE)),"")</f>
        <v/>
      </c>
      <c r="P418" s="62"/>
      <c r="Q418" s="62"/>
      <c r="R418" s="34" t="str">
        <f>IFERROR(VLOOKUP(N418,soils2!$B$2:$D$8514,3),"")</f>
        <v/>
      </c>
      <c r="S418" s="62"/>
      <c r="T418" s="62"/>
      <c r="U418" s="33"/>
    </row>
    <row r="419" spans="14:21">
      <c r="N419" s="33"/>
      <c r="O419" s="62" t="str">
        <f>IFERROR(IFERROR(VLOOKUP(S419,soils2!$A$2:$D$8514,3,FALSE),VLOOKUP(N419,soils2!$B$2:$D$8514,2,FALSE)),"")</f>
        <v/>
      </c>
      <c r="P419" s="62"/>
      <c r="Q419" s="62"/>
      <c r="R419" s="34" t="str">
        <f>IFERROR(VLOOKUP(N419,soils2!$B$2:$D$8514,3),"")</f>
        <v/>
      </c>
      <c r="S419" s="62"/>
      <c r="T419" s="62"/>
      <c r="U419" s="33"/>
    </row>
    <row r="420" spans="14:21">
      <c r="N420" s="33"/>
      <c r="O420" s="62" t="str">
        <f>IFERROR(IFERROR(VLOOKUP(S420,soils2!$A$2:$D$8514,3,FALSE),VLOOKUP(N420,soils2!$B$2:$D$8514,2,FALSE)),"")</f>
        <v/>
      </c>
      <c r="P420" s="62"/>
      <c r="Q420" s="62"/>
      <c r="R420" s="34" t="str">
        <f>IFERROR(VLOOKUP(N420,soils2!$B$2:$D$8514,3),"")</f>
        <v/>
      </c>
      <c r="S420" s="62"/>
      <c r="T420" s="62"/>
      <c r="U420" s="33"/>
    </row>
    <row r="421" spans="14:21">
      <c r="N421" s="33"/>
      <c r="O421" s="62" t="str">
        <f>IFERROR(IFERROR(VLOOKUP(S421,soils2!$A$2:$D$8514,3,FALSE),VLOOKUP(N421,soils2!$B$2:$D$8514,2,FALSE)),"")</f>
        <v/>
      </c>
      <c r="P421" s="62"/>
      <c r="Q421" s="62"/>
      <c r="R421" s="34" t="str">
        <f>IFERROR(VLOOKUP(N421,soils2!$B$2:$D$8514,3),"")</f>
        <v/>
      </c>
      <c r="S421" s="62"/>
      <c r="T421" s="62"/>
      <c r="U421" s="33"/>
    </row>
    <row r="422" spans="14:21">
      <c r="N422" s="33"/>
      <c r="O422" s="62" t="str">
        <f>IFERROR(IFERROR(VLOOKUP(S422,soils2!$A$2:$D$8514,3,FALSE),VLOOKUP(N422,soils2!$B$2:$D$8514,2,FALSE)),"")</f>
        <v/>
      </c>
      <c r="P422" s="62"/>
      <c r="Q422" s="62"/>
      <c r="R422" s="34" t="str">
        <f>IFERROR(VLOOKUP(N422,soils2!$B$2:$D$8514,3),"")</f>
        <v/>
      </c>
      <c r="S422" s="62"/>
      <c r="T422" s="62"/>
      <c r="U422" s="33"/>
    </row>
    <row r="423" spans="14:21">
      <c r="N423" s="33"/>
      <c r="O423" s="62" t="str">
        <f>IFERROR(IFERROR(VLOOKUP(S423,soils2!$A$2:$D$8514,3,FALSE),VLOOKUP(N423,soils2!$B$2:$D$8514,2,FALSE)),"")</f>
        <v/>
      </c>
      <c r="P423" s="62"/>
      <c r="Q423" s="62"/>
      <c r="R423" s="34" t="str">
        <f>IFERROR(VLOOKUP(N423,soils2!$B$2:$D$8514,3),"")</f>
        <v/>
      </c>
      <c r="S423" s="62"/>
      <c r="T423" s="62"/>
      <c r="U423" s="33"/>
    </row>
    <row r="424" spans="14:21">
      <c r="N424" s="33"/>
      <c r="O424" s="62" t="str">
        <f>IFERROR(IFERROR(VLOOKUP(S424,soils2!$A$2:$D$8514,3,FALSE),VLOOKUP(N424,soils2!$B$2:$D$8514,2,FALSE)),"")</f>
        <v/>
      </c>
      <c r="P424" s="62"/>
      <c r="Q424" s="62"/>
      <c r="R424" s="34" t="str">
        <f>IFERROR(VLOOKUP(N424,soils2!$B$2:$D$8514,3),"")</f>
        <v/>
      </c>
      <c r="S424" s="62"/>
      <c r="T424" s="62"/>
      <c r="U424" s="33"/>
    </row>
    <row r="425" spans="14:21">
      <c r="N425" s="33"/>
      <c r="O425" s="62" t="str">
        <f>IFERROR(IFERROR(VLOOKUP(S425,soils2!$A$2:$D$8514,3,FALSE),VLOOKUP(N425,soils2!$B$2:$D$8514,2,FALSE)),"")</f>
        <v/>
      </c>
      <c r="P425" s="62"/>
      <c r="Q425" s="62"/>
      <c r="R425" s="34" t="str">
        <f>IFERROR(VLOOKUP(N425,soils2!$B$2:$D$8514,3),"")</f>
        <v/>
      </c>
      <c r="S425" s="62"/>
      <c r="T425" s="62"/>
      <c r="U425" s="33"/>
    </row>
    <row r="426" spans="14:21">
      <c r="N426" s="33"/>
      <c r="O426" s="62" t="str">
        <f>IFERROR(IFERROR(VLOOKUP(S426,soils2!$A$2:$D$8514,3,FALSE),VLOOKUP(N426,soils2!$B$2:$D$8514,2,FALSE)),"")</f>
        <v/>
      </c>
      <c r="P426" s="62"/>
      <c r="Q426" s="62"/>
      <c r="R426" s="34" t="str">
        <f>IFERROR(VLOOKUP(N426,soils2!$B$2:$D$8514,3),"")</f>
        <v/>
      </c>
      <c r="S426" s="62"/>
      <c r="T426" s="62"/>
      <c r="U426" s="33"/>
    </row>
    <row r="427" spans="14:21">
      <c r="N427" s="33"/>
      <c r="O427" s="62" t="str">
        <f>IFERROR(IFERROR(VLOOKUP(S427,soils2!$A$2:$D$8514,3,FALSE),VLOOKUP(N427,soils2!$B$2:$D$8514,2,FALSE)),"")</f>
        <v/>
      </c>
      <c r="P427" s="62"/>
      <c r="Q427" s="62"/>
      <c r="R427" s="34" t="str">
        <f>IFERROR(VLOOKUP(N427,soils2!$B$2:$D$8514,3),"")</f>
        <v/>
      </c>
      <c r="S427" s="62"/>
      <c r="T427" s="62"/>
      <c r="U427" s="33"/>
    </row>
    <row r="428" spans="14:21">
      <c r="N428" s="33"/>
      <c r="O428" s="62" t="str">
        <f>IFERROR(IFERROR(VLOOKUP(S428,soils2!$A$2:$D$8514,3,FALSE),VLOOKUP(N428,soils2!$B$2:$D$8514,2,FALSE)),"")</f>
        <v/>
      </c>
      <c r="P428" s="62"/>
      <c r="Q428" s="62"/>
      <c r="R428" s="34" t="str">
        <f>IFERROR(VLOOKUP(N428,soils2!$B$2:$D$8514,3),"")</f>
        <v/>
      </c>
      <c r="S428" s="62"/>
      <c r="T428" s="62"/>
      <c r="U428" s="33"/>
    </row>
    <row r="429" spans="14:21">
      <c r="N429" s="33"/>
      <c r="O429" s="62" t="str">
        <f>IFERROR(IFERROR(VLOOKUP(S429,soils2!$A$2:$D$8514,3,FALSE),VLOOKUP(N429,soils2!$B$2:$D$8514,2,FALSE)),"")</f>
        <v/>
      </c>
      <c r="P429" s="62"/>
      <c r="Q429" s="62"/>
      <c r="R429" s="34" t="str">
        <f>IFERROR(VLOOKUP(N429,soils2!$B$2:$D$8514,3),"")</f>
        <v/>
      </c>
      <c r="S429" s="62"/>
      <c r="T429" s="62"/>
      <c r="U429" s="33"/>
    </row>
    <row r="430" spans="14:21">
      <c r="N430" s="33"/>
      <c r="O430" s="62" t="str">
        <f>IFERROR(IFERROR(VLOOKUP(S430,soils2!$A$2:$D$8514,3,FALSE),VLOOKUP(N430,soils2!$B$2:$D$8514,2,FALSE)),"")</f>
        <v/>
      </c>
      <c r="P430" s="62"/>
      <c r="Q430" s="62"/>
      <c r="R430" s="34" t="str">
        <f>IFERROR(VLOOKUP(N430,soils2!$B$2:$D$8514,3),"")</f>
        <v/>
      </c>
      <c r="S430" s="62"/>
      <c r="T430" s="62"/>
      <c r="U430" s="33"/>
    </row>
    <row r="431" spans="14:21">
      <c r="N431" s="33"/>
      <c r="O431" s="62" t="str">
        <f>IFERROR(IFERROR(VLOOKUP(S431,soils2!$A$2:$D$8514,3,FALSE),VLOOKUP(N431,soils2!$B$2:$D$8514,2,FALSE)),"")</f>
        <v/>
      </c>
      <c r="P431" s="62"/>
      <c r="Q431" s="62"/>
      <c r="R431" s="34" t="str">
        <f>IFERROR(VLOOKUP(N431,soils2!$B$2:$D$8514,3),"")</f>
        <v/>
      </c>
      <c r="S431" s="62"/>
      <c r="T431" s="62"/>
      <c r="U431" s="33"/>
    </row>
    <row r="432" spans="14:21">
      <c r="N432" s="33"/>
      <c r="O432" s="62" t="str">
        <f>IFERROR(IFERROR(VLOOKUP(S432,soils2!$A$2:$D$8514,3,FALSE),VLOOKUP(N432,soils2!$B$2:$D$8514,2,FALSE)),"")</f>
        <v/>
      </c>
      <c r="P432" s="62"/>
      <c r="Q432" s="62"/>
      <c r="R432" s="34" t="str">
        <f>IFERROR(VLOOKUP(N432,soils2!$B$2:$D$8514,3),"")</f>
        <v/>
      </c>
      <c r="S432" s="62"/>
      <c r="T432" s="62"/>
      <c r="U432" s="33"/>
    </row>
    <row r="433" spans="14:21">
      <c r="N433" s="33"/>
      <c r="O433" s="62" t="str">
        <f>IFERROR(IFERROR(VLOOKUP(S433,soils2!$A$2:$D$8514,3,FALSE),VLOOKUP(N433,soils2!$B$2:$D$8514,2,FALSE)),"")</f>
        <v/>
      </c>
      <c r="P433" s="62"/>
      <c r="Q433" s="62"/>
      <c r="R433" s="34" t="str">
        <f>IFERROR(VLOOKUP(N433,soils2!$B$2:$D$8514,3),"")</f>
        <v/>
      </c>
      <c r="S433" s="62"/>
      <c r="T433" s="62"/>
      <c r="U433" s="33"/>
    </row>
    <row r="434" spans="14:21">
      <c r="N434" s="33"/>
      <c r="O434" s="62" t="str">
        <f>IFERROR(IFERROR(VLOOKUP(S434,soils2!$A$2:$D$8514,3,FALSE),VLOOKUP(N434,soils2!$B$2:$D$8514,2,FALSE)),"")</f>
        <v/>
      </c>
      <c r="P434" s="62"/>
      <c r="Q434" s="62"/>
      <c r="R434" s="34" t="str">
        <f>IFERROR(VLOOKUP(N434,soils2!$B$2:$D$8514,3),"")</f>
        <v/>
      </c>
      <c r="S434" s="62"/>
      <c r="T434" s="62"/>
      <c r="U434" s="33"/>
    </row>
    <row r="435" spans="14:21">
      <c r="N435" s="33"/>
      <c r="O435" s="62" t="str">
        <f>IFERROR(IFERROR(VLOOKUP(S435,soils2!$A$2:$D$8514,3,FALSE),VLOOKUP(N435,soils2!$B$2:$D$8514,2,FALSE)),"")</f>
        <v/>
      </c>
      <c r="P435" s="62"/>
      <c r="Q435" s="62"/>
      <c r="R435" s="34" t="str">
        <f>IFERROR(VLOOKUP(N435,soils2!$B$2:$D$8514,3),"")</f>
        <v/>
      </c>
      <c r="S435" s="62"/>
      <c r="T435" s="62"/>
      <c r="U435" s="33"/>
    </row>
    <row r="436" spans="14:21">
      <c r="N436" s="33"/>
      <c r="O436" s="62" t="str">
        <f>IFERROR(IFERROR(VLOOKUP(S436,soils2!$A$2:$D$8514,3,FALSE),VLOOKUP(N436,soils2!$B$2:$D$8514,2,FALSE)),"")</f>
        <v/>
      </c>
      <c r="P436" s="62"/>
      <c r="Q436" s="62"/>
      <c r="R436" s="34" t="str">
        <f>IFERROR(VLOOKUP(N436,soils2!$B$2:$D$8514,3),"")</f>
        <v/>
      </c>
      <c r="S436" s="62"/>
      <c r="T436" s="62"/>
      <c r="U436" s="33"/>
    </row>
    <row r="437" spans="14:21">
      <c r="N437" s="33"/>
      <c r="O437" s="62" t="str">
        <f>IFERROR(IFERROR(VLOOKUP(S437,soils2!$A$2:$D$8514,3,FALSE),VLOOKUP(N437,soils2!$B$2:$D$8514,2,FALSE)),"")</f>
        <v/>
      </c>
      <c r="P437" s="62"/>
      <c r="Q437" s="62"/>
      <c r="R437" s="34" t="str">
        <f>IFERROR(VLOOKUP(N437,soils2!$B$2:$D$8514,3),"")</f>
        <v/>
      </c>
      <c r="S437" s="62"/>
      <c r="T437" s="62"/>
      <c r="U437" s="33"/>
    </row>
    <row r="438" spans="14:21">
      <c r="N438" s="33"/>
      <c r="O438" s="62" t="str">
        <f>IFERROR(IFERROR(VLOOKUP(S438,soils2!$A$2:$D$8514,3,FALSE),VLOOKUP(N438,soils2!$B$2:$D$8514,2,FALSE)),"")</f>
        <v/>
      </c>
      <c r="P438" s="62"/>
      <c r="Q438" s="62"/>
      <c r="R438" s="34" t="str">
        <f>IFERROR(VLOOKUP(N438,soils2!$B$2:$D$8514,3),"")</f>
        <v/>
      </c>
      <c r="S438" s="62"/>
      <c r="T438" s="62"/>
      <c r="U438" s="33"/>
    </row>
    <row r="439" spans="14:21">
      <c r="N439" s="33"/>
      <c r="O439" s="62" t="str">
        <f>IFERROR(IFERROR(VLOOKUP(S439,soils2!$A$2:$D$8514,3,FALSE),VLOOKUP(N439,soils2!$B$2:$D$8514,2,FALSE)),"")</f>
        <v/>
      </c>
      <c r="P439" s="62"/>
      <c r="Q439" s="62"/>
      <c r="R439" s="34" t="str">
        <f>IFERROR(VLOOKUP(N439,soils2!$B$2:$D$8514,3),"")</f>
        <v/>
      </c>
      <c r="S439" s="62"/>
      <c r="T439" s="62"/>
      <c r="U439" s="33"/>
    </row>
    <row r="440" spans="14:21">
      <c r="N440" s="33"/>
      <c r="O440" s="62" t="str">
        <f>IFERROR(IFERROR(VLOOKUP(S440,soils2!$A$2:$D$8514,3,FALSE),VLOOKUP(N440,soils2!$B$2:$D$8514,2,FALSE)),"")</f>
        <v/>
      </c>
      <c r="P440" s="62"/>
      <c r="Q440" s="62"/>
      <c r="R440" s="34" t="str">
        <f>IFERROR(VLOOKUP(N440,soils2!$B$2:$D$8514,3),"")</f>
        <v/>
      </c>
      <c r="S440" s="62"/>
      <c r="T440" s="62"/>
      <c r="U440" s="33"/>
    </row>
    <row r="441" spans="14:21">
      <c r="N441" s="33"/>
      <c r="O441" s="62" t="str">
        <f>IFERROR(IFERROR(VLOOKUP(S441,soils2!$A$2:$D$8514,3,FALSE),VLOOKUP(N441,soils2!$B$2:$D$8514,2,FALSE)),"")</f>
        <v/>
      </c>
      <c r="P441" s="62"/>
      <c r="Q441" s="62"/>
      <c r="R441" s="34" t="str">
        <f>IFERROR(VLOOKUP(N441,soils2!$B$2:$D$8514,3),"")</f>
        <v/>
      </c>
      <c r="S441" s="62"/>
      <c r="T441" s="62"/>
      <c r="U441" s="33"/>
    </row>
    <row r="442" spans="14:21">
      <c r="N442" s="33"/>
      <c r="O442" s="62" t="str">
        <f>IFERROR(IFERROR(VLOOKUP(S442,soils2!$A$2:$D$8514,3,FALSE),VLOOKUP(N442,soils2!$B$2:$D$8514,2,FALSE)),"")</f>
        <v/>
      </c>
      <c r="P442" s="62"/>
      <c r="Q442" s="62"/>
      <c r="R442" s="34" t="str">
        <f>IFERROR(VLOOKUP(N442,soils2!$B$2:$D$8514,3),"")</f>
        <v/>
      </c>
      <c r="S442" s="62"/>
      <c r="T442" s="62"/>
      <c r="U442" s="33"/>
    </row>
    <row r="443" spans="14:21">
      <c r="N443" s="33"/>
      <c r="O443" s="62" t="str">
        <f>IFERROR(IFERROR(VLOOKUP(S443,soils2!$A$2:$D$8514,3,FALSE),VLOOKUP(N443,soils2!$B$2:$D$8514,2,FALSE)),"")</f>
        <v/>
      </c>
      <c r="P443" s="62"/>
      <c r="Q443" s="62"/>
      <c r="R443" s="34" t="str">
        <f>IFERROR(VLOOKUP(N443,soils2!$B$2:$D$8514,3),"")</f>
        <v/>
      </c>
      <c r="S443" s="62"/>
      <c r="T443" s="62"/>
      <c r="U443" s="33"/>
    </row>
    <row r="444" spans="14:21">
      <c r="N444" s="33"/>
      <c r="O444" s="62" t="str">
        <f>IFERROR(IFERROR(VLOOKUP(S444,soils2!$A$2:$D$8514,3,FALSE),VLOOKUP(N444,soils2!$B$2:$D$8514,2,FALSE)),"")</f>
        <v/>
      </c>
      <c r="P444" s="62"/>
      <c r="Q444" s="62"/>
      <c r="R444" s="34" t="str">
        <f>IFERROR(VLOOKUP(N444,soils2!$B$2:$D$8514,3),"")</f>
        <v/>
      </c>
      <c r="S444" s="62"/>
      <c r="T444" s="62"/>
      <c r="U444" s="33"/>
    </row>
    <row r="445" spans="14:21">
      <c r="N445" s="33"/>
      <c r="O445" s="62" t="str">
        <f>IFERROR(IFERROR(VLOOKUP(S445,soils2!$A$2:$D$8514,3,FALSE),VLOOKUP(N445,soils2!$B$2:$D$8514,2,FALSE)),"")</f>
        <v/>
      </c>
      <c r="P445" s="62"/>
      <c r="Q445" s="62"/>
      <c r="R445" s="34" t="str">
        <f>IFERROR(VLOOKUP(N445,soils2!$B$2:$D$8514,3),"")</f>
        <v/>
      </c>
      <c r="S445" s="62"/>
      <c r="T445" s="62"/>
      <c r="U445" s="33"/>
    </row>
    <row r="446" spans="14:21">
      <c r="N446" s="33"/>
      <c r="O446" s="62" t="str">
        <f>IFERROR(IFERROR(VLOOKUP(S446,soils2!$A$2:$D$8514,3,FALSE),VLOOKUP(N446,soils2!$B$2:$D$8514,2,FALSE)),"")</f>
        <v/>
      </c>
      <c r="P446" s="62"/>
      <c r="Q446" s="62"/>
      <c r="R446" s="34" t="str">
        <f>IFERROR(VLOOKUP(N446,soils2!$B$2:$D$8514,3),"")</f>
        <v/>
      </c>
      <c r="S446" s="62"/>
      <c r="T446" s="62"/>
      <c r="U446" s="33"/>
    </row>
    <row r="447" spans="14:21">
      <c r="N447" s="33"/>
      <c r="O447" s="62" t="str">
        <f>IFERROR(IFERROR(VLOOKUP(S447,soils2!$A$2:$D$8514,3,FALSE),VLOOKUP(N447,soils2!$B$2:$D$8514,2,FALSE)),"")</f>
        <v/>
      </c>
      <c r="P447" s="62"/>
      <c r="Q447" s="62"/>
      <c r="R447" s="34" t="str">
        <f>IFERROR(VLOOKUP(N447,soils2!$B$2:$D$8514,3),"")</f>
        <v/>
      </c>
      <c r="S447" s="62"/>
      <c r="T447" s="62"/>
      <c r="U447" s="33"/>
    </row>
    <row r="448" spans="14:21">
      <c r="N448" s="33"/>
      <c r="O448" s="62" t="str">
        <f>IFERROR(IFERROR(VLOOKUP(S448,soils2!$A$2:$D$8514,3,FALSE),VLOOKUP(N448,soils2!$B$2:$D$8514,2,FALSE)),"")</f>
        <v/>
      </c>
      <c r="P448" s="62"/>
      <c r="Q448" s="62"/>
      <c r="R448" s="34" t="str">
        <f>IFERROR(VLOOKUP(N448,soils2!$B$2:$D$8514,3),"")</f>
        <v/>
      </c>
      <c r="S448" s="62"/>
      <c r="T448" s="62"/>
      <c r="U448" s="33"/>
    </row>
    <row r="449" spans="14:21">
      <c r="N449" s="33"/>
      <c r="O449" s="62" t="str">
        <f>IFERROR(IFERROR(VLOOKUP(S449,soils2!$A$2:$D$8514,3,FALSE),VLOOKUP(N449,soils2!$B$2:$D$8514,2,FALSE)),"")</f>
        <v/>
      </c>
      <c r="P449" s="62"/>
      <c r="Q449" s="62"/>
      <c r="R449" s="34" t="str">
        <f>IFERROR(VLOOKUP(N449,soils2!$B$2:$D$8514,3),"")</f>
        <v/>
      </c>
      <c r="S449" s="62"/>
      <c r="T449" s="62"/>
      <c r="U449" s="33"/>
    </row>
    <row r="450" spans="14:21">
      <c r="N450" s="33"/>
      <c r="O450" s="62" t="str">
        <f>IFERROR(IFERROR(VLOOKUP(S450,soils2!$A$2:$D$8514,3,FALSE),VLOOKUP(N450,soils2!$B$2:$D$8514,2,FALSE)),"")</f>
        <v/>
      </c>
      <c r="P450" s="62"/>
      <c r="Q450" s="62"/>
      <c r="R450" s="34" t="str">
        <f>IFERROR(VLOOKUP(N450,soils2!$B$2:$D$8514,3),"")</f>
        <v/>
      </c>
      <c r="S450" s="62"/>
      <c r="T450" s="62"/>
      <c r="U450" s="33"/>
    </row>
    <row r="451" spans="14:21">
      <c r="N451" s="33"/>
      <c r="O451" s="62" t="str">
        <f>IFERROR(IFERROR(VLOOKUP(S451,soils2!$A$2:$D$8514,3,FALSE),VLOOKUP(N451,soils2!$B$2:$D$8514,2,FALSE)),"")</f>
        <v/>
      </c>
      <c r="P451" s="62"/>
      <c r="Q451" s="62"/>
      <c r="R451" s="34" t="str">
        <f>IFERROR(VLOOKUP(N451,soils2!$B$2:$D$8514,3),"")</f>
        <v/>
      </c>
      <c r="S451" s="62"/>
      <c r="T451" s="62"/>
      <c r="U451" s="33"/>
    </row>
    <row r="452" spans="14:21">
      <c r="N452" s="33"/>
      <c r="O452" s="62" t="str">
        <f>IFERROR(IFERROR(VLOOKUP(S452,soils2!$A$2:$D$8514,3,FALSE),VLOOKUP(N452,soils2!$B$2:$D$8514,2,FALSE)),"")</f>
        <v/>
      </c>
      <c r="P452" s="62"/>
      <c r="Q452" s="62"/>
      <c r="R452" s="34" t="str">
        <f>IFERROR(VLOOKUP(N452,soils2!$B$2:$D$8514,3),"")</f>
        <v/>
      </c>
      <c r="S452" s="62"/>
      <c r="T452" s="62"/>
      <c r="U452" s="33"/>
    </row>
    <row r="453" spans="14:21">
      <c r="N453" s="33"/>
      <c r="O453" s="62" t="str">
        <f>IFERROR(IFERROR(VLOOKUP(S453,soils2!$A$2:$D$8514,3,FALSE),VLOOKUP(N453,soils2!$B$2:$D$8514,2,FALSE)),"")</f>
        <v/>
      </c>
      <c r="P453" s="62"/>
      <c r="Q453" s="62"/>
      <c r="R453" s="34" t="str">
        <f>IFERROR(VLOOKUP(N453,soils2!$B$2:$D$8514,3),"")</f>
        <v/>
      </c>
      <c r="S453" s="62"/>
      <c r="T453" s="62"/>
      <c r="U453" s="33"/>
    </row>
    <row r="454" spans="14:21">
      <c r="N454" s="33"/>
      <c r="O454" s="62" t="str">
        <f>IFERROR(IFERROR(VLOOKUP(S454,soils2!$A$2:$D$8514,3,FALSE),VLOOKUP(N454,soils2!$B$2:$D$8514,2,FALSE)),"")</f>
        <v/>
      </c>
      <c r="P454" s="62"/>
      <c r="Q454" s="62"/>
      <c r="R454" s="34" t="str">
        <f>IFERROR(VLOOKUP(N454,soils2!$B$2:$D$8514,3),"")</f>
        <v/>
      </c>
      <c r="S454" s="62"/>
      <c r="T454" s="62"/>
      <c r="U454" s="33"/>
    </row>
    <row r="455" spans="14:21">
      <c r="N455" s="33"/>
      <c r="O455" s="62" t="str">
        <f>IFERROR(IFERROR(VLOOKUP(S455,soils2!$A$2:$D$8514,3,FALSE),VLOOKUP(N455,soils2!$B$2:$D$8514,2,FALSE)),"")</f>
        <v/>
      </c>
      <c r="P455" s="62"/>
      <c r="Q455" s="62"/>
      <c r="R455" s="34" t="str">
        <f>IFERROR(VLOOKUP(N455,soils2!$B$2:$D$8514,3),"")</f>
        <v/>
      </c>
      <c r="S455" s="62"/>
      <c r="T455" s="62"/>
      <c r="U455" s="33"/>
    </row>
    <row r="456" spans="14:21">
      <c r="N456" s="33"/>
      <c r="O456" s="62" t="str">
        <f>IFERROR(IFERROR(VLOOKUP(S456,soils2!$A$2:$D$8514,3,FALSE),VLOOKUP(N456,soils2!$B$2:$D$8514,2,FALSE)),"")</f>
        <v/>
      </c>
      <c r="P456" s="62"/>
      <c r="Q456" s="62"/>
      <c r="R456" s="34" t="str">
        <f>IFERROR(VLOOKUP(N456,soils2!$B$2:$D$8514,3),"")</f>
        <v/>
      </c>
      <c r="S456" s="62"/>
      <c r="T456" s="62"/>
      <c r="U456" s="33"/>
    </row>
    <row r="457" spans="14:21">
      <c r="N457" s="33"/>
      <c r="O457" s="62" t="str">
        <f>IFERROR(IFERROR(VLOOKUP(S457,soils2!$A$2:$D$8514,3,FALSE),VLOOKUP(N457,soils2!$B$2:$D$8514,2,FALSE)),"")</f>
        <v/>
      </c>
      <c r="P457" s="62"/>
      <c r="Q457" s="62"/>
      <c r="R457" s="34" t="str">
        <f>IFERROR(VLOOKUP(N457,soils2!$B$2:$D$8514,3),"")</f>
        <v/>
      </c>
      <c r="S457" s="62"/>
      <c r="T457" s="62"/>
      <c r="U457" s="33"/>
    </row>
    <row r="458" spans="14:21">
      <c r="N458" s="33"/>
      <c r="O458" s="62" t="str">
        <f>IFERROR(IFERROR(VLOOKUP(S458,soils2!$A$2:$D$8514,3,FALSE),VLOOKUP(N458,soils2!$B$2:$D$8514,2,FALSE)),"")</f>
        <v/>
      </c>
      <c r="P458" s="62"/>
      <c r="Q458" s="62"/>
      <c r="R458" s="34" t="str">
        <f>IFERROR(VLOOKUP(N458,soils2!$B$2:$D$8514,3),"")</f>
        <v/>
      </c>
      <c r="S458" s="62"/>
      <c r="T458" s="62"/>
      <c r="U458" s="33"/>
    </row>
    <row r="459" spans="14:21">
      <c r="N459" s="33"/>
      <c r="O459" s="62" t="str">
        <f>IFERROR(IFERROR(VLOOKUP(S459,soils2!$A$2:$D$8514,3,FALSE),VLOOKUP(N459,soils2!$B$2:$D$8514,2,FALSE)),"")</f>
        <v/>
      </c>
      <c r="P459" s="62"/>
      <c r="Q459" s="62"/>
      <c r="R459" s="34" t="str">
        <f>IFERROR(VLOOKUP(N459,soils2!$B$2:$D$8514,3),"")</f>
        <v/>
      </c>
      <c r="S459" s="62"/>
      <c r="T459" s="62"/>
      <c r="U459" s="33"/>
    </row>
    <row r="460" spans="14:21">
      <c r="N460" s="33"/>
      <c r="O460" s="62" t="str">
        <f>IFERROR(IFERROR(VLOOKUP(S460,soils2!$A$2:$D$8514,3,FALSE),VLOOKUP(N460,soils2!$B$2:$D$8514,2,FALSE)),"")</f>
        <v/>
      </c>
      <c r="P460" s="62"/>
      <c r="Q460" s="62"/>
      <c r="R460" s="34" t="str">
        <f>IFERROR(VLOOKUP(N460,soils2!$B$2:$D$8514,3),"")</f>
        <v/>
      </c>
      <c r="S460" s="62"/>
      <c r="T460" s="62"/>
      <c r="U460" s="33"/>
    </row>
    <row r="461" spans="14:21">
      <c r="N461" s="33"/>
      <c r="O461" s="62" t="str">
        <f>IFERROR(IFERROR(VLOOKUP(S461,soils2!$A$2:$D$8514,3,FALSE),VLOOKUP(N461,soils2!$B$2:$D$8514,2,FALSE)),"")</f>
        <v/>
      </c>
      <c r="P461" s="62"/>
      <c r="Q461" s="62"/>
      <c r="R461" s="34" t="str">
        <f>IFERROR(VLOOKUP(N461,soils2!$B$2:$D$8514,3),"")</f>
        <v/>
      </c>
      <c r="S461" s="62"/>
      <c r="T461" s="62"/>
      <c r="U461" s="33"/>
    </row>
    <row r="462" spans="14:21">
      <c r="N462" s="33"/>
      <c r="O462" s="62" t="str">
        <f>IFERROR(IFERROR(VLOOKUP(S462,soils2!$A$2:$D$8514,3,FALSE),VLOOKUP(N462,soils2!$B$2:$D$8514,2,FALSE)),"")</f>
        <v/>
      </c>
      <c r="P462" s="62"/>
      <c r="Q462" s="62"/>
      <c r="R462" s="34" t="str">
        <f>IFERROR(VLOOKUP(N462,soils2!$B$2:$D$8514,3),"")</f>
        <v/>
      </c>
      <c r="S462" s="62"/>
      <c r="T462" s="62"/>
      <c r="U462" s="33"/>
    </row>
    <row r="463" spans="14:21">
      <c r="N463" s="33"/>
      <c r="O463" s="62" t="str">
        <f>IFERROR(IFERROR(VLOOKUP(S463,soils2!$A$2:$D$8514,3,FALSE),VLOOKUP(N463,soils2!$B$2:$D$8514,2,FALSE)),"")</f>
        <v/>
      </c>
      <c r="P463" s="62"/>
      <c r="Q463" s="62"/>
      <c r="R463" s="34" t="str">
        <f>IFERROR(VLOOKUP(N463,soils2!$B$2:$D$8514,3),"")</f>
        <v/>
      </c>
      <c r="S463" s="62"/>
      <c r="T463" s="62"/>
      <c r="U463" s="33"/>
    </row>
    <row r="464" spans="14:21">
      <c r="N464" s="33"/>
      <c r="O464" s="62" t="str">
        <f>IFERROR(IFERROR(VLOOKUP(S464,soils2!$A$2:$D$8514,3,FALSE),VLOOKUP(N464,soils2!$B$2:$D$8514,2,FALSE)),"")</f>
        <v/>
      </c>
      <c r="P464" s="62"/>
      <c r="Q464" s="62"/>
      <c r="R464" s="34" t="str">
        <f>IFERROR(VLOOKUP(N464,soils2!$B$2:$D$8514,3),"")</f>
        <v/>
      </c>
      <c r="S464" s="62"/>
      <c r="T464" s="62"/>
      <c r="U464" s="33"/>
    </row>
    <row r="465" spans="14:21">
      <c r="N465" s="33"/>
      <c r="O465" s="62" t="str">
        <f>IFERROR(IFERROR(VLOOKUP(S465,soils2!$A$2:$D$8514,3,FALSE),VLOOKUP(N465,soils2!$B$2:$D$8514,2,FALSE)),"")</f>
        <v/>
      </c>
      <c r="P465" s="62"/>
      <c r="Q465" s="62"/>
      <c r="R465" s="34" t="str">
        <f>IFERROR(VLOOKUP(N465,soils2!$B$2:$D$8514,3),"")</f>
        <v/>
      </c>
      <c r="S465" s="62"/>
      <c r="T465" s="62"/>
      <c r="U465" s="33"/>
    </row>
    <row r="466" spans="14:21">
      <c r="N466" s="33"/>
      <c r="O466" s="62" t="str">
        <f>IFERROR(IFERROR(VLOOKUP(S466,soils2!$A$2:$D$8514,3,FALSE),VLOOKUP(N466,soils2!$B$2:$D$8514,2,FALSE)),"")</f>
        <v/>
      </c>
      <c r="P466" s="62"/>
      <c r="Q466" s="62"/>
      <c r="R466" s="34" t="str">
        <f>IFERROR(VLOOKUP(N466,soils2!$B$2:$D$8514,3),"")</f>
        <v/>
      </c>
      <c r="S466" s="62"/>
      <c r="T466" s="62"/>
      <c r="U466" s="33"/>
    </row>
    <row r="467" spans="14:21">
      <c r="N467" s="33"/>
      <c r="O467" s="62" t="str">
        <f>IFERROR(IFERROR(VLOOKUP(S467,soils2!$A$2:$D$8514,3,FALSE),VLOOKUP(N467,soils2!$B$2:$D$8514,2,FALSE)),"")</f>
        <v/>
      </c>
      <c r="P467" s="62"/>
      <c r="Q467" s="62"/>
      <c r="R467" s="34" t="str">
        <f>IFERROR(VLOOKUP(N467,soils2!$B$2:$D$8514,3),"")</f>
        <v/>
      </c>
      <c r="S467" s="62"/>
      <c r="T467" s="62"/>
      <c r="U467" s="33"/>
    </row>
    <row r="468" spans="14:21">
      <c r="N468" s="33"/>
      <c r="O468" s="62" t="str">
        <f>IFERROR(IFERROR(VLOOKUP(S468,soils2!$A$2:$D$8514,3,FALSE),VLOOKUP(N468,soils2!$B$2:$D$8514,2,FALSE)),"")</f>
        <v/>
      </c>
      <c r="P468" s="62"/>
      <c r="Q468" s="62"/>
      <c r="R468" s="34" t="str">
        <f>IFERROR(VLOOKUP(N468,soils2!$B$2:$D$8514,3),"")</f>
        <v/>
      </c>
      <c r="S468" s="62"/>
      <c r="T468" s="62"/>
      <c r="U468" s="33"/>
    </row>
    <row r="469" spans="14:21">
      <c r="N469" s="33"/>
      <c r="O469" s="62" t="str">
        <f>IFERROR(IFERROR(VLOOKUP(S469,soils2!$A$2:$D$8514,3,FALSE),VLOOKUP(N469,soils2!$B$2:$D$8514,2,FALSE)),"")</f>
        <v/>
      </c>
      <c r="P469" s="62"/>
      <c r="Q469" s="62"/>
      <c r="R469" s="34" t="str">
        <f>IFERROR(VLOOKUP(N469,soils2!$B$2:$D$8514,3),"")</f>
        <v/>
      </c>
      <c r="S469" s="62"/>
      <c r="T469" s="62"/>
      <c r="U469" s="33"/>
    </row>
    <row r="470" spans="14:21">
      <c r="N470" s="33"/>
      <c r="O470" s="62" t="str">
        <f>IFERROR(IFERROR(VLOOKUP(S470,soils2!$A$2:$D$8514,3,FALSE),VLOOKUP(N470,soils2!$B$2:$D$8514,2,FALSE)),"")</f>
        <v/>
      </c>
      <c r="P470" s="62"/>
      <c r="Q470" s="62"/>
      <c r="R470" s="34" t="str">
        <f>IFERROR(VLOOKUP(N470,soils2!$B$2:$D$8514,3),"")</f>
        <v/>
      </c>
      <c r="S470" s="62"/>
      <c r="T470" s="62"/>
      <c r="U470" s="33"/>
    </row>
    <row r="471" spans="14:21">
      <c r="N471" s="33"/>
      <c r="O471" s="62" t="str">
        <f>IFERROR(IFERROR(VLOOKUP(S471,soils2!$A$2:$D$8514,3,FALSE),VLOOKUP(N471,soils2!$B$2:$D$8514,2,FALSE)),"")</f>
        <v/>
      </c>
      <c r="P471" s="62"/>
      <c r="Q471" s="62"/>
      <c r="R471" s="34" t="str">
        <f>IFERROR(VLOOKUP(N471,soils2!$B$2:$D$8514,3),"")</f>
        <v/>
      </c>
      <c r="S471" s="62"/>
      <c r="T471" s="62"/>
      <c r="U471" s="33"/>
    </row>
    <row r="472" spans="14:21">
      <c r="N472" s="33"/>
      <c r="O472" s="62" t="str">
        <f>IFERROR(IFERROR(VLOOKUP(S472,soils2!$A$2:$D$8514,3,FALSE),VLOOKUP(N472,soils2!$B$2:$D$8514,2,FALSE)),"")</f>
        <v/>
      </c>
      <c r="P472" s="62"/>
      <c r="Q472" s="62"/>
      <c r="R472" s="34" t="str">
        <f>IFERROR(VLOOKUP(N472,soils2!$B$2:$D$8514,3),"")</f>
        <v/>
      </c>
      <c r="S472" s="62"/>
      <c r="T472" s="62"/>
      <c r="U472" s="33"/>
    </row>
    <row r="473" spans="14:21">
      <c r="N473" s="33"/>
      <c r="O473" s="62" t="str">
        <f>IFERROR(IFERROR(VLOOKUP(S473,soils2!$A$2:$D$8514,3,FALSE),VLOOKUP(N473,soils2!$B$2:$D$8514,2,FALSE)),"")</f>
        <v/>
      </c>
      <c r="P473" s="62"/>
      <c r="Q473" s="62"/>
      <c r="R473" s="34" t="str">
        <f>IFERROR(VLOOKUP(N473,soils2!$B$2:$D$8514,3),"")</f>
        <v/>
      </c>
      <c r="S473" s="62"/>
      <c r="T473" s="62"/>
      <c r="U473" s="33"/>
    </row>
    <row r="474" spans="14:21">
      <c r="N474" s="33"/>
      <c r="O474" s="62" t="str">
        <f>IFERROR(IFERROR(VLOOKUP(S474,soils2!$A$2:$D$8514,3,FALSE),VLOOKUP(N474,soils2!$B$2:$D$8514,2,FALSE)),"")</f>
        <v/>
      </c>
      <c r="P474" s="62"/>
      <c r="Q474" s="62"/>
      <c r="R474" s="34" t="str">
        <f>IFERROR(VLOOKUP(N474,soils2!$B$2:$D$8514,3),"")</f>
        <v/>
      </c>
      <c r="S474" s="62"/>
      <c r="T474" s="62"/>
      <c r="U474" s="33"/>
    </row>
    <row r="475" spans="14:21">
      <c r="N475" s="33"/>
      <c r="O475" s="62" t="str">
        <f>IFERROR(IFERROR(VLOOKUP(S475,soils2!$A$2:$D$8514,3,FALSE),VLOOKUP(N475,soils2!$B$2:$D$8514,2,FALSE)),"")</f>
        <v/>
      </c>
      <c r="P475" s="62"/>
      <c r="Q475" s="62"/>
      <c r="R475" s="34" t="str">
        <f>IFERROR(VLOOKUP(N475,soils2!$B$2:$D$8514,3),"")</f>
        <v/>
      </c>
      <c r="S475" s="62"/>
      <c r="T475" s="62"/>
      <c r="U475" s="33"/>
    </row>
    <row r="476" spans="14:21">
      <c r="N476" s="33"/>
      <c r="O476" s="62" t="str">
        <f>IFERROR(IFERROR(VLOOKUP(S476,soils2!$A$2:$D$8514,3,FALSE),VLOOKUP(N476,soils2!$B$2:$D$8514,2,FALSE)),"")</f>
        <v/>
      </c>
      <c r="P476" s="62"/>
      <c r="Q476" s="62"/>
      <c r="R476" s="34" t="str">
        <f>IFERROR(VLOOKUP(N476,soils2!$B$2:$D$8514,3),"")</f>
        <v/>
      </c>
      <c r="S476" s="62"/>
      <c r="T476" s="62"/>
      <c r="U476" s="33"/>
    </row>
    <row r="477" spans="14:21">
      <c r="N477" s="33"/>
      <c r="O477" s="62" t="str">
        <f>IFERROR(IFERROR(VLOOKUP(S477,soils2!$A$2:$D$8514,3,FALSE),VLOOKUP(N477,soils2!$B$2:$D$8514,2,FALSE)),"")</f>
        <v/>
      </c>
      <c r="P477" s="62"/>
      <c r="Q477" s="62"/>
      <c r="R477" s="34" t="str">
        <f>IFERROR(VLOOKUP(N477,soils2!$B$2:$D$8514,3),"")</f>
        <v/>
      </c>
      <c r="S477" s="62"/>
      <c r="T477" s="62"/>
      <c r="U477" s="33"/>
    </row>
    <row r="478" spans="14:21">
      <c r="N478" s="33"/>
      <c r="O478" s="62" t="str">
        <f>IFERROR(IFERROR(VLOOKUP(S478,soils2!$A$2:$D$8514,3,FALSE),VLOOKUP(N478,soils2!$B$2:$D$8514,2,FALSE)),"")</f>
        <v/>
      </c>
      <c r="P478" s="62"/>
      <c r="Q478" s="62"/>
      <c r="R478" s="34" t="str">
        <f>IFERROR(VLOOKUP(N478,soils2!$B$2:$D$8514,3),"")</f>
        <v/>
      </c>
      <c r="S478" s="62"/>
      <c r="T478" s="62"/>
      <c r="U478" s="33"/>
    </row>
    <row r="479" spans="14:21">
      <c r="N479" s="33"/>
      <c r="O479" s="62" t="str">
        <f>IFERROR(IFERROR(VLOOKUP(S479,soils2!$A$2:$D$8514,3,FALSE),VLOOKUP(N479,soils2!$B$2:$D$8514,2,FALSE)),"")</f>
        <v/>
      </c>
      <c r="P479" s="62"/>
      <c r="Q479" s="62"/>
      <c r="R479" s="34" t="str">
        <f>IFERROR(VLOOKUP(N479,soils2!$B$2:$D$8514,3),"")</f>
        <v/>
      </c>
      <c r="S479" s="62"/>
      <c r="T479" s="62"/>
      <c r="U479" s="33"/>
    </row>
    <row r="480" spans="14:21">
      <c r="N480" s="33"/>
      <c r="O480" s="62" t="str">
        <f>IFERROR(IFERROR(VLOOKUP(S480,soils2!$A$2:$D$8514,3,FALSE),VLOOKUP(N480,soils2!$B$2:$D$8514,2,FALSE)),"")</f>
        <v/>
      </c>
      <c r="P480" s="62"/>
      <c r="Q480" s="62"/>
      <c r="R480" s="34" t="str">
        <f>IFERROR(VLOOKUP(N480,soils2!$B$2:$D$8514,3),"")</f>
        <v/>
      </c>
      <c r="S480" s="62"/>
      <c r="T480" s="62"/>
      <c r="U480" s="33"/>
    </row>
    <row r="481" spans="14:21">
      <c r="N481" s="33"/>
      <c r="O481" s="62" t="str">
        <f>IFERROR(IFERROR(VLOOKUP(S481,soils2!$A$2:$D$8514,3,FALSE),VLOOKUP(N481,soils2!$B$2:$D$8514,2,FALSE)),"")</f>
        <v/>
      </c>
      <c r="P481" s="62"/>
      <c r="Q481" s="62"/>
      <c r="R481" s="34" t="str">
        <f>IFERROR(VLOOKUP(N481,soils2!$B$2:$D$8514,3),"")</f>
        <v/>
      </c>
      <c r="S481" s="62"/>
      <c r="T481" s="62"/>
      <c r="U481" s="33"/>
    </row>
    <row r="482" spans="14:21">
      <c r="N482" s="33"/>
      <c r="O482" s="62" t="str">
        <f>IFERROR(IFERROR(VLOOKUP(S482,soils2!$A$2:$D$8514,3,FALSE),VLOOKUP(N482,soils2!$B$2:$D$8514,2,FALSE)),"")</f>
        <v/>
      </c>
      <c r="P482" s="62"/>
      <c r="Q482" s="62"/>
      <c r="R482" s="34" t="str">
        <f>IFERROR(VLOOKUP(N482,soils2!$B$2:$D$8514,3),"")</f>
        <v/>
      </c>
      <c r="S482" s="62"/>
      <c r="T482" s="62"/>
      <c r="U482" s="33"/>
    </row>
    <row r="483" spans="14:21">
      <c r="N483" s="33"/>
      <c r="O483" s="62" t="str">
        <f>IFERROR(IFERROR(VLOOKUP(S483,soils2!$A$2:$D$8514,3,FALSE),VLOOKUP(N483,soils2!$B$2:$D$8514,2,FALSE)),"")</f>
        <v/>
      </c>
      <c r="P483" s="62"/>
      <c r="Q483" s="62"/>
      <c r="R483" s="34" t="str">
        <f>IFERROR(VLOOKUP(N483,soils2!$B$2:$D$8514,3),"")</f>
        <v/>
      </c>
      <c r="S483" s="62"/>
      <c r="T483" s="62"/>
      <c r="U483" s="33"/>
    </row>
    <row r="484" spans="14:21">
      <c r="N484" s="33"/>
      <c r="O484" s="62" t="str">
        <f>IFERROR(IFERROR(VLOOKUP(S484,soils2!$A$2:$D$8514,3,FALSE),VLOOKUP(N484,soils2!$B$2:$D$8514,2,FALSE)),"")</f>
        <v/>
      </c>
      <c r="P484" s="62"/>
      <c r="Q484" s="62"/>
      <c r="R484" s="34" t="str">
        <f>IFERROR(VLOOKUP(N484,soils2!$B$2:$D$8514,3),"")</f>
        <v/>
      </c>
      <c r="S484" s="62"/>
      <c r="T484" s="62"/>
      <c r="U484" s="33"/>
    </row>
    <row r="485" spans="14:21">
      <c r="N485" s="33"/>
      <c r="O485" s="62" t="str">
        <f>IFERROR(IFERROR(VLOOKUP(S485,soils2!$A$2:$D$8514,3,FALSE),VLOOKUP(N485,soils2!$B$2:$D$8514,2,FALSE)),"")</f>
        <v/>
      </c>
      <c r="P485" s="62"/>
      <c r="Q485" s="62"/>
      <c r="R485" s="34" t="str">
        <f>IFERROR(VLOOKUP(N485,soils2!$B$2:$D$8514,3),"")</f>
        <v/>
      </c>
      <c r="S485" s="62"/>
      <c r="T485" s="62"/>
      <c r="U485" s="33"/>
    </row>
    <row r="486" spans="14:21">
      <c r="N486" s="33"/>
      <c r="O486" s="62" t="str">
        <f>IFERROR(IFERROR(VLOOKUP(S486,soils2!$A$2:$D$8514,3,FALSE),VLOOKUP(N486,soils2!$B$2:$D$8514,2,FALSE)),"")</f>
        <v/>
      </c>
      <c r="P486" s="62"/>
      <c r="Q486" s="62"/>
      <c r="R486" s="34" t="str">
        <f>IFERROR(VLOOKUP(N486,soils2!$B$2:$D$8514,3),"")</f>
        <v/>
      </c>
      <c r="S486" s="62"/>
      <c r="T486" s="62"/>
      <c r="U486" s="33"/>
    </row>
    <row r="487" spans="14:21">
      <c r="N487" s="33"/>
      <c r="O487" s="62" t="str">
        <f>IFERROR(IFERROR(VLOOKUP(S487,soils2!$A$2:$D$8514,3,FALSE),VLOOKUP(N487,soils2!$B$2:$D$8514,2,FALSE)),"")</f>
        <v/>
      </c>
      <c r="P487" s="62"/>
      <c r="Q487" s="62"/>
      <c r="R487" s="34" t="str">
        <f>IFERROR(VLOOKUP(N487,soils2!$B$2:$D$8514,3),"")</f>
        <v/>
      </c>
      <c r="S487" s="62"/>
      <c r="T487" s="62"/>
      <c r="U487" s="33"/>
    </row>
    <row r="488" spans="14:21">
      <c r="N488" s="33"/>
      <c r="O488" s="62" t="str">
        <f>IFERROR(IFERROR(VLOOKUP(S488,soils2!$A$2:$D$8514,3,FALSE),VLOOKUP(N488,soils2!$B$2:$D$8514,2,FALSE)),"")</f>
        <v/>
      </c>
      <c r="P488" s="62"/>
      <c r="Q488" s="62"/>
      <c r="R488" s="34" t="str">
        <f>IFERROR(VLOOKUP(N488,soils2!$B$2:$D$8514,3),"")</f>
        <v/>
      </c>
      <c r="S488" s="62"/>
      <c r="T488" s="62"/>
      <c r="U488" s="33"/>
    </row>
    <row r="489" spans="14:21">
      <c r="N489" s="33"/>
      <c r="O489" s="62" t="str">
        <f>IFERROR(IFERROR(VLOOKUP(S489,soils2!$A$2:$D$8514,3,FALSE),VLOOKUP(N489,soils2!$B$2:$D$8514,2,FALSE)),"")</f>
        <v/>
      </c>
      <c r="P489" s="62"/>
      <c r="Q489" s="62"/>
      <c r="R489" s="34" t="str">
        <f>IFERROR(VLOOKUP(N489,soils2!$B$2:$D$8514,3),"")</f>
        <v/>
      </c>
      <c r="S489" s="62"/>
      <c r="T489" s="62"/>
      <c r="U489" s="33"/>
    </row>
    <row r="490" spans="14:21">
      <c r="N490" s="33"/>
      <c r="O490" s="62" t="str">
        <f>IFERROR(IFERROR(VLOOKUP(S490,soils2!$A$2:$D$8514,3,FALSE),VLOOKUP(N490,soils2!$B$2:$D$8514,2,FALSE)),"")</f>
        <v/>
      </c>
      <c r="P490" s="62"/>
      <c r="Q490" s="62"/>
      <c r="R490" s="34" t="str">
        <f>IFERROR(VLOOKUP(N490,soils2!$B$2:$D$8514,3),"")</f>
        <v/>
      </c>
      <c r="S490" s="62"/>
      <c r="T490" s="62"/>
      <c r="U490" s="33"/>
    </row>
    <row r="491" spans="14:21">
      <c r="N491" s="33"/>
      <c r="O491" s="62" t="str">
        <f>IFERROR(IFERROR(VLOOKUP(S491,soils2!$A$2:$D$8514,3,FALSE),VLOOKUP(N491,soils2!$B$2:$D$8514,2,FALSE)),"")</f>
        <v/>
      </c>
      <c r="P491" s="62"/>
      <c r="Q491" s="62"/>
      <c r="R491" s="34" t="str">
        <f>IFERROR(VLOOKUP(N491,soils2!$B$2:$D$8514,3),"")</f>
        <v/>
      </c>
      <c r="S491" s="62"/>
      <c r="T491" s="62"/>
      <c r="U491" s="33"/>
    </row>
    <row r="492" spans="14:21">
      <c r="N492" s="33"/>
      <c r="O492" s="62" t="str">
        <f>IFERROR(IFERROR(VLOOKUP(S492,soils2!$A$2:$D$8514,3,FALSE),VLOOKUP(N492,soils2!$B$2:$D$8514,2,FALSE)),"")</f>
        <v/>
      </c>
      <c r="P492" s="62"/>
      <c r="Q492" s="62"/>
      <c r="R492" s="34" t="str">
        <f>IFERROR(VLOOKUP(N492,soils2!$B$2:$D$8514,3),"")</f>
        <v/>
      </c>
      <c r="S492" s="62"/>
      <c r="T492" s="62"/>
      <c r="U492" s="33"/>
    </row>
    <row r="493" spans="14:21">
      <c r="N493" s="33"/>
      <c r="O493" s="62" t="str">
        <f>IFERROR(IFERROR(VLOOKUP(S493,soils2!$A$2:$D$8514,3,FALSE),VLOOKUP(N493,soils2!$B$2:$D$8514,2,FALSE)),"")</f>
        <v/>
      </c>
      <c r="P493" s="62"/>
      <c r="Q493" s="62"/>
      <c r="R493" s="34" t="str">
        <f>IFERROR(VLOOKUP(N493,soils2!$B$2:$D$8514,3),"")</f>
        <v/>
      </c>
      <c r="S493" s="62"/>
      <c r="T493" s="62"/>
      <c r="U493" s="33"/>
    </row>
    <row r="494" spans="14:21">
      <c r="N494" s="33"/>
      <c r="O494" s="62" t="str">
        <f>IFERROR(IFERROR(VLOOKUP(S494,soils2!$A$2:$D$8514,3,FALSE),VLOOKUP(N494,soils2!$B$2:$D$8514,2,FALSE)),"")</f>
        <v/>
      </c>
      <c r="P494" s="62"/>
      <c r="Q494" s="62"/>
      <c r="R494" s="34" t="str">
        <f>IFERROR(VLOOKUP(N494,soils2!$B$2:$D$8514,3),"")</f>
        <v/>
      </c>
      <c r="S494" s="62"/>
      <c r="T494" s="62"/>
      <c r="U494" s="33"/>
    </row>
    <row r="495" spans="14:21">
      <c r="N495" s="33"/>
      <c r="O495" s="62" t="str">
        <f>IFERROR(IFERROR(VLOOKUP(S495,soils2!$A$2:$D$8514,3,FALSE),VLOOKUP(N495,soils2!$B$2:$D$8514,2,FALSE)),"")</f>
        <v/>
      </c>
      <c r="P495" s="62"/>
      <c r="Q495" s="62"/>
      <c r="R495" s="34" t="str">
        <f>IFERROR(VLOOKUP(N495,soils2!$B$2:$D$8514,3),"")</f>
        <v/>
      </c>
      <c r="S495" s="62"/>
      <c r="T495" s="62"/>
      <c r="U495" s="33"/>
    </row>
    <row r="496" spans="14:21">
      <c r="N496" s="33"/>
      <c r="O496" s="62" t="str">
        <f>IFERROR(IFERROR(VLOOKUP(S496,soils2!$A$2:$D$8514,3,FALSE),VLOOKUP(N496,soils2!$B$2:$D$8514,2,FALSE)),"")</f>
        <v/>
      </c>
      <c r="P496" s="62"/>
      <c r="Q496" s="62"/>
      <c r="R496" s="34" t="str">
        <f>IFERROR(VLOOKUP(N496,soils2!$B$2:$D$8514,3),"")</f>
        <v/>
      </c>
      <c r="S496" s="62"/>
      <c r="T496" s="62"/>
      <c r="U496" s="33"/>
    </row>
    <row r="497" spans="14:21">
      <c r="N497" s="33"/>
      <c r="O497" s="62" t="str">
        <f>IFERROR(IFERROR(VLOOKUP(S497,soils2!$A$2:$D$8514,3,FALSE),VLOOKUP(N497,soils2!$B$2:$D$8514,2,FALSE)),"")</f>
        <v/>
      </c>
      <c r="P497" s="62"/>
      <c r="Q497" s="62"/>
      <c r="R497" s="34" t="str">
        <f>IFERROR(VLOOKUP(N497,soils2!$B$2:$D$8514,3),"")</f>
        <v/>
      </c>
      <c r="S497" s="62"/>
      <c r="T497" s="62"/>
      <c r="U497" s="33"/>
    </row>
    <row r="498" spans="14:21">
      <c r="N498" s="33"/>
      <c r="O498" s="62" t="str">
        <f>IFERROR(IFERROR(VLOOKUP(S498,soils2!$A$2:$D$8514,3,FALSE),VLOOKUP(N498,soils2!$B$2:$D$8514,2,FALSE)),"")</f>
        <v/>
      </c>
      <c r="P498" s="62"/>
      <c r="Q498" s="62"/>
      <c r="R498" s="34" t="str">
        <f>IFERROR(VLOOKUP(N498,soils2!$B$2:$D$8514,3),"")</f>
        <v/>
      </c>
      <c r="S498" s="62"/>
      <c r="T498" s="62"/>
      <c r="U498" s="33"/>
    </row>
    <row r="499" spans="14:21">
      <c r="N499" s="33"/>
      <c r="O499" s="62" t="str">
        <f>IFERROR(IFERROR(VLOOKUP(S499,soils2!$A$2:$D$8514,3,FALSE),VLOOKUP(N499,soils2!$B$2:$D$8514,2,FALSE)),"")</f>
        <v/>
      </c>
      <c r="P499" s="62"/>
      <c r="Q499" s="62"/>
      <c r="R499" s="34" t="str">
        <f>IFERROR(VLOOKUP(N499,soils2!$B$2:$D$8514,3),"")</f>
        <v/>
      </c>
      <c r="S499" s="62"/>
      <c r="T499" s="62"/>
      <c r="U499" s="33"/>
    </row>
    <row r="500" spans="14:21">
      <c r="N500" s="33"/>
      <c r="O500" s="62" t="str">
        <f>IFERROR(IFERROR(VLOOKUP(S500,soils2!$A$2:$D$8514,3,FALSE),VLOOKUP(N500,soils2!$B$2:$D$8514,2,FALSE)),"")</f>
        <v/>
      </c>
      <c r="P500" s="62"/>
      <c r="Q500" s="62"/>
      <c r="R500" s="34" t="str">
        <f>IFERROR(VLOOKUP(N500,soils2!$B$2:$D$8514,3),"")</f>
        <v/>
      </c>
      <c r="S500" s="62"/>
      <c r="T500" s="62"/>
      <c r="U500" s="33"/>
    </row>
    <row r="501" spans="14:21">
      <c r="N501" s="33"/>
      <c r="O501" s="62" t="str">
        <f>IFERROR(IFERROR(VLOOKUP(S501,soils2!$A$2:$D$8514,3,FALSE),VLOOKUP(N501,soils2!$B$2:$D$8514,2,FALSE)),"")</f>
        <v/>
      </c>
      <c r="P501" s="62"/>
      <c r="Q501" s="62"/>
      <c r="R501" s="34" t="str">
        <f>IFERROR(VLOOKUP(N501,soils2!$B$2:$D$8514,3),"")</f>
        <v/>
      </c>
      <c r="S501" s="62"/>
      <c r="T501" s="62"/>
      <c r="U501" s="33"/>
    </row>
    <row r="502" spans="14:21">
      <c r="N502" s="33"/>
      <c r="O502" s="62" t="str">
        <f>IFERROR(IFERROR(VLOOKUP(S502,soils2!$A$2:$D$8514,3,FALSE),VLOOKUP(N502,soils2!$B$2:$D$8514,2,FALSE)),"")</f>
        <v/>
      </c>
      <c r="P502" s="62"/>
      <c r="Q502" s="62"/>
      <c r="R502" s="34" t="str">
        <f>IFERROR(VLOOKUP(N502,soils2!$B$2:$D$8514,3),"")</f>
        <v/>
      </c>
      <c r="S502" s="62"/>
      <c r="T502" s="62"/>
      <c r="U502" s="33"/>
    </row>
    <row r="503" spans="14:21">
      <c r="N503" s="33"/>
      <c r="O503" s="62" t="str">
        <f>IFERROR(IFERROR(VLOOKUP(S503,soils2!$A$2:$D$8514,3,FALSE),VLOOKUP(N503,soils2!$B$2:$D$8514,2,FALSE)),"")</f>
        <v/>
      </c>
      <c r="P503" s="62"/>
      <c r="Q503" s="62"/>
      <c r="R503" s="34" t="str">
        <f>IFERROR(VLOOKUP(N503,soils2!$B$2:$D$8514,3),"")</f>
        <v/>
      </c>
      <c r="S503" s="62"/>
      <c r="T503" s="62"/>
      <c r="U503" s="33"/>
    </row>
    <row r="504" spans="14:21">
      <c r="N504" s="33"/>
      <c r="O504" s="62" t="str">
        <f>IFERROR(IFERROR(VLOOKUP(S504,soils2!$A$2:$D$8514,3,FALSE),VLOOKUP(N504,soils2!$B$2:$D$8514,2,FALSE)),"")</f>
        <v/>
      </c>
      <c r="P504" s="62"/>
      <c r="Q504" s="62"/>
      <c r="R504" s="34" t="str">
        <f>IFERROR(VLOOKUP(N504,soils2!$B$2:$D$8514,3),"")</f>
        <v/>
      </c>
      <c r="S504" s="62"/>
      <c r="T504" s="62"/>
      <c r="U504" s="33"/>
    </row>
    <row r="505" spans="14:21">
      <c r="N505" s="33"/>
      <c r="O505" s="62" t="str">
        <f>IFERROR(IFERROR(VLOOKUP(S505,soils2!$A$2:$D$8514,3,FALSE),VLOOKUP(N505,soils2!$B$2:$D$8514,2,FALSE)),"")</f>
        <v/>
      </c>
      <c r="P505" s="62"/>
      <c r="Q505" s="62"/>
      <c r="R505" s="34" t="str">
        <f>IFERROR(VLOOKUP(N505,soils2!$B$2:$D$8514,3),"")</f>
        <v/>
      </c>
      <c r="S505" s="62"/>
      <c r="T505" s="62"/>
      <c r="U505" s="33"/>
    </row>
    <row r="506" spans="14:21">
      <c r="N506" s="33"/>
      <c r="O506" s="62" t="str">
        <f>IFERROR(IFERROR(VLOOKUP(S506,soils2!$A$2:$D$8514,3,FALSE),VLOOKUP(N506,soils2!$B$2:$D$8514,2,FALSE)),"")</f>
        <v/>
      </c>
      <c r="P506" s="62"/>
      <c r="Q506" s="62"/>
      <c r="R506" s="34" t="str">
        <f>IFERROR(VLOOKUP(N506,soils2!$B$2:$D$8514,3),"")</f>
        <v/>
      </c>
      <c r="S506" s="62"/>
      <c r="T506" s="62"/>
      <c r="U506" s="33"/>
    </row>
    <row r="507" spans="14:21">
      <c r="N507" s="33"/>
      <c r="O507" s="62" t="str">
        <f>IFERROR(IFERROR(VLOOKUP(S507,soils2!$A$2:$D$8514,3,FALSE),VLOOKUP(N507,soils2!$B$2:$D$8514,2,FALSE)),"")</f>
        <v/>
      </c>
      <c r="P507" s="62"/>
      <c r="Q507" s="62"/>
      <c r="R507" s="34" t="str">
        <f>IFERROR(VLOOKUP(N507,soils2!$B$2:$D$8514,3),"")</f>
        <v/>
      </c>
      <c r="S507" s="62"/>
      <c r="T507" s="62"/>
      <c r="U507" s="33"/>
    </row>
    <row r="508" spans="14:21">
      <c r="N508" s="33"/>
      <c r="O508" s="62" t="str">
        <f>IFERROR(IFERROR(VLOOKUP(S508,soils2!$A$2:$D$8514,3,FALSE),VLOOKUP(N508,soils2!$B$2:$D$8514,2,FALSE)),"")</f>
        <v/>
      </c>
      <c r="P508" s="62"/>
      <c r="Q508" s="62"/>
      <c r="R508" s="34" t="str">
        <f>IFERROR(VLOOKUP(N508,soils2!$B$2:$D$8514,3),"")</f>
        <v/>
      </c>
      <c r="S508" s="62"/>
      <c r="T508" s="62"/>
      <c r="U508" s="33"/>
    </row>
    <row r="509" spans="14:21">
      <c r="N509" s="33"/>
      <c r="O509" s="62" t="str">
        <f>IFERROR(IFERROR(VLOOKUP(S509,soils2!$A$2:$D$8514,3,FALSE),VLOOKUP(N509,soils2!$B$2:$D$8514,2,FALSE)),"")</f>
        <v/>
      </c>
      <c r="P509" s="62"/>
      <c r="Q509" s="62"/>
      <c r="R509" s="34" t="str">
        <f>IFERROR(VLOOKUP(N509,soils2!$B$2:$D$8514,3),"")</f>
        <v/>
      </c>
      <c r="S509" s="62"/>
      <c r="T509" s="62"/>
      <c r="U509" s="33"/>
    </row>
    <row r="510" spans="14:21">
      <c r="N510" s="33"/>
      <c r="O510" s="62" t="str">
        <f>IFERROR(IFERROR(VLOOKUP(S510,soils2!$A$2:$D$8514,3,FALSE),VLOOKUP(N510,soils2!$B$2:$D$8514,2,FALSE)),"")</f>
        <v/>
      </c>
      <c r="P510" s="62"/>
      <c r="Q510" s="62"/>
      <c r="R510" s="34" t="str">
        <f>IFERROR(VLOOKUP(N510,soils2!$B$2:$D$8514,3),"")</f>
        <v/>
      </c>
      <c r="S510" s="62"/>
      <c r="T510" s="62"/>
      <c r="U510" s="33"/>
    </row>
    <row r="511" spans="14:21">
      <c r="N511" s="33"/>
      <c r="O511" s="62" t="str">
        <f>IFERROR(IFERROR(VLOOKUP(S511,soils2!$A$2:$D$8514,3,FALSE),VLOOKUP(N511,soils2!$B$2:$D$8514,2,FALSE)),"")</f>
        <v/>
      </c>
      <c r="P511" s="62"/>
      <c r="Q511" s="62"/>
      <c r="R511" s="34" t="str">
        <f>IFERROR(VLOOKUP(N511,soils2!$B$2:$D$8514,3),"")</f>
        <v/>
      </c>
      <c r="S511" s="62"/>
      <c r="T511" s="62"/>
      <c r="U511" s="33"/>
    </row>
    <row r="512" spans="14:21">
      <c r="N512" s="33"/>
      <c r="O512" s="62" t="str">
        <f>IFERROR(IFERROR(VLOOKUP(S512,soils2!$A$2:$D$8514,3,FALSE),VLOOKUP(N512,soils2!$B$2:$D$8514,2,FALSE)),"")</f>
        <v/>
      </c>
      <c r="P512" s="62"/>
      <c r="Q512" s="62"/>
      <c r="R512" s="34" t="str">
        <f>IFERROR(VLOOKUP(N512,soils2!$B$2:$D$8514,3),"")</f>
        <v/>
      </c>
      <c r="S512" s="62"/>
      <c r="T512" s="62"/>
      <c r="U512" s="33"/>
    </row>
    <row r="513" spans="14:21">
      <c r="N513" s="33"/>
      <c r="O513" s="62" t="str">
        <f>IFERROR(IFERROR(VLOOKUP(S513,soils2!$A$2:$D$8514,3,FALSE),VLOOKUP(N513,soils2!$B$2:$D$8514,2,FALSE)),"")</f>
        <v/>
      </c>
      <c r="P513" s="62"/>
      <c r="Q513" s="62"/>
      <c r="R513" s="34" t="str">
        <f>IFERROR(VLOOKUP(N513,soils2!$B$2:$D$8514,3),"")</f>
        <v/>
      </c>
      <c r="S513" s="62"/>
      <c r="T513" s="62"/>
      <c r="U513" s="33"/>
    </row>
    <row r="514" spans="14:21">
      <c r="N514" s="33"/>
      <c r="O514" s="62" t="str">
        <f>IFERROR(IFERROR(VLOOKUP(S514,soils2!$A$2:$D$8514,3,FALSE),VLOOKUP(N514,soils2!$B$2:$D$8514,2,FALSE)),"")</f>
        <v/>
      </c>
      <c r="P514" s="62"/>
      <c r="Q514" s="62"/>
      <c r="R514" s="34" t="str">
        <f>IFERROR(VLOOKUP(N514,soils2!$B$2:$D$8514,3),"")</f>
        <v/>
      </c>
      <c r="S514" s="62"/>
      <c r="T514" s="62"/>
      <c r="U514" s="33"/>
    </row>
    <row r="515" spans="14:21">
      <c r="N515" s="33"/>
      <c r="O515" s="62" t="str">
        <f>IFERROR(IFERROR(VLOOKUP(S515,soils2!$A$2:$D$8514,3,FALSE),VLOOKUP(N515,soils2!$B$2:$D$8514,2,FALSE)),"")</f>
        <v/>
      </c>
      <c r="P515" s="62"/>
      <c r="Q515" s="62"/>
      <c r="R515" s="34" t="str">
        <f>IFERROR(VLOOKUP(N515,soils2!$B$2:$D$8514,3),"")</f>
        <v/>
      </c>
      <c r="S515" s="62"/>
      <c r="T515" s="62"/>
      <c r="U515" s="33"/>
    </row>
    <row r="516" spans="14:21">
      <c r="N516" s="33"/>
      <c r="O516" s="62" t="str">
        <f>IFERROR(IFERROR(VLOOKUP(S516,soils2!$A$2:$D$8514,3,FALSE),VLOOKUP(N516,soils2!$B$2:$D$8514,2,FALSE)),"")</f>
        <v/>
      </c>
      <c r="P516" s="62"/>
      <c r="Q516" s="62"/>
      <c r="R516" s="34" t="str">
        <f>IFERROR(VLOOKUP(N516,soils2!$B$2:$D$8514,3),"")</f>
        <v/>
      </c>
      <c r="S516" s="62"/>
      <c r="T516" s="62"/>
      <c r="U516" s="33"/>
    </row>
    <row r="517" spans="14:21">
      <c r="N517" s="33"/>
      <c r="O517" s="62" t="str">
        <f>IFERROR(IFERROR(VLOOKUP(S517,soils2!$A$2:$D$8514,3,FALSE),VLOOKUP(N517,soils2!$B$2:$D$8514,2,FALSE)),"")</f>
        <v/>
      </c>
      <c r="P517" s="62"/>
      <c r="Q517" s="62"/>
      <c r="R517" s="34" t="str">
        <f>IFERROR(VLOOKUP(N517,soils2!$B$2:$D$8514,3),"")</f>
        <v/>
      </c>
      <c r="S517" s="62"/>
      <c r="T517" s="62"/>
      <c r="U517" s="33"/>
    </row>
    <row r="518" spans="14:21">
      <c r="N518" s="33"/>
      <c r="O518" s="62" t="str">
        <f>IFERROR(IFERROR(VLOOKUP(S518,soils2!$A$2:$D$8514,3,FALSE),VLOOKUP(N518,soils2!$B$2:$D$8514,2,FALSE)),"")</f>
        <v/>
      </c>
      <c r="P518" s="62"/>
      <c r="Q518" s="62"/>
      <c r="R518" s="34" t="str">
        <f>IFERROR(VLOOKUP(N518,soils2!$B$2:$D$8514,3),"")</f>
        <v/>
      </c>
      <c r="S518" s="62"/>
      <c r="T518" s="62"/>
      <c r="U518" s="33"/>
    </row>
    <row r="519" spans="14:21">
      <c r="N519" s="33"/>
      <c r="O519" s="62" t="str">
        <f>IFERROR(IFERROR(VLOOKUP(S519,soils2!$A$2:$D$8514,3,FALSE),VLOOKUP(N519,soils2!$B$2:$D$8514,2,FALSE)),"")</f>
        <v/>
      </c>
      <c r="P519" s="62"/>
      <c r="Q519" s="62"/>
      <c r="R519" s="34" t="str">
        <f>IFERROR(VLOOKUP(N519,soils2!$B$2:$D$8514,3),"")</f>
        <v/>
      </c>
      <c r="S519" s="62"/>
      <c r="T519" s="62"/>
      <c r="U519" s="33"/>
    </row>
    <row r="520" spans="14:21">
      <c r="N520" s="33"/>
      <c r="O520" s="62" t="str">
        <f>IFERROR(IFERROR(VLOOKUP(S520,soils2!$A$2:$D$8514,3,FALSE),VLOOKUP(N520,soils2!$B$2:$D$8514,2,FALSE)),"")</f>
        <v/>
      </c>
      <c r="P520" s="62"/>
      <c r="Q520" s="62"/>
      <c r="R520" s="34" t="str">
        <f>IFERROR(VLOOKUP(N520,soils2!$B$2:$D$8514,3),"")</f>
        <v/>
      </c>
      <c r="S520" s="62"/>
      <c r="T520" s="62"/>
      <c r="U520" s="33"/>
    </row>
    <row r="521" spans="14:21">
      <c r="N521" s="33"/>
      <c r="O521" s="62" t="str">
        <f>IFERROR(IFERROR(VLOOKUP(S521,soils2!$A$2:$D$8514,3,FALSE),VLOOKUP(N521,soils2!$B$2:$D$8514,2,FALSE)),"")</f>
        <v/>
      </c>
      <c r="P521" s="62"/>
      <c r="Q521" s="62"/>
      <c r="R521" s="34" t="str">
        <f>IFERROR(VLOOKUP(N521,soils2!$B$2:$D$8514,3),"")</f>
        <v/>
      </c>
      <c r="S521" s="62"/>
      <c r="T521" s="62"/>
      <c r="U521" s="33"/>
    </row>
    <row r="522" spans="14:21">
      <c r="N522" s="33"/>
      <c r="O522" s="62" t="str">
        <f>IFERROR(IFERROR(VLOOKUP(S522,soils2!$A$2:$D$8514,3,FALSE),VLOOKUP(N522,soils2!$B$2:$D$8514,2,FALSE)),"")</f>
        <v/>
      </c>
      <c r="P522" s="62"/>
      <c r="Q522" s="62"/>
      <c r="R522" s="34" t="str">
        <f>IFERROR(VLOOKUP(N522,soils2!$B$2:$D$8514,3),"")</f>
        <v/>
      </c>
      <c r="S522" s="62"/>
      <c r="T522" s="62"/>
      <c r="U522" s="33"/>
    </row>
    <row r="523" spans="14:21">
      <c r="N523" s="33"/>
      <c r="O523" s="62" t="str">
        <f>IFERROR(IFERROR(VLOOKUP(S523,soils2!$A$2:$D$8514,3,FALSE),VLOOKUP(N523,soils2!$B$2:$D$8514,2,FALSE)),"")</f>
        <v/>
      </c>
      <c r="P523" s="62"/>
      <c r="Q523" s="62"/>
      <c r="R523" s="34" t="str">
        <f>IFERROR(VLOOKUP(N523,soils2!$B$2:$D$8514,3),"")</f>
        <v/>
      </c>
      <c r="S523" s="62"/>
      <c r="T523" s="62"/>
      <c r="U523" s="33"/>
    </row>
    <row r="524" spans="14:21">
      <c r="N524" s="33"/>
      <c r="O524" s="62" t="str">
        <f>IFERROR(IFERROR(VLOOKUP(S524,soils2!$A$2:$D$8514,3,FALSE),VLOOKUP(N524,soils2!$B$2:$D$8514,2,FALSE)),"")</f>
        <v/>
      </c>
      <c r="P524" s="62"/>
      <c r="Q524" s="62"/>
      <c r="R524" s="34" t="str">
        <f>IFERROR(VLOOKUP(N524,soils2!$B$2:$D$8514,3),"")</f>
        <v/>
      </c>
      <c r="S524" s="62"/>
      <c r="T524" s="62"/>
      <c r="U524" s="33"/>
    </row>
    <row r="525" spans="14:21">
      <c r="N525" s="33"/>
      <c r="O525" s="62" t="str">
        <f>IFERROR(IFERROR(VLOOKUP(S525,soils2!$A$2:$D$8514,3,FALSE),VLOOKUP(N525,soils2!$B$2:$D$8514,2,FALSE)),"")</f>
        <v/>
      </c>
      <c r="P525" s="62"/>
      <c r="Q525" s="62"/>
      <c r="R525" s="34" t="str">
        <f>IFERROR(VLOOKUP(N525,soils2!$B$2:$D$8514,3),"")</f>
        <v/>
      </c>
      <c r="S525" s="62"/>
      <c r="T525" s="62"/>
      <c r="U525" s="33"/>
    </row>
    <row r="526" spans="14:21">
      <c r="N526" s="33"/>
      <c r="O526" s="62" t="str">
        <f>IFERROR(IFERROR(VLOOKUP(S526,soils2!$A$2:$D$8514,3,FALSE),VLOOKUP(N526,soils2!$B$2:$D$8514,2,FALSE)),"")</f>
        <v/>
      </c>
      <c r="P526" s="62"/>
      <c r="Q526" s="62"/>
      <c r="R526" s="34" t="str">
        <f>IFERROR(VLOOKUP(N526,soils2!$B$2:$D$8514,3),"")</f>
        <v/>
      </c>
      <c r="S526" s="62"/>
      <c r="T526" s="62"/>
      <c r="U526" s="33"/>
    </row>
    <row r="527" spans="14:21">
      <c r="N527" s="33"/>
      <c r="O527" s="62" t="str">
        <f>IFERROR(IFERROR(VLOOKUP(S527,soils2!$A$2:$D$8514,3,FALSE),VLOOKUP(N527,soils2!$B$2:$D$8514,2,FALSE)),"")</f>
        <v/>
      </c>
      <c r="P527" s="62"/>
      <c r="Q527" s="62"/>
      <c r="R527" s="34" t="str">
        <f>IFERROR(VLOOKUP(N527,soils2!$B$2:$D$8514,3),"")</f>
        <v/>
      </c>
      <c r="S527" s="62"/>
      <c r="T527" s="62"/>
      <c r="U527" s="33"/>
    </row>
    <row r="528" spans="14:21">
      <c r="N528" s="33"/>
      <c r="O528" s="62" t="str">
        <f>IFERROR(IFERROR(VLOOKUP(S528,soils2!$A$2:$D$8514,3,FALSE),VLOOKUP(N528,soils2!$B$2:$D$8514,2,FALSE)),"")</f>
        <v/>
      </c>
      <c r="P528" s="62"/>
      <c r="Q528" s="62"/>
      <c r="R528" s="34" t="str">
        <f>IFERROR(VLOOKUP(N528,soils2!$B$2:$D$8514,3),"")</f>
        <v/>
      </c>
      <c r="S528" s="62"/>
      <c r="T528" s="62"/>
      <c r="U528" s="33"/>
    </row>
    <row r="529" spans="14:21">
      <c r="N529" s="33"/>
      <c r="O529" s="62" t="str">
        <f>IFERROR(IFERROR(VLOOKUP(S529,soils2!$A$2:$D$8514,3,FALSE),VLOOKUP(N529,soils2!$B$2:$D$8514,2,FALSE)),"")</f>
        <v/>
      </c>
      <c r="P529" s="62"/>
      <c r="Q529" s="62"/>
      <c r="R529" s="34" t="str">
        <f>IFERROR(VLOOKUP(N529,soils2!$B$2:$D$8514,3),"")</f>
        <v/>
      </c>
      <c r="S529" s="62"/>
      <c r="T529" s="62"/>
      <c r="U529" s="33"/>
    </row>
    <row r="530" spans="14:21">
      <c r="N530" s="33"/>
      <c r="O530" s="62" t="str">
        <f>IFERROR(IFERROR(VLOOKUP(S530,soils2!$A$2:$D$8514,3,FALSE),VLOOKUP(N530,soils2!$B$2:$D$8514,2,FALSE)),"")</f>
        <v/>
      </c>
      <c r="P530" s="62"/>
      <c r="Q530" s="62"/>
      <c r="R530" s="34" t="str">
        <f>IFERROR(VLOOKUP(N530,soils2!$B$2:$D$8514,3),"")</f>
        <v/>
      </c>
      <c r="S530" s="62"/>
      <c r="T530" s="62"/>
      <c r="U530" s="33"/>
    </row>
    <row r="531" spans="14:21">
      <c r="N531" s="33"/>
      <c r="O531" s="62" t="str">
        <f>IFERROR(IFERROR(VLOOKUP(S531,soils2!$A$2:$D$8514,3,FALSE),VLOOKUP(N531,soils2!$B$2:$D$8514,2,FALSE)),"")</f>
        <v/>
      </c>
      <c r="P531" s="62"/>
      <c r="Q531" s="62"/>
      <c r="R531" s="34" t="str">
        <f>IFERROR(VLOOKUP(N531,soils2!$B$2:$D$8514,3),"")</f>
        <v/>
      </c>
      <c r="S531" s="62"/>
      <c r="T531" s="62"/>
      <c r="U531" s="33"/>
    </row>
    <row r="532" spans="14:21">
      <c r="N532" s="33"/>
      <c r="O532" s="62" t="str">
        <f>IFERROR(IFERROR(VLOOKUP(S532,soils2!$A$2:$D$8514,3,FALSE),VLOOKUP(N532,soils2!$B$2:$D$8514,2,FALSE)),"")</f>
        <v/>
      </c>
      <c r="P532" s="62"/>
      <c r="Q532" s="62"/>
      <c r="R532" s="34" t="str">
        <f>IFERROR(VLOOKUP(N532,soils2!$B$2:$D$8514,3),"")</f>
        <v/>
      </c>
      <c r="S532" s="62"/>
      <c r="T532" s="62"/>
      <c r="U532" s="33"/>
    </row>
    <row r="533" spans="14:21">
      <c r="N533" s="33"/>
      <c r="O533" s="62" t="str">
        <f>IFERROR(IFERROR(VLOOKUP(S533,soils2!$A$2:$D$8514,3,FALSE),VLOOKUP(N533,soils2!$B$2:$D$8514,2,FALSE)),"")</f>
        <v/>
      </c>
      <c r="P533" s="62"/>
      <c r="Q533" s="62"/>
      <c r="R533" s="34" t="str">
        <f>IFERROR(VLOOKUP(N533,soils2!$B$2:$D$8514,3),"")</f>
        <v/>
      </c>
      <c r="S533" s="62"/>
      <c r="T533" s="62"/>
      <c r="U533" s="33"/>
    </row>
    <row r="534" spans="14:21">
      <c r="N534" s="33"/>
      <c r="O534" s="62" t="str">
        <f>IFERROR(IFERROR(VLOOKUP(S534,soils2!$A$2:$D$8514,3,FALSE),VLOOKUP(N534,soils2!$B$2:$D$8514,2,FALSE)),"")</f>
        <v/>
      </c>
      <c r="P534" s="62"/>
      <c r="Q534" s="62"/>
      <c r="R534" s="34" t="str">
        <f>IFERROR(VLOOKUP(N534,soils2!$B$2:$D$8514,3),"")</f>
        <v/>
      </c>
      <c r="S534" s="62"/>
      <c r="T534" s="62"/>
      <c r="U534" s="33"/>
    </row>
    <row r="535" spans="14:21">
      <c r="N535" s="33"/>
      <c r="O535" s="62" t="str">
        <f>IFERROR(IFERROR(VLOOKUP(S535,soils2!$A$2:$D$8514,3,FALSE),VLOOKUP(N535,soils2!$B$2:$D$8514,2,FALSE)),"")</f>
        <v/>
      </c>
      <c r="P535" s="62"/>
      <c r="Q535" s="62"/>
      <c r="R535" s="34" t="str">
        <f>IFERROR(VLOOKUP(N535,soils2!$B$2:$D$8514,3),"")</f>
        <v/>
      </c>
      <c r="S535" s="62"/>
      <c r="T535" s="62"/>
      <c r="U535" s="33"/>
    </row>
    <row r="536" spans="14:21">
      <c r="N536" s="33"/>
      <c r="O536" s="62" t="str">
        <f>IFERROR(IFERROR(VLOOKUP(S536,soils2!$A$2:$D$8514,3,FALSE),VLOOKUP(N536,soils2!$B$2:$D$8514,2,FALSE)),"")</f>
        <v/>
      </c>
      <c r="P536" s="62"/>
      <c r="Q536" s="62"/>
      <c r="R536" s="34" t="str">
        <f>IFERROR(VLOOKUP(N536,soils2!$B$2:$D$8514,3),"")</f>
        <v/>
      </c>
      <c r="S536" s="62"/>
      <c r="T536" s="62"/>
      <c r="U536" s="33"/>
    </row>
    <row r="537" spans="14:21">
      <c r="N537" s="33"/>
      <c r="O537" s="62" t="str">
        <f>IFERROR(IFERROR(VLOOKUP(S537,soils2!$A$2:$D$8514,3,FALSE),VLOOKUP(N537,soils2!$B$2:$D$8514,2,FALSE)),"")</f>
        <v/>
      </c>
      <c r="P537" s="62"/>
      <c r="Q537" s="62"/>
      <c r="R537" s="34" t="str">
        <f>IFERROR(VLOOKUP(N537,soils2!$B$2:$D$8514,3),"")</f>
        <v/>
      </c>
      <c r="S537" s="62"/>
      <c r="T537" s="62"/>
      <c r="U537" s="33"/>
    </row>
    <row r="538" spans="14:21">
      <c r="N538" s="33"/>
      <c r="O538" s="62" t="str">
        <f>IFERROR(IFERROR(VLOOKUP(S538,soils2!$A$2:$D$8514,3,FALSE),VLOOKUP(N538,soils2!$B$2:$D$8514,2,FALSE)),"")</f>
        <v/>
      </c>
      <c r="P538" s="62"/>
      <c r="Q538" s="62"/>
      <c r="R538" s="34" t="str">
        <f>IFERROR(VLOOKUP(N538,soils2!$B$2:$D$8514,3),"")</f>
        <v/>
      </c>
      <c r="S538" s="62"/>
      <c r="T538" s="62"/>
      <c r="U538" s="33"/>
    </row>
    <row r="539" spans="14:21">
      <c r="N539" s="33"/>
      <c r="O539" s="62" t="str">
        <f>IFERROR(IFERROR(VLOOKUP(S539,soils2!$A$2:$D$8514,3,FALSE),VLOOKUP(N539,soils2!$B$2:$D$8514,2,FALSE)),"")</f>
        <v/>
      </c>
      <c r="P539" s="62"/>
      <c r="Q539" s="62"/>
      <c r="R539" s="34" t="str">
        <f>IFERROR(VLOOKUP(N539,soils2!$B$2:$D$8514,3),"")</f>
        <v/>
      </c>
      <c r="S539" s="62"/>
      <c r="T539" s="62"/>
      <c r="U539" s="33"/>
    </row>
    <row r="540" spans="14:21">
      <c r="N540" s="33"/>
      <c r="O540" s="62" t="str">
        <f>IFERROR(IFERROR(VLOOKUP(S540,soils2!$A$2:$D$8514,3,FALSE),VLOOKUP(N540,soils2!$B$2:$D$8514,2,FALSE)),"")</f>
        <v/>
      </c>
      <c r="P540" s="62"/>
      <c r="Q540" s="62"/>
      <c r="R540" s="34" t="str">
        <f>IFERROR(VLOOKUP(N540,soils2!$B$2:$D$8514,3),"")</f>
        <v/>
      </c>
      <c r="S540" s="62"/>
      <c r="T540" s="62"/>
      <c r="U540" s="33"/>
    </row>
    <row r="541" spans="14:21">
      <c r="N541" s="33"/>
      <c r="O541" s="62" t="str">
        <f>IFERROR(IFERROR(VLOOKUP(S541,soils2!$A$2:$D$8514,3,FALSE),VLOOKUP(N541,soils2!$B$2:$D$8514,2,FALSE)),"")</f>
        <v/>
      </c>
      <c r="P541" s="62"/>
      <c r="Q541" s="62"/>
      <c r="R541" s="34" t="str">
        <f>IFERROR(VLOOKUP(N541,soils2!$B$2:$D$8514,3),"")</f>
        <v/>
      </c>
      <c r="S541" s="62"/>
      <c r="T541" s="62"/>
      <c r="U541" s="33"/>
    </row>
    <row r="542" spans="14:21">
      <c r="N542" s="33"/>
      <c r="O542" s="62" t="str">
        <f>IFERROR(IFERROR(VLOOKUP(S542,soils2!$A$2:$D$8514,3,FALSE),VLOOKUP(N542,soils2!$B$2:$D$8514,2,FALSE)),"")</f>
        <v/>
      </c>
      <c r="P542" s="62"/>
      <c r="Q542" s="62"/>
      <c r="R542" s="34" t="str">
        <f>IFERROR(VLOOKUP(N542,soils2!$B$2:$D$8514,3),"")</f>
        <v/>
      </c>
      <c r="S542" s="62"/>
      <c r="T542" s="62"/>
      <c r="U542" s="33"/>
    </row>
    <row r="543" spans="14:21">
      <c r="N543" s="33"/>
      <c r="O543" s="62" t="str">
        <f>IFERROR(IFERROR(VLOOKUP(S543,soils2!$A$2:$D$8514,3,FALSE),VLOOKUP(N543,soils2!$B$2:$D$8514,2,FALSE)),"")</f>
        <v/>
      </c>
      <c r="P543" s="62"/>
      <c r="Q543" s="62"/>
      <c r="R543" s="34" t="str">
        <f>IFERROR(VLOOKUP(N543,soils2!$B$2:$D$8514,3),"")</f>
        <v/>
      </c>
      <c r="S543" s="62"/>
      <c r="T543" s="62"/>
      <c r="U543" s="33"/>
    </row>
    <row r="544" spans="14:21">
      <c r="N544" s="33"/>
      <c r="O544" s="62" t="str">
        <f>IFERROR(IFERROR(VLOOKUP(S544,soils2!$A$2:$D$8514,3,FALSE),VLOOKUP(N544,soils2!$B$2:$D$8514,2,FALSE)),"")</f>
        <v/>
      </c>
      <c r="P544" s="62"/>
      <c r="Q544" s="62"/>
      <c r="R544" s="34" t="str">
        <f>IFERROR(VLOOKUP(N544,soils2!$B$2:$D$8514,3),"")</f>
        <v/>
      </c>
      <c r="S544" s="62"/>
      <c r="T544" s="62"/>
      <c r="U544" s="33"/>
    </row>
    <row r="545" spans="14:21">
      <c r="N545" s="33"/>
      <c r="O545" s="62" t="str">
        <f>IFERROR(IFERROR(VLOOKUP(S545,soils2!$A$2:$D$8514,3,FALSE),VLOOKUP(N545,soils2!$B$2:$D$8514,2,FALSE)),"")</f>
        <v/>
      </c>
      <c r="P545" s="62"/>
      <c r="Q545" s="62"/>
      <c r="R545" s="34" t="str">
        <f>IFERROR(VLOOKUP(N545,soils2!$B$2:$D$8514,3),"")</f>
        <v/>
      </c>
      <c r="S545" s="62"/>
      <c r="T545" s="62"/>
      <c r="U545" s="33"/>
    </row>
    <row r="546" spans="14:21">
      <c r="N546" s="33"/>
      <c r="O546" s="62" t="str">
        <f>IFERROR(IFERROR(VLOOKUP(S546,soils2!$A$2:$D$8514,3,FALSE),VLOOKUP(N546,soils2!$B$2:$D$8514,2,FALSE)),"")</f>
        <v/>
      </c>
      <c r="P546" s="62"/>
      <c r="Q546" s="62"/>
      <c r="R546" s="34" t="str">
        <f>IFERROR(VLOOKUP(N546,soils2!$B$2:$D$8514,3),"")</f>
        <v/>
      </c>
      <c r="S546" s="62"/>
      <c r="T546" s="62"/>
      <c r="U546" s="33"/>
    </row>
    <row r="547" spans="14:21">
      <c r="N547" s="33"/>
      <c r="O547" s="62" t="str">
        <f>IFERROR(IFERROR(VLOOKUP(S547,soils2!$A$2:$D$8514,3,FALSE),VLOOKUP(N547,soils2!$B$2:$D$8514,2,FALSE)),"")</f>
        <v/>
      </c>
      <c r="P547" s="62"/>
      <c r="Q547" s="62"/>
      <c r="R547" s="34" t="str">
        <f>IFERROR(VLOOKUP(N547,soils2!$B$2:$D$8514,3),"")</f>
        <v/>
      </c>
      <c r="S547" s="62"/>
      <c r="T547" s="62"/>
      <c r="U547" s="33"/>
    </row>
    <row r="548" spans="14:21">
      <c r="N548" s="33"/>
      <c r="O548" s="62" t="str">
        <f>IFERROR(IFERROR(VLOOKUP(S548,soils2!$A$2:$D$8514,3,FALSE),VLOOKUP(N548,soils2!$B$2:$D$8514,2,FALSE)),"")</f>
        <v/>
      </c>
      <c r="P548" s="62"/>
      <c r="Q548" s="62"/>
      <c r="R548" s="34" t="str">
        <f>IFERROR(VLOOKUP(N548,soils2!$B$2:$D$8514,3),"")</f>
        <v/>
      </c>
      <c r="S548" s="62"/>
      <c r="T548" s="62"/>
      <c r="U548" s="33"/>
    </row>
    <row r="549" spans="14:21">
      <c r="N549" s="33"/>
      <c r="O549" s="62" t="str">
        <f>IFERROR(IFERROR(VLOOKUP(S549,soils2!$A$2:$D$8514,3,FALSE),VLOOKUP(N549,soils2!$B$2:$D$8514,2,FALSE)),"")</f>
        <v/>
      </c>
      <c r="P549" s="62"/>
      <c r="Q549" s="62"/>
      <c r="R549" s="34" t="str">
        <f>IFERROR(VLOOKUP(N549,soils2!$B$2:$D$8514,3),"")</f>
        <v/>
      </c>
      <c r="S549" s="62"/>
      <c r="T549" s="62"/>
      <c r="U549" s="33"/>
    </row>
    <row r="550" spans="14:21">
      <c r="N550" s="33"/>
      <c r="O550" s="62" t="str">
        <f>IFERROR(IFERROR(VLOOKUP(S550,soils2!$A$2:$D$8514,3,FALSE),VLOOKUP(N550,soils2!$B$2:$D$8514,2,FALSE)),"")</f>
        <v/>
      </c>
      <c r="P550" s="62"/>
      <c r="Q550" s="62"/>
      <c r="R550" s="34" t="str">
        <f>IFERROR(VLOOKUP(N550,soils2!$B$2:$D$8514,3),"")</f>
        <v/>
      </c>
      <c r="S550" s="62"/>
      <c r="T550" s="62"/>
      <c r="U550" s="33"/>
    </row>
    <row r="551" spans="14:21">
      <c r="N551" s="33"/>
      <c r="O551" s="62" t="str">
        <f>IFERROR(IFERROR(VLOOKUP(S551,soils2!$A$2:$D$8514,3,FALSE),VLOOKUP(N551,soils2!$B$2:$D$8514,2,FALSE)),"")</f>
        <v/>
      </c>
      <c r="P551" s="62"/>
      <c r="Q551" s="62"/>
      <c r="R551" s="34" t="str">
        <f>IFERROR(VLOOKUP(N551,soils2!$B$2:$D$8514,3),"")</f>
        <v/>
      </c>
      <c r="S551" s="62"/>
      <c r="T551" s="62"/>
      <c r="U551" s="33"/>
    </row>
    <row r="552" spans="14:21">
      <c r="N552" s="33"/>
      <c r="O552" s="62" t="str">
        <f>IFERROR(IFERROR(VLOOKUP(S552,soils2!$A$2:$D$8514,3,FALSE),VLOOKUP(N552,soils2!$B$2:$D$8514,2,FALSE)),"")</f>
        <v/>
      </c>
      <c r="P552" s="62"/>
      <c r="Q552" s="62"/>
      <c r="R552" s="34" t="str">
        <f>IFERROR(VLOOKUP(N552,soils2!$B$2:$D$8514,3),"")</f>
        <v/>
      </c>
      <c r="S552" s="62"/>
      <c r="T552" s="62"/>
      <c r="U552" s="33"/>
    </row>
    <row r="553" spans="14:21">
      <c r="N553" s="33"/>
      <c r="O553" s="62" t="str">
        <f>IFERROR(IFERROR(VLOOKUP(S553,soils2!$A$2:$D$8514,3,FALSE),VLOOKUP(N553,soils2!$B$2:$D$8514,2,FALSE)),"")</f>
        <v/>
      </c>
      <c r="P553" s="62"/>
      <c r="Q553" s="62"/>
      <c r="R553" s="34" t="str">
        <f>IFERROR(VLOOKUP(N553,soils2!$B$2:$D$8514,3),"")</f>
        <v/>
      </c>
      <c r="S553" s="62"/>
      <c r="T553" s="62"/>
      <c r="U553" s="33"/>
    </row>
    <row r="554" spans="14:21">
      <c r="N554" s="33"/>
      <c r="O554" s="62" t="str">
        <f>IFERROR(IFERROR(VLOOKUP(S554,soils2!$A$2:$D$8514,3,FALSE),VLOOKUP(N554,soils2!$B$2:$D$8514,2,FALSE)),"")</f>
        <v/>
      </c>
      <c r="P554" s="62"/>
      <c r="Q554" s="62"/>
      <c r="R554" s="34" t="str">
        <f>IFERROR(VLOOKUP(N554,soils2!$B$2:$D$8514,3),"")</f>
        <v/>
      </c>
      <c r="S554" s="62"/>
      <c r="T554" s="62"/>
      <c r="U554" s="33"/>
    </row>
    <row r="555" spans="14:21">
      <c r="N555" s="33"/>
      <c r="O555" s="62" t="str">
        <f>IFERROR(IFERROR(VLOOKUP(S555,soils2!$A$2:$D$8514,3,FALSE),VLOOKUP(N555,soils2!$B$2:$D$8514,2,FALSE)),"")</f>
        <v/>
      </c>
      <c r="P555" s="62"/>
      <c r="Q555" s="62"/>
      <c r="R555" s="34" t="str">
        <f>IFERROR(VLOOKUP(N555,soils2!$B$2:$D$8514,3),"")</f>
        <v/>
      </c>
      <c r="S555" s="62"/>
      <c r="T555" s="62"/>
      <c r="U555" s="33"/>
    </row>
    <row r="556" spans="14:21">
      <c r="N556" s="33"/>
      <c r="O556" s="62" t="str">
        <f>IFERROR(IFERROR(VLOOKUP(S556,soils2!$A$2:$D$8514,3,FALSE),VLOOKUP(N556,soils2!$B$2:$D$8514,2,FALSE)),"")</f>
        <v/>
      </c>
      <c r="P556" s="62"/>
      <c r="Q556" s="62"/>
      <c r="R556" s="34" t="str">
        <f>IFERROR(VLOOKUP(N556,soils2!$B$2:$D$8514,3),"")</f>
        <v/>
      </c>
      <c r="S556" s="62"/>
      <c r="T556" s="62"/>
      <c r="U556" s="33"/>
    </row>
    <row r="557" spans="14:21">
      <c r="N557" s="33"/>
      <c r="O557" s="62" t="str">
        <f>IFERROR(IFERROR(VLOOKUP(S557,soils2!$A$2:$D$8514,3,FALSE),VLOOKUP(N557,soils2!$B$2:$D$8514,2,FALSE)),"")</f>
        <v/>
      </c>
      <c r="P557" s="62"/>
      <c r="Q557" s="62"/>
      <c r="R557" s="34" t="str">
        <f>IFERROR(VLOOKUP(N557,soils2!$B$2:$D$8514,3),"")</f>
        <v/>
      </c>
      <c r="S557" s="62"/>
      <c r="T557" s="62"/>
      <c r="U557" s="33"/>
    </row>
    <row r="558" spans="14:21">
      <c r="N558" s="33"/>
      <c r="O558" s="62" t="str">
        <f>IFERROR(IFERROR(VLOOKUP(S558,soils2!$A$2:$D$8514,3,FALSE),VLOOKUP(N558,soils2!$B$2:$D$8514,2,FALSE)),"")</f>
        <v/>
      </c>
      <c r="P558" s="62"/>
      <c r="Q558" s="62"/>
      <c r="R558" s="34" t="str">
        <f>IFERROR(VLOOKUP(N558,soils2!$B$2:$D$8514,3),"")</f>
        <v/>
      </c>
      <c r="S558" s="62"/>
      <c r="T558" s="62"/>
      <c r="U558" s="33"/>
    </row>
    <row r="559" spans="14:21">
      <c r="N559" s="33"/>
      <c r="O559" s="62" t="str">
        <f>IFERROR(IFERROR(VLOOKUP(S559,soils2!$A$2:$D$8514,3,FALSE),VLOOKUP(N559,soils2!$B$2:$D$8514,2,FALSE)),"")</f>
        <v/>
      </c>
      <c r="P559" s="62"/>
      <c r="Q559" s="62"/>
      <c r="R559" s="34" t="str">
        <f>IFERROR(VLOOKUP(N559,soils2!$B$2:$D$8514,3),"")</f>
        <v/>
      </c>
      <c r="S559" s="62"/>
      <c r="T559" s="62"/>
      <c r="U559" s="33"/>
    </row>
    <row r="560" spans="14:21">
      <c r="N560" s="33"/>
      <c r="O560" s="62" t="str">
        <f>IFERROR(IFERROR(VLOOKUP(S560,soils2!$A$2:$D$8514,3,FALSE),VLOOKUP(N560,soils2!$B$2:$D$8514,2,FALSE)),"")</f>
        <v/>
      </c>
      <c r="P560" s="62"/>
      <c r="Q560" s="62"/>
      <c r="R560" s="34" t="str">
        <f>IFERROR(VLOOKUP(N560,soils2!$B$2:$D$8514,3),"")</f>
        <v/>
      </c>
      <c r="S560" s="62"/>
      <c r="T560" s="62"/>
      <c r="U560" s="33"/>
    </row>
    <row r="561" spans="14:21">
      <c r="N561" s="33"/>
      <c r="O561" s="62" t="str">
        <f>IFERROR(IFERROR(VLOOKUP(S561,soils2!$A$2:$D$8514,3,FALSE),VLOOKUP(N561,soils2!$B$2:$D$8514,2,FALSE)),"")</f>
        <v/>
      </c>
      <c r="P561" s="62"/>
      <c r="Q561" s="62"/>
      <c r="R561" s="34" t="str">
        <f>IFERROR(VLOOKUP(N561,soils2!$B$2:$D$8514,3),"")</f>
        <v/>
      </c>
      <c r="S561" s="62"/>
      <c r="T561" s="62"/>
      <c r="U561" s="33"/>
    </row>
    <row r="562" spans="14:21">
      <c r="N562" s="33"/>
      <c r="O562" s="62" t="str">
        <f>IFERROR(IFERROR(VLOOKUP(S562,soils2!$A$2:$D$8514,3,FALSE),VLOOKUP(N562,soils2!$B$2:$D$8514,2,FALSE)),"")</f>
        <v/>
      </c>
      <c r="P562" s="62"/>
      <c r="Q562" s="62"/>
      <c r="R562" s="34" t="str">
        <f>IFERROR(VLOOKUP(N562,soils2!$B$2:$D$8514,3),"")</f>
        <v/>
      </c>
      <c r="S562" s="62"/>
      <c r="T562" s="62"/>
      <c r="U562" s="33"/>
    </row>
    <row r="563" spans="14:21">
      <c r="N563" s="33"/>
      <c r="O563" s="62" t="str">
        <f>IFERROR(IFERROR(VLOOKUP(S563,soils2!$A$2:$D$8514,3,FALSE),VLOOKUP(N563,soils2!$B$2:$D$8514,2,FALSE)),"")</f>
        <v/>
      </c>
      <c r="P563" s="62"/>
      <c r="Q563" s="62"/>
      <c r="R563" s="34" t="str">
        <f>IFERROR(VLOOKUP(N563,soils2!$B$2:$D$8514,3),"")</f>
        <v/>
      </c>
      <c r="S563" s="62"/>
      <c r="T563" s="62"/>
      <c r="U563" s="33"/>
    </row>
    <row r="564" spans="14:21">
      <c r="N564" s="33"/>
      <c r="O564" s="62" t="str">
        <f>IFERROR(IFERROR(VLOOKUP(S564,soils2!$A$2:$D$8514,3,FALSE),VLOOKUP(N564,soils2!$B$2:$D$8514,2,FALSE)),"")</f>
        <v/>
      </c>
      <c r="P564" s="62"/>
      <c r="Q564" s="62"/>
      <c r="R564" s="34" t="str">
        <f>IFERROR(VLOOKUP(N564,soils2!$B$2:$D$8514,3),"")</f>
        <v/>
      </c>
      <c r="S564" s="62"/>
      <c r="T564" s="62"/>
      <c r="U564" s="33"/>
    </row>
    <row r="565" spans="14:21">
      <c r="N565" s="33"/>
      <c r="O565" s="62" t="str">
        <f>IFERROR(IFERROR(VLOOKUP(S565,soils2!$A$2:$D$8514,3,FALSE),VLOOKUP(N565,soils2!$B$2:$D$8514,2,FALSE)),"")</f>
        <v/>
      </c>
      <c r="P565" s="62"/>
      <c r="Q565" s="62"/>
      <c r="R565" s="34" t="str">
        <f>IFERROR(VLOOKUP(N565,soils2!$B$2:$D$8514,3),"")</f>
        <v/>
      </c>
      <c r="S565" s="62"/>
      <c r="T565" s="62"/>
      <c r="U565" s="33"/>
    </row>
    <row r="566" spans="14:21">
      <c r="N566" s="33"/>
      <c r="O566" s="62" t="str">
        <f>IFERROR(IFERROR(VLOOKUP(S566,soils2!$A$2:$D$8514,3,FALSE),VLOOKUP(N566,soils2!$B$2:$D$8514,2,FALSE)),"")</f>
        <v/>
      </c>
      <c r="P566" s="62"/>
      <c r="Q566" s="62"/>
      <c r="R566" s="34" t="str">
        <f>IFERROR(VLOOKUP(N566,soils2!$B$2:$D$8514,3),"")</f>
        <v/>
      </c>
      <c r="S566" s="62"/>
      <c r="T566" s="62"/>
      <c r="U566" s="33"/>
    </row>
    <row r="567" spans="14:21">
      <c r="N567" s="33"/>
      <c r="O567" s="62" t="str">
        <f>IFERROR(IFERROR(VLOOKUP(S567,soils2!$A$2:$D$8514,3,FALSE),VLOOKUP(N567,soils2!$B$2:$D$8514,2,FALSE)),"")</f>
        <v/>
      </c>
      <c r="P567" s="62"/>
      <c r="Q567" s="62"/>
      <c r="R567" s="34" t="str">
        <f>IFERROR(VLOOKUP(N567,soils2!$B$2:$D$8514,3),"")</f>
        <v/>
      </c>
      <c r="S567" s="62"/>
      <c r="T567" s="62"/>
      <c r="U567" s="33"/>
    </row>
    <row r="568" spans="14:21">
      <c r="N568" s="33"/>
      <c r="O568" s="62" t="str">
        <f>IFERROR(IFERROR(VLOOKUP(S568,soils2!$A$2:$D$8514,3,FALSE),VLOOKUP(N568,soils2!$B$2:$D$8514,2,FALSE)),"")</f>
        <v/>
      </c>
      <c r="P568" s="62"/>
      <c r="Q568" s="62"/>
      <c r="R568" s="34" t="str">
        <f>IFERROR(VLOOKUP(N568,soils2!$B$2:$D$8514,3),"")</f>
        <v/>
      </c>
      <c r="S568" s="62"/>
      <c r="T568" s="62"/>
      <c r="U568" s="33"/>
    </row>
    <row r="569" spans="14:21">
      <c r="N569" s="33"/>
      <c r="O569" s="62" t="str">
        <f>IFERROR(IFERROR(VLOOKUP(S569,soils2!$A$2:$D$8514,3,FALSE),VLOOKUP(N569,soils2!$B$2:$D$8514,2,FALSE)),"")</f>
        <v/>
      </c>
      <c r="P569" s="62"/>
      <c r="Q569" s="62"/>
      <c r="R569" s="34" t="str">
        <f>IFERROR(VLOOKUP(N569,soils2!$B$2:$D$8514,3),"")</f>
        <v/>
      </c>
      <c r="S569" s="62"/>
      <c r="T569" s="62"/>
      <c r="U569" s="33"/>
    </row>
    <row r="570" spans="14:21">
      <c r="N570" s="33"/>
      <c r="O570" s="62" t="str">
        <f>IFERROR(IFERROR(VLOOKUP(S570,soils2!$A$2:$D$8514,3,FALSE),VLOOKUP(N570,soils2!$B$2:$D$8514,2,FALSE)),"")</f>
        <v/>
      </c>
      <c r="P570" s="62"/>
      <c r="Q570" s="62"/>
      <c r="R570" s="34" t="str">
        <f>IFERROR(VLOOKUP(N570,soils2!$B$2:$D$8514,3),"")</f>
        <v/>
      </c>
      <c r="S570" s="62"/>
      <c r="T570" s="62"/>
      <c r="U570" s="33"/>
    </row>
    <row r="571" spans="14:21">
      <c r="N571" s="33"/>
      <c r="O571" s="62" t="str">
        <f>IFERROR(IFERROR(VLOOKUP(S571,soils2!$A$2:$D$8514,3,FALSE),VLOOKUP(N571,soils2!$B$2:$D$8514,2,FALSE)),"")</f>
        <v/>
      </c>
      <c r="P571" s="62"/>
      <c r="Q571" s="62"/>
      <c r="R571" s="34" t="str">
        <f>IFERROR(VLOOKUP(N571,soils2!$B$2:$D$8514,3),"")</f>
        <v/>
      </c>
      <c r="S571" s="62"/>
      <c r="T571" s="62"/>
      <c r="U571" s="33"/>
    </row>
    <row r="572" spans="14:21">
      <c r="N572" s="33"/>
      <c r="O572" s="62" t="str">
        <f>IFERROR(IFERROR(VLOOKUP(S572,soils2!$A$2:$D$8514,3,FALSE),VLOOKUP(N572,soils2!$B$2:$D$8514,2,FALSE)),"")</f>
        <v/>
      </c>
      <c r="P572" s="62"/>
      <c r="Q572" s="62"/>
      <c r="R572" s="34" t="str">
        <f>IFERROR(VLOOKUP(N572,soils2!$B$2:$D$8514,3),"")</f>
        <v/>
      </c>
      <c r="S572" s="62"/>
      <c r="T572" s="62"/>
      <c r="U572" s="33"/>
    </row>
    <row r="573" spans="14:21">
      <c r="N573" s="33"/>
      <c r="O573" s="62" t="str">
        <f>IFERROR(IFERROR(VLOOKUP(S573,soils2!$A$2:$D$8514,3,FALSE),VLOOKUP(N573,soils2!$B$2:$D$8514,2,FALSE)),"")</f>
        <v/>
      </c>
      <c r="P573" s="62"/>
      <c r="Q573" s="62"/>
      <c r="R573" s="34" t="str">
        <f>IFERROR(VLOOKUP(N573,soils2!$B$2:$D$8514,3),"")</f>
        <v/>
      </c>
      <c r="S573" s="62"/>
      <c r="T573" s="62"/>
      <c r="U573" s="33"/>
    </row>
    <row r="574" spans="14:21">
      <c r="N574" s="33"/>
      <c r="O574" s="62" t="str">
        <f>IFERROR(IFERROR(VLOOKUP(S574,soils2!$A$2:$D$8514,3,FALSE),VLOOKUP(N574,soils2!$B$2:$D$8514,2,FALSE)),"")</f>
        <v/>
      </c>
      <c r="P574" s="62"/>
      <c r="Q574" s="62"/>
      <c r="R574" s="34" t="str">
        <f>IFERROR(VLOOKUP(N574,soils2!$B$2:$D$8514,3),"")</f>
        <v/>
      </c>
      <c r="S574" s="62"/>
      <c r="T574" s="62"/>
      <c r="U574" s="33"/>
    </row>
    <row r="575" spans="14:21">
      <c r="N575" s="33"/>
      <c r="O575" s="62" t="str">
        <f>IFERROR(IFERROR(VLOOKUP(S575,soils2!$A$2:$D$8514,3,FALSE),VLOOKUP(N575,soils2!$B$2:$D$8514,2,FALSE)),"")</f>
        <v/>
      </c>
      <c r="P575" s="62"/>
      <c r="Q575" s="62"/>
      <c r="R575" s="34" t="str">
        <f>IFERROR(VLOOKUP(N575,soils2!$B$2:$D$8514,3),"")</f>
        <v/>
      </c>
      <c r="S575" s="62"/>
      <c r="T575" s="62"/>
      <c r="U575" s="33"/>
    </row>
    <row r="576" spans="14:21">
      <c r="N576" s="33"/>
      <c r="O576" s="62" t="str">
        <f>IFERROR(IFERROR(VLOOKUP(S576,soils2!$A$2:$D$8514,3,FALSE),VLOOKUP(N576,soils2!$B$2:$D$8514,2,FALSE)),"")</f>
        <v/>
      </c>
      <c r="P576" s="62"/>
      <c r="Q576" s="62"/>
      <c r="R576" s="34" t="str">
        <f>IFERROR(VLOOKUP(N576,soils2!$B$2:$D$8514,3),"")</f>
        <v/>
      </c>
      <c r="S576" s="62"/>
      <c r="T576" s="62"/>
      <c r="U576" s="33"/>
    </row>
    <row r="577" spans="14:21">
      <c r="N577" s="33"/>
      <c r="O577" s="62" t="str">
        <f>IFERROR(IFERROR(VLOOKUP(S577,soils2!$A$2:$D$8514,3,FALSE),VLOOKUP(N577,soils2!$B$2:$D$8514,2,FALSE)),"")</f>
        <v/>
      </c>
      <c r="P577" s="62"/>
      <c r="Q577" s="62"/>
      <c r="R577" s="34" t="str">
        <f>IFERROR(VLOOKUP(N577,soils2!$B$2:$D$8514,3),"")</f>
        <v/>
      </c>
      <c r="S577" s="62"/>
      <c r="T577" s="62"/>
      <c r="U577" s="33"/>
    </row>
    <row r="578" spans="14:21">
      <c r="N578" s="33"/>
      <c r="O578" s="62" t="str">
        <f>IFERROR(IFERROR(VLOOKUP(S578,soils2!$A$2:$D$8514,3,FALSE),VLOOKUP(N578,soils2!$B$2:$D$8514,2,FALSE)),"")</f>
        <v/>
      </c>
      <c r="P578" s="62"/>
      <c r="Q578" s="62"/>
      <c r="R578" s="34" t="str">
        <f>IFERROR(VLOOKUP(N578,soils2!$B$2:$D$8514,3),"")</f>
        <v/>
      </c>
      <c r="S578" s="62"/>
      <c r="T578" s="62"/>
      <c r="U578" s="33"/>
    </row>
    <row r="579" spans="14:21">
      <c r="N579" s="33"/>
      <c r="O579" s="62" t="str">
        <f>IFERROR(IFERROR(VLOOKUP(S579,soils2!$A$2:$D$8514,3,FALSE),VLOOKUP(N579,soils2!$B$2:$D$8514,2,FALSE)),"")</f>
        <v/>
      </c>
      <c r="P579" s="62"/>
      <c r="Q579" s="62"/>
      <c r="R579" s="34" t="str">
        <f>IFERROR(VLOOKUP(N579,soils2!$B$2:$D$8514,3),"")</f>
        <v/>
      </c>
      <c r="S579" s="62"/>
      <c r="T579" s="62"/>
      <c r="U579" s="33"/>
    </row>
    <row r="580" spans="14:21">
      <c r="N580" s="33"/>
      <c r="O580" s="62" t="str">
        <f>IFERROR(IFERROR(VLOOKUP(S580,soils2!$A$2:$D$8514,3,FALSE),VLOOKUP(N580,soils2!$B$2:$D$8514,2,FALSE)),"")</f>
        <v/>
      </c>
      <c r="P580" s="62"/>
      <c r="Q580" s="62"/>
      <c r="R580" s="34" t="str">
        <f>IFERROR(VLOOKUP(N580,soils2!$B$2:$D$8514,3),"")</f>
        <v/>
      </c>
      <c r="S580" s="62"/>
      <c r="T580" s="62"/>
      <c r="U580" s="33"/>
    </row>
    <row r="581" spans="14:21">
      <c r="N581" s="33"/>
      <c r="O581" s="62" t="str">
        <f>IFERROR(IFERROR(VLOOKUP(S581,soils2!$A$2:$D$8514,3,FALSE),VLOOKUP(N581,soils2!$B$2:$D$8514,2,FALSE)),"")</f>
        <v/>
      </c>
      <c r="P581" s="62"/>
      <c r="Q581" s="62"/>
      <c r="R581" s="34" t="str">
        <f>IFERROR(VLOOKUP(N581,soils2!$B$2:$D$8514,3),"")</f>
        <v/>
      </c>
      <c r="S581" s="62"/>
      <c r="T581" s="62"/>
      <c r="U581" s="33"/>
    </row>
    <row r="582" spans="14:21">
      <c r="N582" s="33"/>
      <c r="O582" s="62" t="str">
        <f>IFERROR(IFERROR(VLOOKUP(S582,soils2!$A$2:$D$8514,3,FALSE),VLOOKUP(N582,soils2!$B$2:$D$8514,2,FALSE)),"")</f>
        <v/>
      </c>
      <c r="P582" s="62"/>
      <c r="Q582" s="62"/>
      <c r="R582" s="34" t="str">
        <f>IFERROR(VLOOKUP(N582,soils2!$B$2:$D$8514,3),"")</f>
        <v/>
      </c>
      <c r="S582" s="62"/>
      <c r="T582" s="62"/>
      <c r="U582" s="33"/>
    </row>
    <row r="583" spans="14:21">
      <c r="N583" s="33"/>
      <c r="O583" s="62" t="str">
        <f>IFERROR(IFERROR(VLOOKUP(S583,soils2!$A$2:$D$8514,3,FALSE),VLOOKUP(N583,soils2!$B$2:$D$8514,2,FALSE)),"")</f>
        <v/>
      </c>
      <c r="P583" s="62"/>
      <c r="Q583" s="62"/>
      <c r="R583" s="34" t="str">
        <f>IFERROR(VLOOKUP(N583,soils2!$B$2:$D$8514,3),"")</f>
        <v/>
      </c>
      <c r="S583" s="62"/>
      <c r="T583" s="62"/>
      <c r="U583" s="33"/>
    </row>
    <row r="584" spans="14:21">
      <c r="N584" s="33"/>
      <c r="O584" s="62" t="str">
        <f>IFERROR(IFERROR(VLOOKUP(S584,soils2!$A$2:$D$8514,3,FALSE),VLOOKUP(N584,soils2!$B$2:$D$8514,2,FALSE)),"")</f>
        <v/>
      </c>
      <c r="P584" s="62"/>
      <c r="Q584" s="62"/>
      <c r="R584" s="34" t="str">
        <f>IFERROR(VLOOKUP(N584,soils2!$B$2:$D$8514,3),"")</f>
        <v/>
      </c>
      <c r="S584" s="62"/>
      <c r="T584" s="62"/>
      <c r="U584" s="33"/>
    </row>
    <row r="585" spans="14:21">
      <c r="N585" s="33"/>
      <c r="O585" s="62" t="str">
        <f>IFERROR(IFERROR(VLOOKUP(S585,soils2!$A$2:$D$8514,3,FALSE),VLOOKUP(N585,soils2!$B$2:$D$8514,2,FALSE)),"")</f>
        <v/>
      </c>
      <c r="P585" s="62"/>
      <c r="Q585" s="62"/>
      <c r="R585" s="34" t="str">
        <f>IFERROR(VLOOKUP(N585,soils2!$B$2:$D$8514,3),"")</f>
        <v/>
      </c>
      <c r="S585" s="62"/>
      <c r="T585" s="62"/>
      <c r="U585" s="33"/>
    </row>
    <row r="586" spans="14:21">
      <c r="N586" s="33"/>
      <c r="O586" s="62" t="str">
        <f>IFERROR(IFERROR(VLOOKUP(S586,soils2!$A$2:$D$8514,3,FALSE),VLOOKUP(N586,soils2!$B$2:$D$8514,2,FALSE)),"")</f>
        <v/>
      </c>
      <c r="P586" s="62"/>
      <c r="Q586" s="62"/>
      <c r="R586" s="34" t="str">
        <f>IFERROR(VLOOKUP(N586,soils2!$B$2:$D$8514,3),"")</f>
        <v/>
      </c>
      <c r="S586" s="62"/>
      <c r="T586" s="62"/>
      <c r="U586" s="33"/>
    </row>
    <row r="587" spans="14:21">
      <c r="N587" s="33"/>
      <c r="O587" s="62" t="str">
        <f>IFERROR(IFERROR(VLOOKUP(S587,soils2!$A$2:$D$8514,3,FALSE),VLOOKUP(N587,soils2!$B$2:$D$8514,2,FALSE)),"")</f>
        <v/>
      </c>
      <c r="P587" s="62"/>
      <c r="Q587" s="62"/>
      <c r="R587" s="34" t="str">
        <f>IFERROR(VLOOKUP(N587,soils2!$B$2:$D$8514,3),"")</f>
        <v/>
      </c>
      <c r="S587" s="62"/>
      <c r="T587" s="62"/>
      <c r="U587" s="33"/>
    </row>
    <row r="588" spans="14:21">
      <c r="N588" s="33"/>
      <c r="O588" s="62" t="str">
        <f>IFERROR(IFERROR(VLOOKUP(S588,soils2!$A$2:$D$8514,3,FALSE),VLOOKUP(N588,soils2!$B$2:$D$8514,2,FALSE)),"")</f>
        <v/>
      </c>
      <c r="P588" s="62"/>
      <c r="Q588" s="62"/>
      <c r="R588" s="34" t="str">
        <f>IFERROR(VLOOKUP(N588,soils2!$B$2:$D$8514,3),"")</f>
        <v/>
      </c>
      <c r="S588" s="62"/>
      <c r="T588" s="62"/>
      <c r="U588" s="33"/>
    </row>
    <row r="589" spans="14:21">
      <c r="N589" s="33"/>
      <c r="O589" s="62" t="str">
        <f>IFERROR(IFERROR(VLOOKUP(S589,soils2!$A$2:$D$8514,3,FALSE),VLOOKUP(N589,soils2!$B$2:$D$8514,2,FALSE)),"")</f>
        <v/>
      </c>
      <c r="P589" s="62"/>
      <c r="Q589" s="62"/>
      <c r="R589" s="34" t="str">
        <f>IFERROR(VLOOKUP(N589,soils2!$B$2:$D$8514,3),"")</f>
        <v/>
      </c>
      <c r="S589" s="62"/>
      <c r="T589" s="62"/>
      <c r="U589" s="33"/>
    </row>
    <row r="590" spans="14:21">
      <c r="N590" s="33"/>
      <c r="O590" s="62" t="str">
        <f>IFERROR(IFERROR(VLOOKUP(S590,soils2!$A$2:$D$8514,3,FALSE),VLOOKUP(N590,soils2!$B$2:$D$8514,2,FALSE)),"")</f>
        <v/>
      </c>
      <c r="P590" s="62"/>
      <c r="Q590" s="62"/>
      <c r="R590" s="34" t="str">
        <f>IFERROR(VLOOKUP(N590,soils2!$B$2:$D$8514,3),"")</f>
        <v/>
      </c>
      <c r="S590" s="62"/>
      <c r="T590" s="62"/>
      <c r="U590" s="33"/>
    </row>
    <row r="591" spans="14:21">
      <c r="N591" s="33"/>
      <c r="O591" s="62" t="str">
        <f>IFERROR(IFERROR(VLOOKUP(S591,soils2!$A$2:$D$8514,3,FALSE),VLOOKUP(N591,soils2!$B$2:$D$8514,2,FALSE)),"")</f>
        <v/>
      </c>
      <c r="P591" s="62"/>
      <c r="Q591" s="62"/>
      <c r="R591" s="34" t="str">
        <f>IFERROR(VLOOKUP(N591,soils2!$B$2:$D$8514,3),"")</f>
        <v/>
      </c>
      <c r="S591" s="62"/>
      <c r="T591" s="62"/>
      <c r="U591" s="33"/>
    </row>
    <row r="592" spans="14:21">
      <c r="N592" s="33"/>
      <c r="O592" s="62" t="str">
        <f>IFERROR(IFERROR(VLOOKUP(S592,soils2!$A$2:$D$8514,3,FALSE),VLOOKUP(N592,soils2!$B$2:$D$8514,2,FALSE)),"")</f>
        <v/>
      </c>
      <c r="P592" s="62"/>
      <c r="Q592" s="62"/>
      <c r="R592" s="34" t="str">
        <f>IFERROR(VLOOKUP(N592,soils2!$B$2:$D$8514,3),"")</f>
        <v/>
      </c>
      <c r="S592" s="62"/>
      <c r="T592" s="62"/>
      <c r="U592" s="33"/>
    </row>
    <row r="593" spans="14:21">
      <c r="N593" s="33"/>
      <c r="O593" s="62" t="str">
        <f>IFERROR(IFERROR(VLOOKUP(S593,soils2!$A$2:$D$8514,3,FALSE),VLOOKUP(N593,soils2!$B$2:$D$8514,2,FALSE)),"")</f>
        <v/>
      </c>
      <c r="P593" s="62"/>
      <c r="Q593" s="62"/>
      <c r="R593" s="34" t="str">
        <f>IFERROR(VLOOKUP(N593,soils2!$B$2:$D$8514,3),"")</f>
        <v/>
      </c>
      <c r="S593" s="62"/>
      <c r="T593" s="62"/>
      <c r="U593" s="33"/>
    </row>
    <row r="594" spans="14:21">
      <c r="N594" s="33"/>
      <c r="O594" s="62" t="str">
        <f>IFERROR(IFERROR(VLOOKUP(S594,soils2!$A$2:$D$8514,3,FALSE),VLOOKUP(N594,soils2!$B$2:$D$8514,2,FALSE)),"")</f>
        <v/>
      </c>
      <c r="P594" s="62"/>
      <c r="Q594" s="62"/>
      <c r="R594" s="34" t="str">
        <f>IFERROR(VLOOKUP(N594,soils2!$B$2:$D$8514,3),"")</f>
        <v/>
      </c>
      <c r="S594" s="62"/>
      <c r="T594" s="62"/>
      <c r="U594" s="33"/>
    </row>
    <row r="595" spans="14:21">
      <c r="N595" s="33"/>
      <c r="O595" s="62" t="str">
        <f>IFERROR(IFERROR(VLOOKUP(S595,soils2!$A$2:$D$8514,3,FALSE),VLOOKUP(N595,soils2!$B$2:$D$8514,2,FALSE)),"")</f>
        <v/>
      </c>
      <c r="P595" s="62"/>
      <c r="Q595" s="62"/>
      <c r="R595" s="34" t="str">
        <f>IFERROR(VLOOKUP(N595,soils2!$B$2:$D$8514,3),"")</f>
        <v/>
      </c>
      <c r="S595" s="62"/>
      <c r="T595" s="62"/>
      <c r="U595" s="33"/>
    </row>
    <row r="596" spans="14:21">
      <c r="N596" s="33"/>
      <c r="O596" s="62" t="str">
        <f>IFERROR(IFERROR(VLOOKUP(S596,soils2!$A$2:$D$8514,3,FALSE),VLOOKUP(N596,soils2!$B$2:$D$8514,2,FALSE)),"")</f>
        <v/>
      </c>
      <c r="P596" s="62"/>
      <c r="Q596" s="62"/>
      <c r="R596" s="34" t="str">
        <f>IFERROR(VLOOKUP(N596,soils2!$B$2:$D$8514,3),"")</f>
        <v/>
      </c>
      <c r="S596" s="62"/>
      <c r="T596" s="62"/>
      <c r="U596" s="33"/>
    </row>
    <row r="597" spans="14:21">
      <c r="N597" s="33"/>
      <c r="O597" s="62" t="str">
        <f>IFERROR(IFERROR(VLOOKUP(S597,soils2!$A$2:$D$8514,3,FALSE),VLOOKUP(N597,soils2!$B$2:$D$8514,2,FALSE)),"")</f>
        <v/>
      </c>
      <c r="P597" s="62"/>
      <c r="Q597" s="62"/>
      <c r="R597" s="34" t="str">
        <f>IFERROR(VLOOKUP(N597,soils2!$B$2:$D$8514,3),"")</f>
        <v/>
      </c>
      <c r="S597" s="62"/>
      <c r="T597" s="62"/>
      <c r="U597" s="33"/>
    </row>
    <row r="598" spans="14:21">
      <c r="N598" s="33"/>
      <c r="O598" s="62" t="str">
        <f>IFERROR(IFERROR(VLOOKUP(S598,soils2!$A$2:$D$8514,3,FALSE),VLOOKUP(N598,soils2!$B$2:$D$8514,2,FALSE)),"")</f>
        <v/>
      </c>
      <c r="P598" s="62"/>
      <c r="Q598" s="62"/>
      <c r="R598" s="34" t="str">
        <f>IFERROR(VLOOKUP(N598,soils2!$B$2:$D$8514,3),"")</f>
        <v/>
      </c>
      <c r="S598" s="62"/>
      <c r="T598" s="62"/>
      <c r="U598" s="33"/>
    </row>
    <row r="599" spans="14:21">
      <c r="N599" s="33"/>
      <c r="O599" s="62" t="str">
        <f>IFERROR(IFERROR(VLOOKUP(S599,soils2!$A$2:$D$8514,3,FALSE),VLOOKUP(N599,soils2!$B$2:$D$8514,2,FALSE)),"")</f>
        <v/>
      </c>
      <c r="P599" s="62"/>
      <c r="Q599" s="62"/>
      <c r="R599" s="34" t="str">
        <f>IFERROR(VLOOKUP(N599,soils2!$B$2:$D$8514,3),"")</f>
        <v/>
      </c>
      <c r="S599" s="62"/>
      <c r="T599" s="62"/>
      <c r="U599" s="33"/>
    </row>
    <row r="600" spans="14:21">
      <c r="N600" s="33"/>
      <c r="O600" s="62" t="str">
        <f>IFERROR(IFERROR(VLOOKUP(S600,soils2!$A$2:$D$8514,3,FALSE),VLOOKUP(N600,soils2!$B$2:$D$8514,2,FALSE)),"")</f>
        <v/>
      </c>
      <c r="P600" s="62"/>
      <c r="Q600" s="62"/>
      <c r="R600" s="34" t="str">
        <f>IFERROR(VLOOKUP(N600,soils2!$B$2:$D$8514,3),"")</f>
        <v/>
      </c>
      <c r="S600" s="62"/>
      <c r="T600" s="62"/>
      <c r="U600" s="33"/>
    </row>
  </sheetData>
  <sheetProtection selectLockedCells="1" selectUnlockedCells="1"/>
  <mergeCells count="1245">
    <mergeCell ref="S32:T32"/>
    <mergeCell ref="B50:D50"/>
    <mergeCell ref="F50:G50"/>
    <mergeCell ref="B51:D51"/>
    <mergeCell ref="F51:G51"/>
    <mergeCell ref="B52:D52"/>
    <mergeCell ref="F52:G52"/>
    <mergeCell ref="B53:D53"/>
    <mergeCell ref="A58:D58"/>
    <mergeCell ref="A59:D59"/>
    <mergeCell ref="I60:J60"/>
    <mergeCell ref="I61:J61"/>
    <mergeCell ref="G63:J63"/>
    <mergeCell ref="B55:D55"/>
    <mergeCell ref="F55:G55"/>
    <mergeCell ref="B56:D56"/>
    <mergeCell ref="F56:G56"/>
    <mergeCell ref="B57:D57"/>
    <mergeCell ref="F57:G57"/>
    <mergeCell ref="B38:D38"/>
    <mergeCell ref="F38:G38"/>
    <mergeCell ref="I38:I39"/>
    <mergeCell ref="B39:D39"/>
    <mergeCell ref="F39:G39"/>
    <mergeCell ref="B40:D40"/>
    <mergeCell ref="F40:G40"/>
    <mergeCell ref="I40:I41"/>
    <mergeCell ref="B41:D41"/>
    <mergeCell ref="F41:G41"/>
    <mergeCell ref="B42:D42"/>
    <mergeCell ref="F42:G42"/>
    <mergeCell ref="I42:I43"/>
    <mergeCell ref="O34:Q34"/>
    <mergeCell ref="O35:Q35"/>
    <mergeCell ref="O36:Q36"/>
    <mergeCell ref="O37:Q37"/>
    <mergeCell ref="B43:D43"/>
    <mergeCell ref="F43:G43"/>
    <mergeCell ref="F53:G53"/>
    <mergeCell ref="B54:D54"/>
    <mergeCell ref="F54:G54"/>
    <mergeCell ref="B44:D44"/>
    <mergeCell ref="F44:G44"/>
    <mergeCell ref="I44:I45"/>
    <mergeCell ref="B45:D45"/>
    <mergeCell ref="F45:G45"/>
    <mergeCell ref="B46:D46"/>
    <mergeCell ref="F46:G46"/>
    <mergeCell ref="I46:I47"/>
    <mergeCell ref="B47:D47"/>
    <mergeCell ref="F47:G47"/>
    <mergeCell ref="B48:D48"/>
    <mergeCell ref="F48:G48"/>
    <mergeCell ref="B49:D49"/>
    <mergeCell ref="F49:G49"/>
    <mergeCell ref="A22:F22"/>
    <mergeCell ref="A24:C24"/>
    <mergeCell ref="D24:F24"/>
    <mergeCell ref="A26:C26"/>
    <mergeCell ref="D26:F26"/>
    <mergeCell ref="A28:C28"/>
    <mergeCell ref="D28:F28"/>
    <mergeCell ref="A30:C30"/>
    <mergeCell ref="D30:F30"/>
    <mergeCell ref="A31:F31"/>
    <mergeCell ref="I31:K31"/>
    <mergeCell ref="I32:K32"/>
    <mergeCell ref="O32:Q32"/>
    <mergeCell ref="O38:Q38"/>
    <mergeCell ref="O39:Q39"/>
    <mergeCell ref="N29:U29"/>
    <mergeCell ref="B33:D33"/>
    <mergeCell ref="F33:G33"/>
    <mergeCell ref="I33:K33"/>
    <mergeCell ref="B34:D34"/>
    <mergeCell ref="F34:G34"/>
    <mergeCell ref="I34:J34"/>
    <mergeCell ref="B35:D35"/>
    <mergeCell ref="F35:G35"/>
    <mergeCell ref="I35:J35"/>
    <mergeCell ref="B36:D36"/>
    <mergeCell ref="F36:G36"/>
    <mergeCell ref="I36:I37"/>
    <mergeCell ref="B37:D37"/>
    <mergeCell ref="F37:G37"/>
    <mergeCell ref="O33:Q33"/>
    <mergeCell ref="S33:T33"/>
    <mergeCell ref="E3:G3"/>
    <mergeCell ref="D4:H4"/>
    <mergeCell ref="J4:K4"/>
    <mergeCell ref="C5:I5"/>
    <mergeCell ref="J5:K5"/>
    <mergeCell ref="E6:G6"/>
    <mergeCell ref="E7:G7"/>
    <mergeCell ref="J7:K7"/>
    <mergeCell ref="J8:K8"/>
    <mergeCell ref="D9:H9"/>
    <mergeCell ref="B13:E13"/>
    <mergeCell ref="F13:J13"/>
    <mergeCell ref="B14:E14"/>
    <mergeCell ref="F14:I14"/>
    <mergeCell ref="B15:E15"/>
    <mergeCell ref="F15:I15"/>
    <mergeCell ref="D16:I16"/>
    <mergeCell ref="O41:Q41"/>
    <mergeCell ref="O42:Q42"/>
    <mergeCell ref="O43:Q43"/>
    <mergeCell ref="O44:Q44"/>
    <mergeCell ref="O45:Q45"/>
    <mergeCell ref="O46:Q46"/>
    <mergeCell ref="O47:Q47"/>
    <mergeCell ref="O48:Q48"/>
    <mergeCell ref="S55:T55"/>
    <mergeCell ref="S56:T56"/>
    <mergeCell ref="S57:T57"/>
    <mergeCell ref="S58:T58"/>
    <mergeCell ref="S59:T59"/>
    <mergeCell ref="S60:T60"/>
    <mergeCell ref="D17:K17"/>
    <mergeCell ref="B12:E12"/>
    <mergeCell ref="F12:J12"/>
    <mergeCell ref="A16:C17"/>
    <mergeCell ref="A18:C18"/>
    <mergeCell ref="D18:I18"/>
    <mergeCell ref="J18:K18"/>
    <mergeCell ref="A19:C19"/>
    <mergeCell ref="D19:I19"/>
    <mergeCell ref="J19:K19"/>
    <mergeCell ref="A20:A21"/>
    <mergeCell ref="D20:F20"/>
    <mergeCell ref="O51:Q51"/>
    <mergeCell ref="O52:Q52"/>
    <mergeCell ref="O53:Q53"/>
    <mergeCell ref="O54:Q54"/>
    <mergeCell ref="O55:Q55"/>
    <mergeCell ref="G20:J20"/>
    <mergeCell ref="O61:Q61"/>
    <mergeCell ref="O62:Q62"/>
    <mergeCell ref="O63:Q63"/>
    <mergeCell ref="O58:Q58"/>
    <mergeCell ref="O59:Q59"/>
    <mergeCell ref="O60:Q60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O49:Q49"/>
    <mergeCell ref="O50:Q50"/>
    <mergeCell ref="O56:Q56"/>
    <mergeCell ref="O57:Q57"/>
    <mergeCell ref="O40:Q40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O64:Q64"/>
    <mergeCell ref="O65:Q65"/>
    <mergeCell ref="O66:Q66"/>
    <mergeCell ref="O67:Q67"/>
    <mergeCell ref="O68:Q68"/>
    <mergeCell ref="O69:Q69"/>
    <mergeCell ref="O70:Q70"/>
    <mergeCell ref="O71:Q71"/>
    <mergeCell ref="O72:Q72"/>
    <mergeCell ref="O91:Q91"/>
    <mergeCell ref="O92:Q92"/>
    <mergeCell ref="O93:Q93"/>
    <mergeCell ref="O94:Q94"/>
    <mergeCell ref="O95:Q95"/>
    <mergeCell ref="O96:Q96"/>
    <mergeCell ref="O97:Q97"/>
    <mergeCell ref="O98:Q98"/>
    <mergeCell ref="O99:Q99"/>
    <mergeCell ref="O82:Q82"/>
    <mergeCell ref="O83:Q83"/>
    <mergeCell ref="O84:Q84"/>
    <mergeCell ref="O85:Q85"/>
    <mergeCell ref="O86:Q86"/>
    <mergeCell ref="O87:Q87"/>
    <mergeCell ref="O88:Q88"/>
    <mergeCell ref="O89:Q89"/>
    <mergeCell ref="O90:Q90"/>
    <mergeCell ref="O109:Q109"/>
    <mergeCell ref="O110:Q110"/>
    <mergeCell ref="O111:Q111"/>
    <mergeCell ref="O112:Q112"/>
    <mergeCell ref="O113:Q113"/>
    <mergeCell ref="O114:Q114"/>
    <mergeCell ref="O115:Q115"/>
    <mergeCell ref="O116:Q116"/>
    <mergeCell ref="O117:Q117"/>
    <mergeCell ref="O100:Q100"/>
    <mergeCell ref="O101:Q101"/>
    <mergeCell ref="O102:Q102"/>
    <mergeCell ref="O103:Q103"/>
    <mergeCell ref="O104:Q104"/>
    <mergeCell ref="O105:Q105"/>
    <mergeCell ref="O106:Q106"/>
    <mergeCell ref="O107:Q107"/>
    <mergeCell ref="O108:Q108"/>
    <mergeCell ref="O127:Q127"/>
    <mergeCell ref="O128:Q128"/>
    <mergeCell ref="O129:Q129"/>
    <mergeCell ref="O130:Q130"/>
    <mergeCell ref="O131:Q131"/>
    <mergeCell ref="O132:Q132"/>
    <mergeCell ref="O133:Q133"/>
    <mergeCell ref="O134:Q134"/>
    <mergeCell ref="O135:Q135"/>
    <mergeCell ref="O118:Q118"/>
    <mergeCell ref="O119:Q119"/>
    <mergeCell ref="O120:Q120"/>
    <mergeCell ref="O121:Q121"/>
    <mergeCell ref="O122:Q122"/>
    <mergeCell ref="O123:Q123"/>
    <mergeCell ref="O124:Q124"/>
    <mergeCell ref="O125:Q125"/>
    <mergeCell ref="O126:Q126"/>
    <mergeCell ref="O145:Q145"/>
    <mergeCell ref="O146:Q146"/>
    <mergeCell ref="O147:Q147"/>
    <mergeCell ref="O148:Q148"/>
    <mergeCell ref="O149:Q149"/>
    <mergeCell ref="O150:Q150"/>
    <mergeCell ref="O151:Q151"/>
    <mergeCell ref="O152:Q152"/>
    <mergeCell ref="O153:Q153"/>
    <mergeCell ref="O136:Q136"/>
    <mergeCell ref="O137:Q137"/>
    <mergeCell ref="O138:Q138"/>
    <mergeCell ref="O139:Q139"/>
    <mergeCell ref="O140:Q140"/>
    <mergeCell ref="O141:Q141"/>
    <mergeCell ref="O142:Q142"/>
    <mergeCell ref="O143:Q143"/>
    <mergeCell ref="O144:Q144"/>
    <mergeCell ref="O163:Q163"/>
    <mergeCell ref="O164:Q164"/>
    <mergeCell ref="O165:Q165"/>
    <mergeCell ref="O166:Q166"/>
    <mergeCell ref="O167:Q167"/>
    <mergeCell ref="O168:Q168"/>
    <mergeCell ref="O169:Q169"/>
    <mergeCell ref="O170:Q170"/>
    <mergeCell ref="O171:Q171"/>
    <mergeCell ref="O154:Q154"/>
    <mergeCell ref="O155:Q155"/>
    <mergeCell ref="O156:Q156"/>
    <mergeCell ref="O157:Q157"/>
    <mergeCell ref="O158:Q158"/>
    <mergeCell ref="O159:Q159"/>
    <mergeCell ref="O160:Q160"/>
    <mergeCell ref="O161:Q161"/>
    <mergeCell ref="O162:Q162"/>
    <mergeCell ref="O181:Q181"/>
    <mergeCell ref="O182:Q182"/>
    <mergeCell ref="O183:Q183"/>
    <mergeCell ref="O184:Q184"/>
    <mergeCell ref="O185:Q185"/>
    <mergeCell ref="O186:Q186"/>
    <mergeCell ref="O187:Q187"/>
    <mergeCell ref="O188:Q188"/>
    <mergeCell ref="O189:Q189"/>
    <mergeCell ref="O172:Q172"/>
    <mergeCell ref="O173:Q173"/>
    <mergeCell ref="O174:Q174"/>
    <mergeCell ref="O175:Q175"/>
    <mergeCell ref="O176:Q176"/>
    <mergeCell ref="O177:Q177"/>
    <mergeCell ref="O178:Q178"/>
    <mergeCell ref="O179:Q179"/>
    <mergeCell ref="O180:Q180"/>
    <mergeCell ref="O199:Q199"/>
    <mergeCell ref="O200:Q200"/>
    <mergeCell ref="O201:Q201"/>
    <mergeCell ref="O202:Q202"/>
    <mergeCell ref="O203:Q203"/>
    <mergeCell ref="O204:Q204"/>
    <mergeCell ref="O205:Q205"/>
    <mergeCell ref="O206:Q206"/>
    <mergeCell ref="O207:Q207"/>
    <mergeCell ref="O190:Q190"/>
    <mergeCell ref="O191:Q191"/>
    <mergeCell ref="O192:Q192"/>
    <mergeCell ref="O193:Q193"/>
    <mergeCell ref="O194:Q194"/>
    <mergeCell ref="O195:Q195"/>
    <mergeCell ref="O196:Q196"/>
    <mergeCell ref="O197:Q197"/>
    <mergeCell ref="O198:Q198"/>
    <mergeCell ref="O217:Q217"/>
    <mergeCell ref="O218:Q218"/>
    <mergeCell ref="O219:Q219"/>
    <mergeCell ref="O220:Q220"/>
    <mergeCell ref="O221:Q221"/>
    <mergeCell ref="O222:Q222"/>
    <mergeCell ref="O223:Q223"/>
    <mergeCell ref="O224:Q224"/>
    <mergeCell ref="O225:Q225"/>
    <mergeCell ref="O208:Q208"/>
    <mergeCell ref="O209:Q209"/>
    <mergeCell ref="O210:Q210"/>
    <mergeCell ref="O211:Q211"/>
    <mergeCell ref="O212:Q212"/>
    <mergeCell ref="O213:Q213"/>
    <mergeCell ref="O214:Q214"/>
    <mergeCell ref="O215:Q215"/>
    <mergeCell ref="O216:Q216"/>
    <mergeCell ref="O235:Q235"/>
    <mergeCell ref="O236:Q236"/>
    <mergeCell ref="O237:Q237"/>
    <mergeCell ref="O238:Q238"/>
    <mergeCell ref="O239:Q239"/>
    <mergeCell ref="O240:Q240"/>
    <mergeCell ref="O241:Q241"/>
    <mergeCell ref="O242:Q242"/>
    <mergeCell ref="O243:Q243"/>
    <mergeCell ref="O226:Q226"/>
    <mergeCell ref="O227:Q227"/>
    <mergeCell ref="O228:Q228"/>
    <mergeCell ref="O229:Q229"/>
    <mergeCell ref="O230:Q230"/>
    <mergeCell ref="O231:Q231"/>
    <mergeCell ref="O232:Q232"/>
    <mergeCell ref="O233:Q233"/>
    <mergeCell ref="O234:Q234"/>
    <mergeCell ref="O253:Q253"/>
    <mergeCell ref="O254:Q254"/>
    <mergeCell ref="O255:Q255"/>
    <mergeCell ref="O256:Q256"/>
    <mergeCell ref="O257:Q257"/>
    <mergeCell ref="O258:Q258"/>
    <mergeCell ref="O259:Q259"/>
    <mergeCell ref="O260:Q260"/>
    <mergeCell ref="O261:Q261"/>
    <mergeCell ref="O244:Q244"/>
    <mergeCell ref="O245:Q245"/>
    <mergeCell ref="O246:Q246"/>
    <mergeCell ref="O247:Q247"/>
    <mergeCell ref="O248:Q248"/>
    <mergeCell ref="O249:Q249"/>
    <mergeCell ref="O250:Q250"/>
    <mergeCell ref="O251:Q251"/>
    <mergeCell ref="O252:Q252"/>
    <mergeCell ref="O271:Q271"/>
    <mergeCell ref="O272:Q272"/>
    <mergeCell ref="O273:Q273"/>
    <mergeCell ref="O274:Q274"/>
    <mergeCell ref="O275:Q275"/>
    <mergeCell ref="O276:Q276"/>
    <mergeCell ref="O277:Q277"/>
    <mergeCell ref="O278:Q278"/>
    <mergeCell ref="O279:Q279"/>
    <mergeCell ref="O262:Q262"/>
    <mergeCell ref="O263:Q263"/>
    <mergeCell ref="O264:Q264"/>
    <mergeCell ref="O265:Q265"/>
    <mergeCell ref="O266:Q266"/>
    <mergeCell ref="O267:Q267"/>
    <mergeCell ref="O268:Q268"/>
    <mergeCell ref="O269:Q269"/>
    <mergeCell ref="O270:Q270"/>
    <mergeCell ref="O289:Q289"/>
    <mergeCell ref="O290:Q290"/>
    <mergeCell ref="O291:Q291"/>
    <mergeCell ref="O292:Q292"/>
    <mergeCell ref="O293:Q293"/>
    <mergeCell ref="O294:Q294"/>
    <mergeCell ref="O295:Q295"/>
    <mergeCell ref="O296:Q296"/>
    <mergeCell ref="O297:Q297"/>
    <mergeCell ref="O280:Q280"/>
    <mergeCell ref="O281:Q281"/>
    <mergeCell ref="O282:Q282"/>
    <mergeCell ref="O283:Q283"/>
    <mergeCell ref="O284:Q284"/>
    <mergeCell ref="O285:Q285"/>
    <mergeCell ref="O286:Q286"/>
    <mergeCell ref="O287:Q287"/>
    <mergeCell ref="O288:Q288"/>
    <mergeCell ref="O307:Q307"/>
    <mergeCell ref="O308:Q308"/>
    <mergeCell ref="O309:Q309"/>
    <mergeCell ref="O310:Q310"/>
    <mergeCell ref="O311:Q311"/>
    <mergeCell ref="O312:Q312"/>
    <mergeCell ref="O313:Q313"/>
    <mergeCell ref="O314:Q314"/>
    <mergeCell ref="O315:Q315"/>
    <mergeCell ref="O298:Q298"/>
    <mergeCell ref="O299:Q299"/>
    <mergeCell ref="O300:Q300"/>
    <mergeCell ref="O301:Q301"/>
    <mergeCell ref="O302:Q302"/>
    <mergeCell ref="O303:Q303"/>
    <mergeCell ref="O304:Q304"/>
    <mergeCell ref="O305:Q305"/>
    <mergeCell ref="O306:Q306"/>
    <mergeCell ref="O325:Q325"/>
    <mergeCell ref="O326:Q326"/>
    <mergeCell ref="O327:Q327"/>
    <mergeCell ref="O328:Q328"/>
    <mergeCell ref="O329:Q329"/>
    <mergeCell ref="O330:Q330"/>
    <mergeCell ref="O331:Q331"/>
    <mergeCell ref="O332:Q332"/>
    <mergeCell ref="O333:Q333"/>
    <mergeCell ref="O316:Q316"/>
    <mergeCell ref="O317:Q317"/>
    <mergeCell ref="O318:Q318"/>
    <mergeCell ref="O319:Q319"/>
    <mergeCell ref="O320:Q320"/>
    <mergeCell ref="O321:Q321"/>
    <mergeCell ref="O322:Q322"/>
    <mergeCell ref="O323:Q323"/>
    <mergeCell ref="O324:Q324"/>
    <mergeCell ref="O343:Q343"/>
    <mergeCell ref="O344:Q344"/>
    <mergeCell ref="O345:Q345"/>
    <mergeCell ref="O346:Q346"/>
    <mergeCell ref="O347:Q347"/>
    <mergeCell ref="O348:Q348"/>
    <mergeCell ref="O349:Q349"/>
    <mergeCell ref="O350:Q350"/>
    <mergeCell ref="O351:Q351"/>
    <mergeCell ref="O334:Q334"/>
    <mergeCell ref="O335:Q335"/>
    <mergeCell ref="O336:Q336"/>
    <mergeCell ref="O337:Q337"/>
    <mergeCell ref="O338:Q338"/>
    <mergeCell ref="O339:Q339"/>
    <mergeCell ref="O340:Q340"/>
    <mergeCell ref="O341:Q341"/>
    <mergeCell ref="O342:Q342"/>
    <mergeCell ref="O361:Q361"/>
    <mergeCell ref="O362:Q362"/>
    <mergeCell ref="O363:Q363"/>
    <mergeCell ref="O364:Q364"/>
    <mergeCell ref="O365:Q365"/>
    <mergeCell ref="O366:Q366"/>
    <mergeCell ref="O367:Q367"/>
    <mergeCell ref="O368:Q368"/>
    <mergeCell ref="O369:Q369"/>
    <mergeCell ref="O352:Q352"/>
    <mergeCell ref="O353:Q353"/>
    <mergeCell ref="O354:Q354"/>
    <mergeCell ref="O355:Q355"/>
    <mergeCell ref="O356:Q356"/>
    <mergeCell ref="O357:Q357"/>
    <mergeCell ref="O358:Q358"/>
    <mergeCell ref="O359:Q359"/>
    <mergeCell ref="O360:Q360"/>
    <mergeCell ref="O379:Q379"/>
    <mergeCell ref="O380:Q380"/>
    <mergeCell ref="O381:Q381"/>
    <mergeCell ref="O382:Q382"/>
    <mergeCell ref="O383:Q383"/>
    <mergeCell ref="O384:Q384"/>
    <mergeCell ref="O385:Q385"/>
    <mergeCell ref="O386:Q386"/>
    <mergeCell ref="O387:Q387"/>
    <mergeCell ref="O370:Q370"/>
    <mergeCell ref="O371:Q371"/>
    <mergeCell ref="O372:Q372"/>
    <mergeCell ref="O373:Q373"/>
    <mergeCell ref="O374:Q374"/>
    <mergeCell ref="O375:Q375"/>
    <mergeCell ref="O376:Q376"/>
    <mergeCell ref="O377:Q377"/>
    <mergeCell ref="O378:Q378"/>
    <mergeCell ref="O397:Q397"/>
    <mergeCell ref="O398:Q398"/>
    <mergeCell ref="O399:Q399"/>
    <mergeCell ref="O400:Q400"/>
    <mergeCell ref="O401:Q401"/>
    <mergeCell ref="O402:Q402"/>
    <mergeCell ref="O403:Q403"/>
    <mergeCell ref="O404:Q404"/>
    <mergeCell ref="O405:Q405"/>
    <mergeCell ref="O388:Q388"/>
    <mergeCell ref="O389:Q389"/>
    <mergeCell ref="O390:Q390"/>
    <mergeCell ref="O391:Q391"/>
    <mergeCell ref="O392:Q392"/>
    <mergeCell ref="O393:Q393"/>
    <mergeCell ref="O394:Q394"/>
    <mergeCell ref="O395:Q395"/>
    <mergeCell ref="O396:Q396"/>
    <mergeCell ref="O415:Q415"/>
    <mergeCell ref="O416:Q416"/>
    <mergeCell ref="O417:Q417"/>
    <mergeCell ref="O418:Q418"/>
    <mergeCell ref="O419:Q419"/>
    <mergeCell ref="O420:Q420"/>
    <mergeCell ref="O421:Q421"/>
    <mergeCell ref="O422:Q422"/>
    <mergeCell ref="O423:Q423"/>
    <mergeCell ref="O406:Q406"/>
    <mergeCell ref="O407:Q407"/>
    <mergeCell ref="O408:Q408"/>
    <mergeCell ref="O409:Q409"/>
    <mergeCell ref="O410:Q410"/>
    <mergeCell ref="O411:Q411"/>
    <mergeCell ref="O412:Q412"/>
    <mergeCell ref="O413:Q413"/>
    <mergeCell ref="O414:Q414"/>
    <mergeCell ref="O433:Q433"/>
    <mergeCell ref="O434:Q434"/>
    <mergeCell ref="O435:Q435"/>
    <mergeCell ref="O436:Q436"/>
    <mergeCell ref="O437:Q437"/>
    <mergeCell ref="O438:Q438"/>
    <mergeCell ref="O439:Q439"/>
    <mergeCell ref="O440:Q440"/>
    <mergeCell ref="O441:Q441"/>
    <mergeCell ref="O424:Q424"/>
    <mergeCell ref="O425:Q425"/>
    <mergeCell ref="O426:Q426"/>
    <mergeCell ref="O427:Q427"/>
    <mergeCell ref="O428:Q428"/>
    <mergeCell ref="O429:Q429"/>
    <mergeCell ref="O430:Q430"/>
    <mergeCell ref="O431:Q431"/>
    <mergeCell ref="O432:Q432"/>
    <mergeCell ref="O451:Q451"/>
    <mergeCell ref="O452:Q452"/>
    <mergeCell ref="O453:Q453"/>
    <mergeCell ref="O454:Q454"/>
    <mergeCell ref="O455:Q455"/>
    <mergeCell ref="O456:Q456"/>
    <mergeCell ref="O457:Q457"/>
    <mergeCell ref="O458:Q458"/>
    <mergeCell ref="O459:Q459"/>
    <mergeCell ref="O442:Q442"/>
    <mergeCell ref="O443:Q443"/>
    <mergeCell ref="O444:Q444"/>
    <mergeCell ref="O445:Q445"/>
    <mergeCell ref="O446:Q446"/>
    <mergeCell ref="O447:Q447"/>
    <mergeCell ref="O448:Q448"/>
    <mergeCell ref="O449:Q449"/>
    <mergeCell ref="O450:Q450"/>
    <mergeCell ref="O469:Q469"/>
    <mergeCell ref="O470:Q470"/>
    <mergeCell ref="O471:Q471"/>
    <mergeCell ref="O472:Q472"/>
    <mergeCell ref="O473:Q473"/>
    <mergeCell ref="O474:Q474"/>
    <mergeCell ref="O475:Q475"/>
    <mergeCell ref="O476:Q476"/>
    <mergeCell ref="O477:Q477"/>
    <mergeCell ref="O460:Q460"/>
    <mergeCell ref="O461:Q461"/>
    <mergeCell ref="O462:Q462"/>
    <mergeCell ref="O463:Q463"/>
    <mergeCell ref="O464:Q464"/>
    <mergeCell ref="O465:Q465"/>
    <mergeCell ref="O466:Q466"/>
    <mergeCell ref="O467:Q467"/>
    <mergeCell ref="O468:Q468"/>
    <mergeCell ref="O487:Q487"/>
    <mergeCell ref="O488:Q488"/>
    <mergeCell ref="O489:Q489"/>
    <mergeCell ref="O490:Q490"/>
    <mergeCell ref="O491:Q491"/>
    <mergeCell ref="O492:Q492"/>
    <mergeCell ref="O493:Q493"/>
    <mergeCell ref="O494:Q494"/>
    <mergeCell ref="O495:Q495"/>
    <mergeCell ref="O478:Q478"/>
    <mergeCell ref="O479:Q479"/>
    <mergeCell ref="O480:Q480"/>
    <mergeCell ref="O481:Q481"/>
    <mergeCell ref="O482:Q482"/>
    <mergeCell ref="O483:Q483"/>
    <mergeCell ref="O484:Q484"/>
    <mergeCell ref="O485:Q485"/>
    <mergeCell ref="O486:Q486"/>
    <mergeCell ref="O505:Q505"/>
    <mergeCell ref="O506:Q506"/>
    <mergeCell ref="O507:Q507"/>
    <mergeCell ref="O508:Q508"/>
    <mergeCell ref="O509:Q509"/>
    <mergeCell ref="O510:Q510"/>
    <mergeCell ref="O511:Q511"/>
    <mergeCell ref="O512:Q512"/>
    <mergeCell ref="O513:Q513"/>
    <mergeCell ref="O496:Q496"/>
    <mergeCell ref="O497:Q497"/>
    <mergeCell ref="O498:Q498"/>
    <mergeCell ref="O499:Q499"/>
    <mergeCell ref="O500:Q500"/>
    <mergeCell ref="O501:Q501"/>
    <mergeCell ref="O502:Q502"/>
    <mergeCell ref="O503:Q503"/>
    <mergeCell ref="O504:Q504"/>
    <mergeCell ref="O523:Q523"/>
    <mergeCell ref="O524:Q524"/>
    <mergeCell ref="O525:Q525"/>
    <mergeCell ref="O526:Q526"/>
    <mergeCell ref="O527:Q527"/>
    <mergeCell ref="O528:Q528"/>
    <mergeCell ref="O529:Q529"/>
    <mergeCell ref="O530:Q530"/>
    <mergeCell ref="O531:Q531"/>
    <mergeCell ref="O514:Q514"/>
    <mergeCell ref="O515:Q515"/>
    <mergeCell ref="O516:Q516"/>
    <mergeCell ref="O517:Q517"/>
    <mergeCell ref="O518:Q518"/>
    <mergeCell ref="O519:Q519"/>
    <mergeCell ref="O520:Q520"/>
    <mergeCell ref="O521:Q521"/>
    <mergeCell ref="O522:Q522"/>
    <mergeCell ref="O541:Q541"/>
    <mergeCell ref="O542:Q542"/>
    <mergeCell ref="O543:Q543"/>
    <mergeCell ref="O544:Q544"/>
    <mergeCell ref="O545:Q545"/>
    <mergeCell ref="O546:Q546"/>
    <mergeCell ref="O547:Q547"/>
    <mergeCell ref="O548:Q548"/>
    <mergeCell ref="O549:Q549"/>
    <mergeCell ref="O532:Q532"/>
    <mergeCell ref="O533:Q533"/>
    <mergeCell ref="O534:Q534"/>
    <mergeCell ref="O535:Q535"/>
    <mergeCell ref="O536:Q536"/>
    <mergeCell ref="O537:Q537"/>
    <mergeCell ref="O538:Q538"/>
    <mergeCell ref="O539:Q539"/>
    <mergeCell ref="O540:Q540"/>
    <mergeCell ref="O559:Q559"/>
    <mergeCell ref="O560:Q560"/>
    <mergeCell ref="O561:Q561"/>
    <mergeCell ref="O562:Q562"/>
    <mergeCell ref="O563:Q563"/>
    <mergeCell ref="O564:Q564"/>
    <mergeCell ref="O565:Q565"/>
    <mergeCell ref="O566:Q566"/>
    <mergeCell ref="O567:Q567"/>
    <mergeCell ref="O550:Q550"/>
    <mergeCell ref="O551:Q551"/>
    <mergeCell ref="O552:Q552"/>
    <mergeCell ref="O553:Q553"/>
    <mergeCell ref="O554:Q554"/>
    <mergeCell ref="O555:Q555"/>
    <mergeCell ref="O556:Q556"/>
    <mergeCell ref="O557:Q557"/>
    <mergeCell ref="O558:Q558"/>
    <mergeCell ref="O594:Q594"/>
    <mergeCell ref="O577:Q577"/>
    <mergeCell ref="O578:Q578"/>
    <mergeCell ref="O579:Q579"/>
    <mergeCell ref="O580:Q580"/>
    <mergeCell ref="O581:Q581"/>
    <mergeCell ref="O582:Q582"/>
    <mergeCell ref="O583:Q583"/>
    <mergeCell ref="O584:Q584"/>
    <mergeCell ref="O585:Q585"/>
    <mergeCell ref="O568:Q568"/>
    <mergeCell ref="O569:Q569"/>
    <mergeCell ref="O570:Q570"/>
    <mergeCell ref="O571:Q571"/>
    <mergeCell ref="O572:Q572"/>
    <mergeCell ref="O573:Q573"/>
    <mergeCell ref="O574:Q574"/>
    <mergeCell ref="O575:Q575"/>
    <mergeCell ref="O576:Q576"/>
    <mergeCell ref="O595:Q595"/>
    <mergeCell ref="O596:Q596"/>
    <mergeCell ref="O597:Q597"/>
    <mergeCell ref="O598:Q598"/>
    <mergeCell ref="O599:Q599"/>
    <mergeCell ref="O600:Q60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O586:Q586"/>
    <mergeCell ref="O587:Q587"/>
    <mergeCell ref="O588:Q588"/>
    <mergeCell ref="O589:Q589"/>
    <mergeCell ref="O590:Q590"/>
    <mergeCell ref="O591:Q591"/>
    <mergeCell ref="O592:Q592"/>
    <mergeCell ref="O593:Q593"/>
    <mergeCell ref="S88:T88"/>
    <mergeCell ref="S89:T89"/>
    <mergeCell ref="S90:T90"/>
    <mergeCell ref="S91:T91"/>
    <mergeCell ref="S92:T92"/>
    <mergeCell ref="S93:T93"/>
    <mergeCell ref="S94:T94"/>
    <mergeCell ref="S95:T95"/>
    <mergeCell ref="S96:T96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106:T106"/>
    <mergeCell ref="S107:T107"/>
    <mergeCell ref="S108:T108"/>
    <mergeCell ref="S109:T109"/>
    <mergeCell ref="S110:T110"/>
    <mergeCell ref="S111:T111"/>
    <mergeCell ref="S112:T112"/>
    <mergeCell ref="S113:T113"/>
    <mergeCell ref="S114:T114"/>
    <mergeCell ref="S97:T97"/>
    <mergeCell ref="S98:T98"/>
    <mergeCell ref="S99:T99"/>
    <mergeCell ref="S100:T100"/>
    <mergeCell ref="S101:T101"/>
    <mergeCell ref="S102:T102"/>
    <mergeCell ref="S103:T103"/>
    <mergeCell ref="S104:T104"/>
    <mergeCell ref="S105:T105"/>
    <mergeCell ref="S124:T124"/>
    <mergeCell ref="S125:T125"/>
    <mergeCell ref="S126:T126"/>
    <mergeCell ref="S127:T127"/>
    <mergeCell ref="S128:T128"/>
    <mergeCell ref="S129:T129"/>
    <mergeCell ref="S130:T130"/>
    <mergeCell ref="S131:T131"/>
    <mergeCell ref="S132:T132"/>
    <mergeCell ref="S115:T115"/>
    <mergeCell ref="S116:T116"/>
    <mergeCell ref="S117:T117"/>
    <mergeCell ref="S118:T118"/>
    <mergeCell ref="S119:T119"/>
    <mergeCell ref="S120:T120"/>
    <mergeCell ref="S121:T121"/>
    <mergeCell ref="S122:T122"/>
    <mergeCell ref="S123:T123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0:T150"/>
    <mergeCell ref="S133:T133"/>
    <mergeCell ref="S134:T134"/>
    <mergeCell ref="S135:T135"/>
    <mergeCell ref="S136:T136"/>
    <mergeCell ref="S137:T137"/>
    <mergeCell ref="S138:T138"/>
    <mergeCell ref="S139:T139"/>
    <mergeCell ref="S140:T140"/>
    <mergeCell ref="S141:T141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78:T178"/>
    <mergeCell ref="S179:T179"/>
    <mergeCell ref="S180:T180"/>
    <mergeCell ref="S181:T181"/>
    <mergeCell ref="S182:T182"/>
    <mergeCell ref="S183:T183"/>
    <mergeCell ref="S184:T184"/>
    <mergeCell ref="S185:T185"/>
    <mergeCell ref="S186:T186"/>
    <mergeCell ref="S169:T169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96:T196"/>
    <mergeCell ref="S197:T197"/>
    <mergeCell ref="S198:T198"/>
    <mergeCell ref="S199:T199"/>
    <mergeCell ref="S200:T200"/>
    <mergeCell ref="S201:T201"/>
    <mergeCell ref="S202:T202"/>
    <mergeCell ref="S203:T203"/>
    <mergeCell ref="S204:T204"/>
    <mergeCell ref="S187:T187"/>
    <mergeCell ref="S188:T188"/>
    <mergeCell ref="S189:T189"/>
    <mergeCell ref="S190:T190"/>
    <mergeCell ref="S191:T191"/>
    <mergeCell ref="S192:T192"/>
    <mergeCell ref="S193:T193"/>
    <mergeCell ref="S194:T194"/>
    <mergeCell ref="S195:T195"/>
    <mergeCell ref="S214:T214"/>
    <mergeCell ref="S215:T215"/>
    <mergeCell ref="S216:T216"/>
    <mergeCell ref="S217:T217"/>
    <mergeCell ref="S218:T218"/>
    <mergeCell ref="S219:T219"/>
    <mergeCell ref="S220:T220"/>
    <mergeCell ref="S221:T221"/>
    <mergeCell ref="S222:T222"/>
    <mergeCell ref="S205:T205"/>
    <mergeCell ref="S206:T206"/>
    <mergeCell ref="S207:T207"/>
    <mergeCell ref="S208:T208"/>
    <mergeCell ref="S209:T209"/>
    <mergeCell ref="S210:T210"/>
    <mergeCell ref="S211:T211"/>
    <mergeCell ref="S212:T212"/>
    <mergeCell ref="S213:T213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0:T240"/>
    <mergeCell ref="S223:T223"/>
    <mergeCell ref="S224:T224"/>
    <mergeCell ref="S225:T225"/>
    <mergeCell ref="S226:T226"/>
    <mergeCell ref="S227:T227"/>
    <mergeCell ref="S228:T228"/>
    <mergeCell ref="S229:T229"/>
    <mergeCell ref="S230:T230"/>
    <mergeCell ref="S231:T231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68:T268"/>
    <mergeCell ref="S269:T269"/>
    <mergeCell ref="S270:T270"/>
    <mergeCell ref="S271:T271"/>
    <mergeCell ref="S272:T272"/>
    <mergeCell ref="S273:T273"/>
    <mergeCell ref="S274:T274"/>
    <mergeCell ref="S275:T275"/>
    <mergeCell ref="S276:T276"/>
    <mergeCell ref="S259:T259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86:T286"/>
    <mergeCell ref="S287:T287"/>
    <mergeCell ref="S288:T288"/>
    <mergeCell ref="S289:T289"/>
    <mergeCell ref="S290:T290"/>
    <mergeCell ref="S291:T291"/>
    <mergeCell ref="S292:T292"/>
    <mergeCell ref="S293:T293"/>
    <mergeCell ref="S294:T294"/>
    <mergeCell ref="S277:T277"/>
    <mergeCell ref="S278:T278"/>
    <mergeCell ref="S279:T279"/>
    <mergeCell ref="S280:T280"/>
    <mergeCell ref="S281:T281"/>
    <mergeCell ref="S282:T282"/>
    <mergeCell ref="S283:T283"/>
    <mergeCell ref="S284:T284"/>
    <mergeCell ref="S285:T285"/>
    <mergeCell ref="S304:T304"/>
    <mergeCell ref="S305:T305"/>
    <mergeCell ref="S306:T306"/>
    <mergeCell ref="S307:T307"/>
    <mergeCell ref="S308:T308"/>
    <mergeCell ref="S309:T309"/>
    <mergeCell ref="S310:T310"/>
    <mergeCell ref="S311:T311"/>
    <mergeCell ref="S312:T312"/>
    <mergeCell ref="S295:T295"/>
    <mergeCell ref="S296:T296"/>
    <mergeCell ref="S297:T297"/>
    <mergeCell ref="S298:T298"/>
    <mergeCell ref="S299:T299"/>
    <mergeCell ref="S300:T300"/>
    <mergeCell ref="S301:T301"/>
    <mergeCell ref="S302:T302"/>
    <mergeCell ref="S303:T303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0:T330"/>
    <mergeCell ref="S313:T313"/>
    <mergeCell ref="S314:T314"/>
    <mergeCell ref="S315:T315"/>
    <mergeCell ref="S316:T316"/>
    <mergeCell ref="S317:T317"/>
    <mergeCell ref="S318:T318"/>
    <mergeCell ref="S319:T319"/>
    <mergeCell ref="S320:T320"/>
    <mergeCell ref="S321:T321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58:T358"/>
    <mergeCell ref="S359:T359"/>
    <mergeCell ref="S360:T360"/>
    <mergeCell ref="S361:T361"/>
    <mergeCell ref="S362:T362"/>
    <mergeCell ref="S363:T363"/>
    <mergeCell ref="S364:T364"/>
    <mergeCell ref="S365:T365"/>
    <mergeCell ref="S366:T366"/>
    <mergeCell ref="S349:T349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76:T376"/>
    <mergeCell ref="S377:T377"/>
    <mergeCell ref="S378:T378"/>
    <mergeCell ref="S379:T379"/>
    <mergeCell ref="S380:T380"/>
    <mergeCell ref="S381:T381"/>
    <mergeCell ref="S382:T382"/>
    <mergeCell ref="S383:T383"/>
    <mergeCell ref="S384:T384"/>
    <mergeCell ref="S367:T367"/>
    <mergeCell ref="S368:T368"/>
    <mergeCell ref="S369:T369"/>
    <mergeCell ref="S370:T370"/>
    <mergeCell ref="S371:T371"/>
    <mergeCell ref="S372:T372"/>
    <mergeCell ref="S373:T373"/>
    <mergeCell ref="S374:T374"/>
    <mergeCell ref="S375:T375"/>
    <mergeCell ref="S394:T394"/>
    <mergeCell ref="S395:T395"/>
    <mergeCell ref="S396:T396"/>
    <mergeCell ref="S397:T397"/>
    <mergeCell ref="S398:T398"/>
    <mergeCell ref="S399:T399"/>
    <mergeCell ref="S400:T400"/>
    <mergeCell ref="S401:T401"/>
    <mergeCell ref="S402:T402"/>
    <mergeCell ref="S385:T385"/>
    <mergeCell ref="S386:T386"/>
    <mergeCell ref="S387:T387"/>
    <mergeCell ref="S388:T388"/>
    <mergeCell ref="S389:T389"/>
    <mergeCell ref="S390:T390"/>
    <mergeCell ref="S391:T391"/>
    <mergeCell ref="S392:T392"/>
    <mergeCell ref="S393:T393"/>
    <mergeCell ref="S412:T412"/>
    <mergeCell ref="S413:T413"/>
    <mergeCell ref="S414:T414"/>
    <mergeCell ref="S415:T415"/>
    <mergeCell ref="S416:T416"/>
    <mergeCell ref="S417:T417"/>
    <mergeCell ref="S418:T418"/>
    <mergeCell ref="S419:T419"/>
    <mergeCell ref="S420:T420"/>
    <mergeCell ref="S403:T403"/>
    <mergeCell ref="S404:T404"/>
    <mergeCell ref="S405:T405"/>
    <mergeCell ref="S406:T406"/>
    <mergeCell ref="S407:T407"/>
    <mergeCell ref="S408:T408"/>
    <mergeCell ref="S409:T409"/>
    <mergeCell ref="S410:T410"/>
    <mergeCell ref="S411:T411"/>
    <mergeCell ref="S430:T430"/>
    <mergeCell ref="S431:T431"/>
    <mergeCell ref="S432:T432"/>
    <mergeCell ref="S433:T433"/>
    <mergeCell ref="S434:T434"/>
    <mergeCell ref="S435:T435"/>
    <mergeCell ref="S436:T436"/>
    <mergeCell ref="S437:T437"/>
    <mergeCell ref="S438:T438"/>
    <mergeCell ref="S421:T421"/>
    <mergeCell ref="S422:T422"/>
    <mergeCell ref="S423:T423"/>
    <mergeCell ref="S424:T424"/>
    <mergeCell ref="S425:T425"/>
    <mergeCell ref="S426:T426"/>
    <mergeCell ref="S427:T427"/>
    <mergeCell ref="S428:T428"/>
    <mergeCell ref="S429:T429"/>
    <mergeCell ref="S448:T448"/>
    <mergeCell ref="S449:T449"/>
    <mergeCell ref="S450:T450"/>
    <mergeCell ref="S451:T451"/>
    <mergeCell ref="S452:T452"/>
    <mergeCell ref="S453:T453"/>
    <mergeCell ref="S454:T454"/>
    <mergeCell ref="S455:T455"/>
    <mergeCell ref="S456:T456"/>
    <mergeCell ref="S439:T439"/>
    <mergeCell ref="S440:T440"/>
    <mergeCell ref="S441:T441"/>
    <mergeCell ref="S442:T442"/>
    <mergeCell ref="S443:T443"/>
    <mergeCell ref="S444:T444"/>
    <mergeCell ref="S445:T445"/>
    <mergeCell ref="S446:T446"/>
    <mergeCell ref="S447:T447"/>
    <mergeCell ref="S466:T466"/>
    <mergeCell ref="S467:T467"/>
    <mergeCell ref="S468:T468"/>
    <mergeCell ref="S469:T469"/>
    <mergeCell ref="S470:T470"/>
    <mergeCell ref="S471:T471"/>
    <mergeCell ref="S472:T472"/>
    <mergeCell ref="S473:T473"/>
    <mergeCell ref="S474:T474"/>
    <mergeCell ref="S457:T457"/>
    <mergeCell ref="S458:T458"/>
    <mergeCell ref="S459:T459"/>
    <mergeCell ref="S460:T460"/>
    <mergeCell ref="S461:T461"/>
    <mergeCell ref="S462:T462"/>
    <mergeCell ref="S463:T463"/>
    <mergeCell ref="S464:T464"/>
    <mergeCell ref="S465:T465"/>
    <mergeCell ref="S484:T484"/>
    <mergeCell ref="S485:T485"/>
    <mergeCell ref="S486:T486"/>
    <mergeCell ref="S487:T487"/>
    <mergeCell ref="S488:T488"/>
    <mergeCell ref="S489:T489"/>
    <mergeCell ref="S490:T490"/>
    <mergeCell ref="S491:T491"/>
    <mergeCell ref="S492:T492"/>
    <mergeCell ref="S475:T475"/>
    <mergeCell ref="S476:T476"/>
    <mergeCell ref="S477:T477"/>
    <mergeCell ref="S478:T478"/>
    <mergeCell ref="S479:T479"/>
    <mergeCell ref="S480:T480"/>
    <mergeCell ref="S481:T481"/>
    <mergeCell ref="S482:T482"/>
    <mergeCell ref="S483:T483"/>
    <mergeCell ref="S502:T502"/>
    <mergeCell ref="S503:T503"/>
    <mergeCell ref="S504:T504"/>
    <mergeCell ref="S505:T505"/>
    <mergeCell ref="S506:T506"/>
    <mergeCell ref="S507:T507"/>
    <mergeCell ref="S508:T508"/>
    <mergeCell ref="S509:T509"/>
    <mergeCell ref="S510:T510"/>
    <mergeCell ref="S493:T493"/>
    <mergeCell ref="S494:T494"/>
    <mergeCell ref="S495:T495"/>
    <mergeCell ref="S496:T496"/>
    <mergeCell ref="S497:T497"/>
    <mergeCell ref="S498:T498"/>
    <mergeCell ref="S499:T499"/>
    <mergeCell ref="S500:T500"/>
    <mergeCell ref="S501:T501"/>
    <mergeCell ref="S520:T520"/>
    <mergeCell ref="S521:T521"/>
    <mergeCell ref="S522:T522"/>
    <mergeCell ref="S523:T523"/>
    <mergeCell ref="S524:T524"/>
    <mergeCell ref="S525:T525"/>
    <mergeCell ref="S526:T526"/>
    <mergeCell ref="S527:T527"/>
    <mergeCell ref="S528:T528"/>
    <mergeCell ref="S511:T511"/>
    <mergeCell ref="S512:T512"/>
    <mergeCell ref="S513:T513"/>
    <mergeCell ref="S514:T514"/>
    <mergeCell ref="S515:T515"/>
    <mergeCell ref="S516:T516"/>
    <mergeCell ref="S517:T517"/>
    <mergeCell ref="S518:T518"/>
    <mergeCell ref="S519:T519"/>
    <mergeCell ref="S538:T538"/>
    <mergeCell ref="S539:T539"/>
    <mergeCell ref="S540:T540"/>
    <mergeCell ref="S541:T541"/>
    <mergeCell ref="S542:T542"/>
    <mergeCell ref="S543:T543"/>
    <mergeCell ref="S544:T544"/>
    <mergeCell ref="S545:T545"/>
    <mergeCell ref="S546:T546"/>
    <mergeCell ref="S529:T529"/>
    <mergeCell ref="S530:T530"/>
    <mergeCell ref="S531:T531"/>
    <mergeCell ref="S532:T532"/>
    <mergeCell ref="S533:T533"/>
    <mergeCell ref="S534:T534"/>
    <mergeCell ref="S535:T535"/>
    <mergeCell ref="S536:T536"/>
    <mergeCell ref="S537:T537"/>
    <mergeCell ref="S556:T556"/>
    <mergeCell ref="S557:T557"/>
    <mergeCell ref="S558:T558"/>
    <mergeCell ref="S559:T559"/>
    <mergeCell ref="S560:T560"/>
    <mergeCell ref="S561:T561"/>
    <mergeCell ref="S562:T562"/>
    <mergeCell ref="S563:T563"/>
    <mergeCell ref="S564:T564"/>
    <mergeCell ref="S547:T547"/>
    <mergeCell ref="S548:T548"/>
    <mergeCell ref="S549:T549"/>
    <mergeCell ref="S550:T550"/>
    <mergeCell ref="S551:T551"/>
    <mergeCell ref="S552:T552"/>
    <mergeCell ref="S553:T553"/>
    <mergeCell ref="S554:T554"/>
    <mergeCell ref="S555:T555"/>
    <mergeCell ref="S574:T574"/>
    <mergeCell ref="S575:T575"/>
    <mergeCell ref="S576:T576"/>
    <mergeCell ref="S577:T577"/>
    <mergeCell ref="S578:T578"/>
    <mergeCell ref="S579:T579"/>
    <mergeCell ref="S580:T580"/>
    <mergeCell ref="S581:T581"/>
    <mergeCell ref="S582:T582"/>
    <mergeCell ref="S565:T565"/>
    <mergeCell ref="S566:T566"/>
    <mergeCell ref="S567:T567"/>
    <mergeCell ref="S568:T568"/>
    <mergeCell ref="S569:T569"/>
    <mergeCell ref="S570:T570"/>
    <mergeCell ref="S571:T571"/>
    <mergeCell ref="S572:T572"/>
    <mergeCell ref="S573:T573"/>
    <mergeCell ref="S592:T592"/>
    <mergeCell ref="S593:T593"/>
    <mergeCell ref="S594:T594"/>
    <mergeCell ref="S595:T595"/>
    <mergeCell ref="S596:T596"/>
    <mergeCell ref="S597:T597"/>
    <mergeCell ref="S598:T598"/>
    <mergeCell ref="S599:T599"/>
    <mergeCell ref="S600:T600"/>
    <mergeCell ref="S583:T583"/>
    <mergeCell ref="S584:T584"/>
    <mergeCell ref="S585:T585"/>
    <mergeCell ref="S586:T586"/>
    <mergeCell ref="S587:T587"/>
    <mergeCell ref="S588:T588"/>
    <mergeCell ref="S589:T589"/>
    <mergeCell ref="S590:T590"/>
    <mergeCell ref="S591:T591"/>
  </mergeCells>
  <conditionalFormatting sqref="D30:F30">
    <cfRule type="expression" dxfId="0" priority="2">
      <formula>ROUND($D$30,2)&lt;&gt;ROUND($K$30,2)</formula>
    </cfRule>
  </conditionalFormatting>
  <printOptions horizontalCentered="1" verticalCentered="1"/>
  <pageMargins left="0.20972222222222223" right="0.25" top="0.19027777777777777" bottom="0.25" header="0.51180555555555551" footer="0.51180555555555551"/>
  <pageSetup paperSize="5" scale="98" firstPageNumber="0" orientation="portrait" r:id="rId1"/>
  <headerFooter alignWithMargins="0"/>
  <rowBreaks count="1" manualBreakCount="1">
    <brk id="6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514"/>
  <sheetViews>
    <sheetView topLeftCell="A930" zoomScale="115" zoomScaleNormal="115" workbookViewId="0">
      <selection activeCell="A945" sqref="A945"/>
    </sheetView>
  </sheetViews>
  <sheetFormatPr defaultRowHeight="12.75"/>
  <cols>
    <col min="1" max="1" width="9.140625" style="51"/>
    <col min="2" max="2" width="6.7109375" bestFit="1" customWidth="1"/>
    <col min="3" max="3" width="51.85546875" style="39" bestFit="1" customWidth="1"/>
    <col min="4" max="4" width="5.85546875" bestFit="1" customWidth="1"/>
    <col min="5" max="5" width="9.140625" style="2"/>
    <col min="6" max="6" width="16.42578125" style="2" customWidth="1"/>
    <col min="7" max="7" width="14.42578125" style="43" bestFit="1" customWidth="1"/>
    <col min="8" max="8" width="14.42578125" style="43" customWidth="1"/>
    <col min="9" max="9" width="29.140625" bestFit="1" customWidth="1"/>
    <col min="10" max="10" width="22" style="43" bestFit="1" customWidth="1"/>
    <col min="12" max="12" width="29.140625" bestFit="1" customWidth="1"/>
    <col min="13" max="13" width="22.85546875" style="48" bestFit="1" customWidth="1"/>
  </cols>
  <sheetData>
    <row r="1" spans="1:13" s="2" customFormat="1">
      <c r="A1" s="59" t="s">
        <v>4242</v>
      </c>
      <c r="B1" s="60" t="s">
        <v>300</v>
      </c>
      <c r="C1" s="61" t="s">
        <v>301</v>
      </c>
      <c r="D1" s="60" t="s">
        <v>18</v>
      </c>
      <c r="M1" s="47"/>
    </row>
    <row r="2" spans="1:13" ht="15">
      <c r="A2" s="57">
        <v>293126</v>
      </c>
      <c r="B2" s="29" t="s">
        <v>303</v>
      </c>
      <c r="C2" s="58" t="s">
        <v>304</v>
      </c>
      <c r="D2" s="17">
        <v>9</v>
      </c>
      <c r="F2" s="56"/>
    </row>
    <row r="3" spans="1:13" ht="15">
      <c r="A3" s="49">
        <v>293127</v>
      </c>
      <c r="B3" s="33" t="s">
        <v>305</v>
      </c>
      <c r="C3" s="40" t="s">
        <v>306</v>
      </c>
      <c r="D3" s="34">
        <v>9</v>
      </c>
      <c r="F3" s="56"/>
    </row>
    <row r="4" spans="1:13" ht="15">
      <c r="A4" s="49">
        <v>289512</v>
      </c>
      <c r="B4" s="33">
        <v>1</v>
      </c>
      <c r="C4" s="40" t="s">
        <v>307</v>
      </c>
      <c r="D4" s="34">
        <v>9</v>
      </c>
      <c r="F4" s="56"/>
    </row>
    <row r="5" spans="1:13" ht="15">
      <c r="A5" s="49">
        <v>289617</v>
      </c>
      <c r="B5" s="33" t="s">
        <v>308</v>
      </c>
      <c r="C5" s="40" t="s">
        <v>309</v>
      </c>
      <c r="D5" s="34">
        <v>8</v>
      </c>
      <c r="F5" s="56"/>
    </row>
    <row r="6" spans="1:13" ht="15">
      <c r="A6" s="49">
        <v>289618</v>
      </c>
      <c r="B6" s="33" t="s">
        <v>310</v>
      </c>
      <c r="C6" s="40" t="s">
        <v>309</v>
      </c>
      <c r="D6" s="34">
        <v>9</v>
      </c>
      <c r="F6" s="56"/>
    </row>
    <row r="7" spans="1:13" ht="15">
      <c r="A7" s="49">
        <v>289369</v>
      </c>
      <c r="B7" s="33" t="s">
        <v>311</v>
      </c>
      <c r="C7" s="40" t="s">
        <v>312</v>
      </c>
      <c r="D7" s="34">
        <v>7</v>
      </c>
      <c r="F7" s="56"/>
    </row>
    <row r="8" spans="1:13" ht="15">
      <c r="A8" s="49">
        <v>289370</v>
      </c>
      <c r="B8" s="33" t="s">
        <v>313</v>
      </c>
      <c r="C8" s="40" t="s">
        <v>312</v>
      </c>
      <c r="D8" s="34">
        <v>8</v>
      </c>
      <c r="F8" s="56"/>
    </row>
    <row r="9" spans="1:13" ht="15">
      <c r="A9" s="49">
        <v>290659</v>
      </c>
      <c r="B9" s="33" t="s">
        <v>314</v>
      </c>
      <c r="C9" s="40" t="s">
        <v>315</v>
      </c>
      <c r="D9" s="34">
        <v>9</v>
      </c>
      <c r="F9" s="56"/>
    </row>
    <row r="10" spans="1:13" ht="15">
      <c r="A10" s="49">
        <v>290660</v>
      </c>
      <c r="B10" s="33" t="s">
        <v>316</v>
      </c>
      <c r="C10" s="40" t="s">
        <v>315</v>
      </c>
      <c r="D10" s="34">
        <v>9</v>
      </c>
      <c r="F10" s="56"/>
    </row>
    <row r="11" spans="1:13" ht="15">
      <c r="A11" s="49">
        <v>288688</v>
      </c>
      <c r="B11" s="33" t="s">
        <v>317</v>
      </c>
      <c r="C11" s="40" t="s">
        <v>318</v>
      </c>
      <c r="D11" s="34">
        <v>7</v>
      </c>
      <c r="F11" s="56"/>
    </row>
    <row r="12" spans="1:13" ht="15">
      <c r="A12" s="49">
        <v>288689</v>
      </c>
      <c r="B12" s="33" t="s">
        <v>319</v>
      </c>
      <c r="C12" s="40" t="s">
        <v>320</v>
      </c>
      <c r="D12" s="34" t="s">
        <v>4243</v>
      </c>
      <c r="F12" s="56"/>
    </row>
    <row r="13" spans="1:13" ht="15">
      <c r="A13" s="49">
        <v>288690</v>
      </c>
      <c r="B13" s="33" t="s">
        <v>321</v>
      </c>
      <c r="C13" s="40" t="s">
        <v>320</v>
      </c>
      <c r="D13" s="34" t="s">
        <v>4243</v>
      </c>
      <c r="F13" s="56"/>
    </row>
    <row r="14" spans="1:13" ht="15">
      <c r="A14" s="49">
        <v>288691</v>
      </c>
      <c r="B14" s="33" t="s">
        <v>322</v>
      </c>
      <c r="C14" s="40" t="s">
        <v>320</v>
      </c>
      <c r="D14" s="34">
        <v>7</v>
      </c>
      <c r="F14" s="56"/>
    </row>
    <row r="15" spans="1:13" ht="15">
      <c r="A15" s="49">
        <v>288692</v>
      </c>
      <c r="B15" s="33" t="s">
        <v>323</v>
      </c>
      <c r="C15" s="40" t="s">
        <v>324</v>
      </c>
      <c r="D15" s="34">
        <v>8</v>
      </c>
      <c r="F15" s="56"/>
    </row>
    <row r="16" spans="1:13" ht="15">
      <c r="A16" s="50">
        <v>288693</v>
      </c>
      <c r="B16" s="41" t="s">
        <v>325</v>
      </c>
      <c r="C16" s="40" t="s">
        <v>326</v>
      </c>
      <c r="D16" s="34">
        <v>8</v>
      </c>
      <c r="F16" s="56"/>
    </row>
    <row r="17" spans="1:6" ht="15">
      <c r="A17" s="50">
        <v>288694</v>
      </c>
      <c r="B17" s="41" t="s">
        <v>327</v>
      </c>
      <c r="C17" s="40" t="s">
        <v>326</v>
      </c>
      <c r="D17" s="42">
        <v>9</v>
      </c>
      <c r="F17" s="56"/>
    </row>
    <row r="18" spans="1:6" ht="15">
      <c r="A18" s="49">
        <v>288695</v>
      </c>
      <c r="B18" s="33" t="s">
        <v>328</v>
      </c>
      <c r="C18" s="40" t="s">
        <v>329</v>
      </c>
      <c r="D18" s="34">
        <v>7</v>
      </c>
      <c r="F18" s="56"/>
    </row>
    <row r="19" spans="1:6" ht="15">
      <c r="A19" s="49">
        <v>288696</v>
      </c>
      <c r="B19" s="33" t="s">
        <v>330</v>
      </c>
      <c r="C19" s="40" t="s">
        <v>331</v>
      </c>
      <c r="D19" s="34" t="s">
        <v>4244</v>
      </c>
      <c r="F19" s="56"/>
    </row>
    <row r="20" spans="1:6" ht="15">
      <c r="A20" s="49">
        <v>288697</v>
      </c>
      <c r="B20" s="33" t="s">
        <v>332</v>
      </c>
      <c r="C20" s="40" t="s">
        <v>331</v>
      </c>
      <c r="D20" s="34" t="s">
        <v>4244</v>
      </c>
      <c r="F20" s="56"/>
    </row>
    <row r="21" spans="1:6" ht="15">
      <c r="A21" s="49">
        <v>288698</v>
      </c>
      <c r="B21" s="33" t="s">
        <v>333</v>
      </c>
      <c r="C21" s="40" t="s">
        <v>331</v>
      </c>
      <c r="D21" s="34">
        <v>7</v>
      </c>
      <c r="F21" s="56"/>
    </row>
    <row r="22" spans="1:6" ht="15">
      <c r="A22" s="49">
        <v>288699</v>
      </c>
      <c r="B22" s="33" t="s">
        <v>334</v>
      </c>
      <c r="C22" s="40" t="s">
        <v>331</v>
      </c>
      <c r="D22" s="34">
        <v>8</v>
      </c>
      <c r="F22" s="56"/>
    </row>
    <row r="23" spans="1:6" ht="15">
      <c r="A23" s="49">
        <v>288700</v>
      </c>
      <c r="B23" s="33" t="s">
        <v>335</v>
      </c>
      <c r="C23" s="40" t="s">
        <v>336</v>
      </c>
      <c r="D23" s="34" t="s">
        <v>4243</v>
      </c>
      <c r="F23" s="56"/>
    </row>
    <row r="24" spans="1:6" ht="15">
      <c r="A24" s="49">
        <v>288701</v>
      </c>
      <c r="B24" s="33" t="s">
        <v>337</v>
      </c>
      <c r="C24" s="40" t="s">
        <v>336</v>
      </c>
      <c r="D24" s="34" t="s">
        <v>4243</v>
      </c>
      <c r="F24" s="56"/>
    </row>
    <row r="25" spans="1:6" ht="15">
      <c r="A25" s="49">
        <v>288702</v>
      </c>
      <c r="B25" s="33" t="s">
        <v>338</v>
      </c>
      <c r="C25" s="40" t="s">
        <v>104</v>
      </c>
      <c r="D25" s="34" t="s">
        <v>4243</v>
      </c>
      <c r="F25" s="56"/>
    </row>
    <row r="26" spans="1:6" ht="15">
      <c r="A26" s="49">
        <v>288703</v>
      </c>
      <c r="B26" s="33" t="s">
        <v>339</v>
      </c>
      <c r="C26" s="40" t="s">
        <v>106</v>
      </c>
      <c r="D26" s="34" t="s">
        <v>4245</v>
      </c>
      <c r="F26" s="56"/>
    </row>
    <row r="27" spans="1:6" ht="15">
      <c r="A27" s="49">
        <v>288704</v>
      </c>
      <c r="B27" s="33" t="s">
        <v>340</v>
      </c>
      <c r="C27" s="40" t="s">
        <v>106</v>
      </c>
      <c r="D27" s="34" t="s">
        <v>4245</v>
      </c>
      <c r="F27" s="56"/>
    </row>
    <row r="28" spans="1:6" ht="15">
      <c r="A28" s="49">
        <v>288705</v>
      </c>
      <c r="B28" s="33" t="s">
        <v>341</v>
      </c>
      <c r="C28" s="40" t="s">
        <v>342</v>
      </c>
      <c r="D28" s="34" t="s">
        <v>4246</v>
      </c>
      <c r="F28" s="56"/>
    </row>
    <row r="29" spans="1:6" ht="15">
      <c r="A29" s="49">
        <v>288706</v>
      </c>
      <c r="B29" s="33" t="s">
        <v>343</v>
      </c>
      <c r="C29" s="40" t="s">
        <v>342</v>
      </c>
      <c r="D29" s="34" t="s">
        <v>4244</v>
      </c>
      <c r="F29" s="56"/>
    </row>
    <row r="30" spans="1:6" ht="15">
      <c r="A30" s="49">
        <v>288707</v>
      </c>
      <c r="B30" s="33" t="s">
        <v>109</v>
      </c>
      <c r="C30" s="40" t="s">
        <v>108</v>
      </c>
      <c r="D30" s="34" t="s">
        <v>4245</v>
      </c>
      <c r="F30" s="56"/>
    </row>
    <row r="31" spans="1:6" ht="15">
      <c r="A31" s="49">
        <v>288708</v>
      </c>
      <c r="B31" s="33" t="s">
        <v>111</v>
      </c>
      <c r="C31" s="40" t="s">
        <v>108</v>
      </c>
      <c r="D31" s="34" t="s">
        <v>4245</v>
      </c>
      <c r="F31" s="56"/>
    </row>
    <row r="32" spans="1:6" ht="15">
      <c r="A32" s="49">
        <v>288709</v>
      </c>
      <c r="B32" s="33" t="s">
        <v>112</v>
      </c>
      <c r="C32" s="40" t="s">
        <v>108</v>
      </c>
      <c r="D32" s="34" t="s">
        <v>4244</v>
      </c>
      <c r="F32" s="56"/>
    </row>
    <row r="33" spans="1:6" ht="15">
      <c r="A33" s="49">
        <v>288710</v>
      </c>
      <c r="B33" s="33" t="s">
        <v>113</v>
      </c>
      <c r="C33" s="40" t="s">
        <v>108</v>
      </c>
      <c r="D33" s="34" t="s">
        <v>4243</v>
      </c>
      <c r="F33" s="56"/>
    </row>
    <row r="34" spans="1:6" ht="15">
      <c r="A34" s="49">
        <v>288711</v>
      </c>
      <c r="B34" s="33" t="s">
        <v>344</v>
      </c>
      <c r="C34" s="40" t="s">
        <v>108</v>
      </c>
      <c r="D34" s="34" t="s">
        <v>4245</v>
      </c>
      <c r="F34" s="56"/>
    </row>
    <row r="35" spans="1:6" ht="15">
      <c r="A35" s="49">
        <v>288712</v>
      </c>
      <c r="B35" s="33" t="s">
        <v>345</v>
      </c>
      <c r="C35" s="40" t="s">
        <v>346</v>
      </c>
      <c r="D35" s="34" t="s">
        <v>4246</v>
      </c>
      <c r="F35" s="56"/>
    </row>
    <row r="36" spans="1:6" ht="15">
      <c r="A36" s="49">
        <v>288713</v>
      </c>
      <c r="B36" s="33" t="s">
        <v>347</v>
      </c>
      <c r="C36" s="40" t="s">
        <v>346</v>
      </c>
      <c r="D36" s="34" t="s">
        <v>4246</v>
      </c>
      <c r="F36" s="56"/>
    </row>
    <row r="37" spans="1:6" ht="15">
      <c r="A37" s="49">
        <v>288714</v>
      </c>
      <c r="B37" s="33" t="s">
        <v>348</v>
      </c>
      <c r="C37" s="40" t="s">
        <v>349</v>
      </c>
      <c r="D37" s="34" t="s">
        <v>4247</v>
      </c>
      <c r="F37" s="56"/>
    </row>
    <row r="38" spans="1:6" ht="15">
      <c r="A38" s="49">
        <v>288715</v>
      </c>
      <c r="B38" s="33" t="s">
        <v>350</v>
      </c>
      <c r="C38" s="40" t="s">
        <v>349</v>
      </c>
      <c r="D38" s="34" t="s">
        <v>4247</v>
      </c>
      <c r="F38" s="56"/>
    </row>
    <row r="39" spans="1:6" ht="15">
      <c r="A39" s="49">
        <v>288716</v>
      </c>
      <c r="B39" s="33" t="s">
        <v>351</v>
      </c>
      <c r="C39" s="40" t="s">
        <v>349</v>
      </c>
      <c r="D39" s="34" t="s">
        <v>4243</v>
      </c>
      <c r="F39" s="56"/>
    </row>
    <row r="40" spans="1:6" ht="15">
      <c r="A40" s="49">
        <v>288717</v>
      </c>
      <c r="B40" s="33" t="s">
        <v>352</v>
      </c>
      <c r="C40" s="40" t="s">
        <v>349</v>
      </c>
      <c r="D40" s="34">
        <v>7</v>
      </c>
      <c r="F40" s="56"/>
    </row>
    <row r="41" spans="1:6" ht="15">
      <c r="A41" s="49">
        <v>288718</v>
      </c>
      <c r="B41" s="33" t="s">
        <v>353</v>
      </c>
      <c r="C41" s="40" t="s">
        <v>349</v>
      </c>
      <c r="D41" s="34">
        <v>8</v>
      </c>
      <c r="F41" s="56"/>
    </row>
    <row r="42" spans="1:6" ht="15">
      <c r="A42" s="49">
        <v>288719</v>
      </c>
      <c r="B42" s="33" t="s">
        <v>354</v>
      </c>
      <c r="C42" s="40" t="s">
        <v>355</v>
      </c>
      <c r="D42" s="34" t="s">
        <v>4247</v>
      </c>
      <c r="F42" s="56"/>
    </row>
    <row r="43" spans="1:6" ht="15">
      <c r="A43" s="49">
        <v>288720</v>
      </c>
      <c r="B43" s="33" t="s">
        <v>356</v>
      </c>
      <c r="C43" s="40" t="s">
        <v>357</v>
      </c>
      <c r="D43" s="34">
        <v>9</v>
      </c>
      <c r="F43" s="56"/>
    </row>
    <row r="44" spans="1:6" ht="15">
      <c r="A44" s="49">
        <v>288721</v>
      </c>
      <c r="B44" s="33" t="s">
        <v>358</v>
      </c>
      <c r="C44" s="40" t="s">
        <v>359</v>
      </c>
      <c r="D44" s="34" t="s">
        <v>4245</v>
      </c>
      <c r="F44" s="56"/>
    </row>
    <row r="45" spans="1:6" ht="15">
      <c r="A45" s="49">
        <v>288722</v>
      </c>
      <c r="B45" s="33" t="s">
        <v>360</v>
      </c>
      <c r="C45" s="40" t="s">
        <v>359</v>
      </c>
      <c r="D45" s="34" t="s">
        <v>4246</v>
      </c>
      <c r="F45" s="56"/>
    </row>
    <row r="46" spans="1:6" ht="15">
      <c r="A46" s="49">
        <v>288723</v>
      </c>
      <c r="B46" s="33" t="s">
        <v>361</v>
      </c>
      <c r="C46" s="40" t="s">
        <v>362</v>
      </c>
      <c r="D46" s="34" t="s">
        <v>4247</v>
      </c>
      <c r="F46" s="56"/>
    </row>
    <row r="47" spans="1:6" ht="15">
      <c r="A47" s="49">
        <v>288724</v>
      </c>
      <c r="B47" s="33" t="s">
        <v>363</v>
      </c>
      <c r="C47" s="40" t="s">
        <v>362</v>
      </c>
      <c r="D47" s="34" t="s">
        <v>4247</v>
      </c>
      <c r="F47" s="56"/>
    </row>
    <row r="48" spans="1:6" ht="15">
      <c r="A48" s="49">
        <v>288725</v>
      </c>
      <c r="B48" s="33" t="s">
        <v>131</v>
      </c>
      <c r="C48" s="40" t="s">
        <v>132</v>
      </c>
      <c r="D48" s="34" t="s">
        <v>471</v>
      </c>
      <c r="F48" s="56"/>
    </row>
    <row r="49" spans="1:6" ht="15">
      <c r="A49" s="49">
        <v>288726</v>
      </c>
      <c r="B49" s="33" t="s">
        <v>364</v>
      </c>
      <c r="C49" s="40" t="s">
        <v>134</v>
      </c>
      <c r="D49" s="34">
        <v>7</v>
      </c>
      <c r="F49" s="56"/>
    </row>
    <row r="50" spans="1:6" ht="15">
      <c r="A50" s="49">
        <v>288727</v>
      </c>
      <c r="B50" s="33" t="s">
        <v>365</v>
      </c>
      <c r="C50" s="40" t="s">
        <v>134</v>
      </c>
      <c r="D50" s="34">
        <v>8</v>
      </c>
      <c r="F50" s="56"/>
    </row>
    <row r="51" spans="1:6" ht="15">
      <c r="A51" s="49">
        <v>288728</v>
      </c>
      <c r="B51" s="33" t="s">
        <v>366</v>
      </c>
      <c r="C51" s="40" t="s">
        <v>134</v>
      </c>
      <c r="D51" s="34">
        <v>9</v>
      </c>
      <c r="F51" s="56"/>
    </row>
    <row r="52" spans="1:6" ht="15">
      <c r="A52" s="49">
        <v>288729</v>
      </c>
      <c r="B52" s="33" t="s">
        <v>367</v>
      </c>
      <c r="C52" s="40" t="s">
        <v>368</v>
      </c>
      <c r="D52" s="34">
        <v>8</v>
      </c>
      <c r="F52" s="56"/>
    </row>
    <row r="53" spans="1:6" ht="15">
      <c r="A53" s="49">
        <v>288730</v>
      </c>
      <c r="B53" s="33" t="s">
        <v>369</v>
      </c>
      <c r="C53" s="40" t="s">
        <v>138</v>
      </c>
      <c r="D53" s="34">
        <v>9</v>
      </c>
      <c r="F53" s="56"/>
    </row>
    <row r="54" spans="1:6" ht="15">
      <c r="A54" s="49">
        <v>288731</v>
      </c>
      <c r="B54" s="33" t="s">
        <v>370</v>
      </c>
      <c r="C54" s="40" t="s">
        <v>371</v>
      </c>
      <c r="D54" s="34">
        <v>8</v>
      </c>
      <c r="F54" s="56"/>
    </row>
    <row r="55" spans="1:6" ht="15">
      <c r="A55" s="49">
        <v>288732</v>
      </c>
      <c r="B55" s="33" t="s">
        <v>372</v>
      </c>
      <c r="C55" s="40" t="s">
        <v>373</v>
      </c>
      <c r="D55" s="34" t="s">
        <v>4248</v>
      </c>
      <c r="F55" s="56"/>
    </row>
    <row r="56" spans="1:6" ht="15">
      <c r="A56" s="49">
        <v>288733</v>
      </c>
      <c r="B56" s="33" t="s">
        <v>374</v>
      </c>
      <c r="C56" s="40" t="s">
        <v>375</v>
      </c>
      <c r="D56" s="34" t="s">
        <v>4243</v>
      </c>
      <c r="F56" s="56"/>
    </row>
    <row r="57" spans="1:6" ht="15">
      <c r="A57" s="49">
        <v>288734</v>
      </c>
      <c r="B57" s="33" t="s">
        <v>150</v>
      </c>
      <c r="C57" s="40" t="s">
        <v>375</v>
      </c>
      <c r="D57" s="34" t="s">
        <v>4243</v>
      </c>
      <c r="F57" s="56"/>
    </row>
    <row r="58" spans="1:6" ht="15">
      <c r="A58" s="49">
        <v>288735</v>
      </c>
      <c r="B58" s="33" t="s">
        <v>152</v>
      </c>
      <c r="C58" s="40" t="s">
        <v>375</v>
      </c>
      <c r="D58" s="34">
        <v>7</v>
      </c>
      <c r="F58" s="56"/>
    </row>
    <row r="59" spans="1:6" ht="15">
      <c r="A59" s="49">
        <v>288736</v>
      </c>
      <c r="B59" s="33" t="s">
        <v>376</v>
      </c>
      <c r="C59" s="40" t="s">
        <v>157</v>
      </c>
      <c r="D59" s="34" t="s">
        <v>4245</v>
      </c>
      <c r="F59" s="56"/>
    </row>
    <row r="60" spans="1:6" ht="15">
      <c r="A60" s="49">
        <v>288737</v>
      </c>
      <c r="B60" s="33" t="s">
        <v>377</v>
      </c>
      <c r="C60" s="40" t="s">
        <v>157</v>
      </c>
      <c r="D60" s="34" t="s">
        <v>4245</v>
      </c>
      <c r="F60" s="56"/>
    </row>
    <row r="61" spans="1:6" ht="15">
      <c r="A61" s="49">
        <v>288738</v>
      </c>
      <c r="B61" s="33" t="s">
        <v>378</v>
      </c>
      <c r="C61" s="40" t="s">
        <v>157</v>
      </c>
      <c r="D61" s="34" t="s">
        <v>4244</v>
      </c>
      <c r="F61" s="56"/>
    </row>
    <row r="62" spans="1:6" ht="15">
      <c r="A62" s="49">
        <v>288739</v>
      </c>
      <c r="B62" s="33" t="s">
        <v>379</v>
      </c>
      <c r="C62" s="40" t="s">
        <v>380</v>
      </c>
      <c r="D62" s="34" t="s">
        <v>4246</v>
      </c>
      <c r="F62" s="56"/>
    </row>
    <row r="63" spans="1:6" ht="15">
      <c r="A63" s="49">
        <v>288740</v>
      </c>
      <c r="B63" s="33" t="s">
        <v>381</v>
      </c>
      <c r="C63" s="40" t="s">
        <v>380</v>
      </c>
      <c r="D63" s="34" t="s">
        <v>4243</v>
      </c>
      <c r="F63" s="56"/>
    </row>
    <row r="64" spans="1:6" ht="15">
      <c r="A64" s="49">
        <v>288741</v>
      </c>
      <c r="B64" s="33" t="s">
        <v>382</v>
      </c>
      <c r="C64" s="40" t="s">
        <v>380</v>
      </c>
      <c r="D64" s="34">
        <v>7</v>
      </c>
      <c r="F64" s="56"/>
    </row>
    <row r="65" spans="1:6" ht="15">
      <c r="A65" s="49">
        <v>288742</v>
      </c>
      <c r="B65" s="33" t="s">
        <v>383</v>
      </c>
      <c r="C65" s="40" t="s">
        <v>380</v>
      </c>
      <c r="D65" s="34">
        <v>9</v>
      </c>
      <c r="F65" s="56"/>
    </row>
    <row r="66" spans="1:6" ht="15">
      <c r="A66" s="49">
        <v>288743</v>
      </c>
      <c r="B66" s="33" t="s">
        <v>384</v>
      </c>
      <c r="C66" s="40" t="s">
        <v>385</v>
      </c>
      <c r="D66" s="34">
        <v>7</v>
      </c>
      <c r="F66" s="56"/>
    </row>
    <row r="67" spans="1:6" ht="15">
      <c r="A67" s="49">
        <v>288744</v>
      </c>
      <c r="B67" s="33" t="s">
        <v>386</v>
      </c>
      <c r="C67" s="40" t="s">
        <v>387</v>
      </c>
      <c r="D67" s="34" t="s">
        <v>4243</v>
      </c>
      <c r="F67" s="56"/>
    </row>
    <row r="68" spans="1:6" ht="15">
      <c r="A68" s="49">
        <v>288745</v>
      </c>
      <c r="B68" s="33" t="s">
        <v>162</v>
      </c>
      <c r="C68" s="40" t="s">
        <v>161</v>
      </c>
      <c r="D68" s="34" t="s">
        <v>4243</v>
      </c>
      <c r="F68" s="56"/>
    </row>
    <row r="69" spans="1:6" ht="15">
      <c r="A69" s="49">
        <v>288746</v>
      </c>
      <c r="B69" s="33" t="s">
        <v>163</v>
      </c>
      <c r="C69" s="40" t="s">
        <v>161</v>
      </c>
      <c r="D69" s="34">
        <v>7</v>
      </c>
      <c r="F69" s="56"/>
    </row>
    <row r="70" spans="1:6" ht="15">
      <c r="A70" s="49">
        <v>288747</v>
      </c>
      <c r="B70" s="33" t="s">
        <v>388</v>
      </c>
      <c r="C70" s="40" t="s">
        <v>161</v>
      </c>
      <c r="D70" s="34">
        <v>8</v>
      </c>
      <c r="F70" s="56"/>
    </row>
    <row r="71" spans="1:6" ht="15">
      <c r="A71" s="49">
        <v>288748</v>
      </c>
      <c r="B71" s="33" t="s">
        <v>389</v>
      </c>
      <c r="C71" s="40" t="s">
        <v>390</v>
      </c>
      <c r="D71" s="34" t="s">
        <v>4247</v>
      </c>
      <c r="F71" s="56"/>
    </row>
    <row r="72" spans="1:6" ht="15">
      <c r="A72" s="49">
        <v>288749</v>
      </c>
      <c r="B72" s="33" t="s">
        <v>179</v>
      </c>
      <c r="C72" s="40" t="s">
        <v>390</v>
      </c>
      <c r="D72" s="34" t="s">
        <v>4244</v>
      </c>
      <c r="F72" s="56"/>
    </row>
    <row r="73" spans="1:6" ht="15">
      <c r="A73" s="49">
        <v>288750</v>
      </c>
      <c r="B73" s="33" t="s">
        <v>391</v>
      </c>
      <c r="C73" s="40" t="s">
        <v>390</v>
      </c>
      <c r="D73" s="34">
        <v>7</v>
      </c>
      <c r="F73" s="56"/>
    </row>
    <row r="74" spans="1:6" ht="15">
      <c r="A74" s="49">
        <v>288751</v>
      </c>
      <c r="B74" s="33" t="s">
        <v>392</v>
      </c>
      <c r="C74" s="40" t="s">
        <v>390</v>
      </c>
      <c r="D74" s="34">
        <v>8</v>
      </c>
      <c r="F74" s="56"/>
    </row>
    <row r="75" spans="1:6" ht="15">
      <c r="A75" s="49">
        <v>288752</v>
      </c>
      <c r="B75" s="33" t="s">
        <v>68</v>
      </c>
      <c r="C75" s="40" t="s">
        <v>180</v>
      </c>
      <c r="D75" s="34">
        <v>8</v>
      </c>
      <c r="F75" s="56"/>
    </row>
    <row r="76" spans="1:6" ht="15">
      <c r="A76" s="49">
        <v>288753</v>
      </c>
      <c r="B76" s="33" t="s">
        <v>393</v>
      </c>
      <c r="C76" s="40" t="s">
        <v>394</v>
      </c>
      <c r="D76" s="34">
        <v>7</v>
      </c>
      <c r="F76" s="56"/>
    </row>
    <row r="77" spans="1:6" ht="15">
      <c r="A77" s="49">
        <v>288754</v>
      </c>
      <c r="B77" s="33" t="s">
        <v>395</v>
      </c>
      <c r="C77" s="40" t="s">
        <v>189</v>
      </c>
      <c r="D77" s="34" t="s">
        <v>4247</v>
      </c>
      <c r="F77" s="56"/>
    </row>
    <row r="78" spans="1:6" ht="15">
      <c r="A78" s="49">
        <v>288755</v>
      </c>
      <c r="B78" s="33" t="s">
        <v>396</v>
      </c>
      <c r="C78" s="40" t="s">
        <v>189</v>
      </c>
      <c r="D78" s="34" t="s">
        <v>4243</v>
      </c>
      <c r="F78" s="56"/>
    </row>
    <row r="79" spans="1:6" ht="15">
      <c r="A79" s="49">
        <v>288756</v>
      </c>
      <c r="B79" s="33" t="s">
        <v>397</v>
      </c>
      <c r="C79" s="40" t="s">
        <v>189</v>
      </c>
      <c r="D79" s="34">
        <v>7</v>
      </c>
      <c r="F79" s="56"/>
    </row>
    <row r="80" spans="1:6" ht="15">
      <c r="A80" s="49">
        <v>288757</v>
      </c>
      <c r="B80" s="33" t="s">
        <v>398</v>
      </c>
      <c r="C80" s="40" t="s">
        <v>189</v>
      </c>
      <c r="D80" s="34">
        <v>8</v>
      </c>
      <c r="F80" s="56"/>
    </row>
    <row r="81" spans="1:6" ht="15">
      <c r="A81" s="49">
        <v>288758</v>
      </c>
      <c r="B81" s="33" t="s">
        <v>399</v>
      </c>
      <c r="C81" s="40" t="s">
        <v>400</v>
      </c>
      <c r="D81" s="34" t="s">
        <v>4249</v>
      </c>
      <c r="F81" s="56"/>
    </row>
    <row r="82" spans="1:6" ht="15">
      <c r="A82" s="49">
        <v>288759</v>
      </c>
      <c r="B82" s="33" t="s">
        <v>401</v>
      </c>
      <c r="C82" s="40" t="s">
        <v>402</v>
      </c>
      <c r="D82" s="34" t="s">
        <v>4245</v>
      </c>
      <c r="F82" s="56"/>
    </row>
    <row r="83" spans="1:6" ht="15">
      <c r="A83" s="49">
        <v>288760</v>
      </c>
      <c r="B83" s="33" t="s">
        <v>199</v>
      </c>
      <c r="C83" s="40" t="s">
        <v>200</v>
      </c>
      <c r="D83" s="34">
        <v>7</v>
      </c>
      <c r="F83" s="56"/>
    </row>
    <row r="84" spans="1:6" ht="15">
      <c r="A84" s="49">
        <v>288761</v>
      </c>
      <c r="B84" s="33" t="s">
        <v>201</v>
      </c>
      <c r="C84" s="40" t="s">
        <v>200</v>
      </c>
      <c r="D84" s="34">
        <v>8</v>
      </c>
      <c r="F84" s="56"/>
    </row>
    <row r="85" spans="1:6" ht="15">
      <c r="A85" s="49">
        <v>288762</v>
      </c>
      <c r="B85" s="33" t="s">
        <v>403</v>
      </c>
      <c r="C85" s="40" t="s">
        <v>200</v>
      </c>
      <c r="D85" s="34">
        <v>8</v>
      </c>
      <c r="F85" s="56"/>
    </row>
    <row r="86" spans="1:6" ht="15">
      <c r="A86" s="49">
        <v>288763</v>
      </c>
      <c r="B86" s="33" t="s">
        <v>404</v>
      </c>
      <c r="C86" s="40" t="s">
        <v>405</v>
      </c>
      <c r="D86" s="34">
        <v>7</v>
      </c>
      <c r="F86" s="56"/>
    </row>
    <row r="87" spans="1:6" ht="15">
      <c r="A87" s="49">
        <v>288764</v>
      </c>
      <c r="B87" s="33" t="s">
        <v>406</v>
      </c>
      <c r="C87" s="40" t="s">
        <v>405</v>
      </c>
      <c r="D87" s="34">
        <v>7</v>
      </c>
      <c r="F87" s="56"/>
    </row>
    <row r="88" spans="1:6" ht="15">
      <c r="A88" s="49">
        <v>288765</v>
      </c>
      <c r="B88" s="33" t="s">
        <v>407</v>
      </c>
      <c r="C88" s="40" t="s">
        <v>405</v>
      </c>
      <c r="D88" s="34">
        <v>8</v>
      </c>
      <c r="F88" s="56"/>
    </row>
    <row r="89" spans="1:6" ht="15">
      <c r="A89" s="49">
        <v>288766</v>
      </c>
      <c r="B89" s="33" t="s">
        <v>408</v>
      </c>
      <c r="C89" s="40" t="s">
        <v>405</v>
      </c>
      <c r="D89" s="34">
        <v>8</v>
      </c>
      <c r="F89" s="56"/>
    </row>
    <row r="90" spans="1:6" ht="15">
      <c r="A90" s="49">
        <v>288767</v>
      </c>
      <c r="B90" s="33" t="s">
        <v>409</v>
      </c>
      <c r="C90" s="40" t="s">
        <v>410</v>
      </c>
      <c r="D90" s="34" t="s">
        <v>4246</v>
      </c>
      <c r="F90" s="56"/>
    </row>
    <row r="91" spans="1:6" ht="15">
      <c r="A91" s="49">
        <v>288768</v>
      </c>
      <c r="B91" s="33" t="s">
        <v>411</v>
      </c>
      <c r="C91" s="40" t="s">
        <v>410</v>
      </c>
      <c r="D91" s="34" t="s">
        <v>4243</v>
      </c>
      <c r="F91" s="56"/>
    </row>
    <row r="92" spans="1:6" ht="15">
      <c r="A92" s="49">
        <v>288769</v>
      </c>
      <c r="B92" s="33" t="s">
        <v>412</v>
      </c>
      <c r="C92" s="40" t="s">
        <v>410</v>
      </c>
      <c r="D92" s="34">
        <v>7</v>
      </c>
      <c r="F92" s="56"/>
    </row>
    <row r="93" spans="1:6" ht="15">
      <c r="A93" s="49">
        <v>288770</v>
      </c>
      <c r="B93" s="33" t="s">
        <v>413</v>
      </c>
      <c r="C93" s="40" t="s">
        <v>410</v>
      </c>
      <c r="D93" s="34">
        <v>8</v>
      </c>
      <c r="F93" s="56"/>
    </row>
    <row r="94" spans="1:6" ht="15">
      <c r="A94" s="49">
        <v>288771</v>
      </c>
      <c r="B94" s="33" t="s">
        <v>414</v>
      </c>
      <c r="C94" s="40" t="s">
        <v>410</v>
      </c>
      <c r="D94" s="34">
        <v>8</v>
      </c>
      <c r="F94" s="56"/>
    </row>
    <row r="95" spans="1:6" ht="15">
      <c r="A95" s="49">
        <v>288772</v>
      </c>
      <c r="B95" s="33" t="s">
        <v>415</v>
      </c>
      <c r="C95" s="40" t="s">
        <v>410</v>
      </c>
      <c r="D95" s="34">
        <v>8</v>
      </c>
      <c r="F95" s="56"/>
    </row>
    <row r="96" spans="1:6" ht="15">
      <c r="A96" s="49">
        <v>288773</v>
      </c>
      <c r="B96" s="33" t="s">
        <v>416</v>
      </c>
      <c r="C96" s="40" t="s">
        <v>417</v>
      </c>
      <c r="D96" s="34" t="s">
        <v>4247</v>
      </c>
      <c r="F96" s="56"/>
    </row>
    <row r="97" spans="1:6" ht="15">
      <c r="A97" s="49">
        <v>288774</v>
      </c>
      <c r="B97" s="33" t="s">
        <v>418</v>
      </c>
      <c r="C97" s="40" t="s">
        <v>417</v>
      </c>
      <c r="D97" s="34" t="s">
        <v>4243</v>
      </c>
      <c r="F97" s="56"/>
    </row>
    <row r="98" spans="1:6" ht="15">
      <c r="A98" s="49">
        <v>288775</v>
      </c>
      <c r="B98" s="33" t="s">
        <v>419</v>
      </c>
      <c r="C98" s="40" t="s">
        <v>417</v>
      </c>
      <c r="D98" s="34">
        <v>7</v>
      </c>
      <c r="F98" s="56"/>
    </row>
    <row r="99" spans="1:6" ht="15">
      <c r="A99" s="49">
        <v>288776</v>
      </c>
      <c r="B99" s="33" t="s">
        <v>223</v>
      </c>
      <c r="C99" s="40" t="s">
        <v>224</v>
      </c>
      <c r="D99" s="34" t="s">
        <v>4243</v>
      </c>
      <c r="F99" s="56"/>
    </row>
    <row r="100" spans="1:6" ht="15">
      <c r="A100" s="49">
        <v>288777</v>
      </c>
      <c r="B100" s="33" t="s">
        <v>420</v>
      </c>
      <c r="C100" s="40" t="s">
        <v>228</v>
      </c>
      <c r="D100" s="34">
        <v>9</v>
      </c>
      <c r="F100" s="56"/>
    </row>
    <row r="101" spans="1:6" ht="15">
      <c r="A101" s="49">
        <v>288778</v>
      </c>
      <c r="B101" s="33" t="s">
        <v>421</v>
      </c>
      <c r="C101" s="40" t="s">
        <v>228</v>
      </c>
      <c r="D101" s="34">
        <v>9</v>
      </c>
      <c r="F101" s="56"/>
    </row>
    <row r="102" spans="1:6" ht="15">
      <c r="A102" s="49">
        <v>288779</v>
      </c>
      <c r="B102" s="33" t="s">
        <v>230</v>
      </c>
      <c r="C102" s="40" t="s">
        <v>231</v>
      </c>
      <c r="D102" s="34" t="s">
        <v>4244</v>
      </c>
      <c r="F102" s="56"/>
    </row>
    <row r="103" spans="1:6" ht="15">
      <c r="A103" s="49">
        <v>288780</v>
      </c>
      <c r="B103" s="33" t="s">
        <v>234</v>
      </c>
      <c r="C103" s="40" t="s">
        <v>235</v>
      </c>
      <c r="D103" s="34" t="s">
        <v>4244</v>
      </c>
      <c r="F103" s="56"/>
    </row>
    <row r="104" spans="1:6" ht="15">
      <c r="A104" s="49">
        <v>288781</v>
      </c>
      <c r="B104" s="33" t="s">
        <v>236</v>
      </c>
      <c r="C104" s="40" t="s">
        <v>235</v>
      </c>
      <c r="D104" s="34" t="s">
        <v>4244</v>
      </c>
      <c r="F104" s="56"/>
    </row>
    <row r="105" spans="1:6" ht="15">
      <c r="A105" s="49">
        <v>288782</v>
      </c>
      <c r="B105" s="33" t="s">
        <v>422</v>
      </c>
      <c r="C105" s="40" t="s">
        <v>238</v>
      </c>
      <c r="D105" s="34" t="s">
        <v>4246</v>
      </c>
      <c r="F105" s="56"/>
    </row>
    <row r="106" spans="1:6" ht="15">
      <c r="A106" s="49">
        <v>288783</v>
      </c>
      <c r="B106" s="33" t="s">
        <v>423</v>
      </c>
      <c r="C106" s="40" t="s">
        <v>238</v>
      </c>
      <c r="D106" s="34" t="s">
        <v>4247</v>
      </c>
      <c r="F106" s="56"/>
    </row>
    <row r="107" spans="1:6" ht="15">
      <c r="A107" s="49">
        <v>288784</v>
      </c>
      <c r="B107" s="33" t="s">
        <v>424</v>
      </c>
      <c r="C107" s="40" t="s">
        <v>238</v>
      </c>
      <c r="D107" s="34" t="s">
        <v>4243</v>
      </c>
      <c r="F107" s="56"/>
    </row>
    <row r="108" spans="1:6" ht="15">
      <c r="A108" s="49">
        <v>288785</v>
      </c>
      <c r="B108" s="33" t="s">
        <v>242</v>
      </c>
      <c r="C108" s="40" t="s">
        <v>243</v>
      </c>
      <c r="D108" s="34" t="s">
        <v>4245</v>
      </c>
      <c r="F108" s="56"/>
    </row>
    <row r="109" spans="1:6" ht="15">
      <c r="A109" s="49">
        <v>288786</v>
      </c>
      <c r="B109" s="33" t="s">
        <v>245</v>
      </c>
      <c r="C109" s="40" t="s">
        <v>243</v>
      </c>
      <c r="D109" s="34" t="s">
        <v>4247</v>
      </c>
      <c r="F109" s="56"/>
    </row>
    <row r="110" spans="1:6" ht="15">
      <c r="A110" s="49">
        <v>288787</v>
      </c>
      <c r="B110" s="33" t="s">
        <v>425</v>
      </c>
      <c r="C110" s="40" t="s">
        <v>426</v>
      </c>
      <c r="D110" s="34" t="s">
        <v>4244</v>
      </c>
      <c r="F110" s="56"/>
    </row>
    <row r="111" spans="1:6" ht="15">
      <c r="A111" s="49">
        <v>288788</v>
      </c>
      <c r="B111" s="33" t="s">
        <v>427</v>
      </c>
      <c r="C111" s="40" t="s">
        <v>428</v>
      </c>
      <c r="D111" s="34" t="s">
        <v>4244</v>
      </c>
      <c r="F111" s="56"/>
    </row>
    <row r="112" spans="1:6" ht="15">
      <c r="A112" s="49">
        <v>288789</v>
      </c>
      <c r="B112" s="33" t="s">
        <v>429</v>
      </c>
      <c r="C112" s="40" t="s">
        <v>430</v>
      </c>
      <c r="D112" s="34" t="s">
        <v>4247</v>
      </c>
      <c r="F112" s="56"/>
    </row>
    <row r="113" spans="1:6" ht="15">
      <c r="A113" s="49">
        <v>288790</v>
      </c>
      <c r="B113" s="33" t="s">
        <v>431</v>
      </c>
      <c r="C113" s="40" t="s">
        <v>430</v>
      </c>
      <c r="D113" s="34" t="s">
        <v>4247</v>
      </c>
      <c r="F113" s="56"/>
    </row>
    <row r="114" spans="1:6" ht="15">
      <c r="A114" s="49">
        <v>288791</v>
      </c>
      <c r="B114" s="33" t="s">
        <v>432</v>
      </c>
      <c r="C114" s="40" t="s">
        <v>433</v>
      </c>
      <c r="D114" s="34" t="s">
        <v>4245</v>
      </c>
      <c r="F114" s="56"/>
    </row>
    <row r="115" spans="1:6" ht="15">
      <c r="A115" s="49">
        <v>288687</v>
      </c>
      <c r="B115" s="33" t="s">
        <v>434</v>
      </c>
      <c r="C115" s="40" t="s">
        <v>435</v>
      </c>
      <c r="D115" s="34" t="s">
        <v>4243</v>
      </c>
      <c r="F115" s="56"/>
    </row>
    <row r="116" spans="1:6" ht="15">
      <c r="A116" s="49">
        <v>288792</v>
      </c>
      <c r="B116" s="33" t="s">
        <v>436</v>
      </c>
      <c r="C116" s="40" t="s">
        <v>437</v>
      </c>
      <c r="D116" s="34" t="s">
        <v>4248</v>
      </c>
      <c r="F116" s="56"/>
    </row>
    <row r="117" spans="1:6" ht="15">
      <c r="A117" s="49">
        <v>288793</v>
      </c>
      <c r="B117" s="33" t="s">
        <v>438</v>
      </c>
      <c r="C117" s="40" t="s">
        <v>439</v>
      </c>
      <c r="D117" s="34">
        <v>7</v>
      </c>
      <c r="F117" s="56"/>
    </row>
    <row r="118" spans="1:6" ht="15">
      <c r="A118" s="49">
        <v>288794</v>
      </c>
      <c r="B118" s="33" t="s">
        <v>257</v>
      </c>
      <c r="C118" s="40" t="s">
        <v>440</v>
      </c>
      <c r="D118" s="34">
        <v>9</v>
      </c>
      <c r="F118" s="56"/>
    </row>
    <row r="119" spans="1:6" ht="15">
      <c r="A119" s="49">
        <v>288795</v>
      </c>
      <c r="B119" s="33" t="s">
        <v>259</v>
      </c>
      <c r="C119" s="40" t="s">
        <v>440</v>
      </c>
      <c r="D119" s="34">
        <v>9</v>
      </c>
      <c r="F119" s="56"/>
    </row>
    <row r="120" spans="1:6" ht="15">
      <c r="A120" s="49">
        <v>288796</v>
      </c>
      <c r="B120" s="33" t="s">
        <v>441</v>
      </c>
      <c r="C120" s="40" t="s">
        <v>442</v>
      </c>
      <c r="D120" s="34">
        <v>9</v>
      </c>
      <c r="F120" s="56"/>
    </row>
    <row r="121" spans="1:6" ht="15">
      <c r="A121" s="49">
        <v>288797</v>
      </c>
      <c r="B121" s="33" t="s">
        <v>443</v>
      </c>
      <c r="C121" s="40" t="s">
        <v>258</v>
      </c>
      <c r="D121" s="34">
        <v>9</v>
      </c>
      <c r="F121" s="56"/>
    </row>
    <row r="122" spans="1:6" ht="15">
      <c r="A122" s="49">
        <v>288798</v>
      </c>
      <c r="B122" s="33" t="s">
        <v>444</v>
      </c>
      <c r="C122" s="40" t="s">
        <v>445</v>
      </c>
      <c r="D122" s="34">
        <v>9</v>
      </c>
      <c r="F122" s="56"/>
    </row>
    <row r="123" spans="1:6" ht="15">
      <c r="A123" s="49">
        <v>288799</v>
      </c>
      <c r="B123" s="33" t="s">
        <v>446</v>
      </c>
      <c r="C123" s="40" t="s">
        <v>445</v>
      </c>
      <c r="D123" s="34">
        <v>9</v>
      </c>
      <c r="F123" s="56"/>
    </row>
    <row r="124" spans="1:6" ht="15">
      <c r="A124" s="49">
        <v>288800</v>
      </c>
      <c r="B124" s="33" t="s">
        <v>260</v>
      </c>
      <c r="C124" s="40" t="s">
        <v>261</v>
      </c>
      <c r="D124" s="34" t="s">
        <v>4248</v>
      </c>
      <c r="F124" s="56"/>
    </row>
    <row r="125" spans="1:6" ht="15">
      <c r="A125" s="49">
        <v>288801</v>
      </c>
      <c r="B125" s="33" t="s">
        <v>262</v>
      </c>
      <c r="C125" s="40" t="s">
        <v>261</v>
      </c>
      <c r="D125" s="34" t="s">
        <v>4245</v>
      </c>
      <c r="F125" s="56"/>
    </row>
    <row r="126" spans="1:6" ht="15">
      <c r="A126" s="49">
        <v>288802</v>
      </c>
      <c r="B126" s="33" t="s">
        <v>447</v>
      </c>
      <c r="C126" s="40" t="s">
        <v>261</v>
      </c>
      <c r="D126" s="34" t="s">
        <v>4244</v>
      </c>
      <c r="F126" s="56"/>
    </row>
    <row r="127" spans="1:6" ht="15">
      <c r="A127" s="49">
        <v>288803</v>
      </c>
      <c r="B127" s="33" t="s">
        <v>448</v>
      </c>
      <c r="C127" s="40" t="s">
        <v>261</v>
      </c>
      <c r="D127" s="34" t="s">
        <v>4243</v>
      </c>
      <c r="F127" s="56"/>
    </row>
    <row r="128" spans="1:6" ht="15">
      <c r="A128" s="49">
        <v>288804</v>
      </c>
      <c r="B128" s="33" t="s">
        <v>449</v>
      </c>
      <c r="C128" s="40" t="s">
        <v>450</v>
      </c>
      <c r="D128" s="34">
        <v>9</v>
      </c>
      <c r="F128" s="56"/>
    </row>
    <row r="129" spans="1:6" ht="15">
      <c r="A129" s="49">
        <v>288805</v>
      </c>
      <c r="B129" s="33" t="s">
        <v>451</v>
      </c>
      <c r="C129" s="40" t="s">
        <v>452</v>
      </c>
      <c r="D129" s="34">
        <v>9</v>
      </c>
      <c r="F129" s="56"/>
    </row>
    <row r="130" spans="1:6" ht="15">
      <c r="A130" s="49">
        <v>288806</v>
      </c>
      <c r="B130" s="33" t="s">
        <v>453</v>
      </c>
      <c r="C130" s="40" t="s">
        <v>454</v>
      </c>
      <c r="D130" s="34">
        <v>9</v>
      </c>
      <c r="F130" s="56"/>
    </row>
    <row r="131" spans="1:6" ht="15">
      <c r="A131" s="49">
        <v>288807</v>
      </c>
      <c r="B131" s="33" t="s">
        <v>265</v>
      </c>
      <c r="C131" s="40" t="s">
        <v>264</v>
      </c>
      <c r="D131" s="34" t="s">
        <v>4245</v>
      </c>
      <c r="F131" s="56"/>
    </row>
    <row r="132" spans="1:6" ht="15">
      <c r="A132" s="49">
        <v>288808</v>
      </c>
      <c r="B132" s="33" t="s">
        <v>72</v>
      </c>
      <c r="C132" s="40" t="s">
        <v>264</v>
      </c>
      <c r="D132" s="34" t="s">
        <v>4244</v>
      </c>
      <c r="F132" s="56"/>
    </row>
    <row r="133" spans="1:6" ht="15">
      <c r="A133" s="49">
        <v>288809</v>
      </c>
      <c r="B133" s="33" t="s">
        <v>266</v>
      </c>
      <c r="C133" s="40" t="s">
        <v>264</v>
      </c>
      <c r="D133" s="34" t="s">
        <v>4243</v>
      </c>
      <c r="F133" s="56"/>
    </row>
    <row r="134" spans="1:6" ht="15">
      <c r="A134" s="49">
        <v>288811</v>
      </c>
      <c r="B134" s="33" t="s">
        <v>455</v>
      </c>
      <c r="C134" s="40" t="s">
        <v>456</v>
      </c>
      <c r="D134" s="34" t="s">
        <v>4244</v>
      </c>
      <c r="F134" s="56"/>
    </row>
    <row r="135" spans="1:6" ht="15">
      <c r="A135" s="49">
        <v>288812</v>
      </c>
      <c r="B135" s="33" t="s">
        <v>457</v>
      </c>
      <c r="C135" s="40" t="s">
        <v>278</v>
      </c>
      <c r="D135" s="34" t="s">
        <v>468</v>
      </c>
      <c r="F135" s="56"/>
    </row>
    <row r="136" spans="1:6" ht="15">
      <c r="A136" s="49">
        <v>288813</v>
      </c>
      <c r="B136" s="33" t="s">
        <v>458</v>
      </c>
      <c r="C136" s="40" t="s">
        <v>278</v>
      </c>
      <c r="D136" s="34" t="s">
        <v>468</v>
      </c>
      <c r="F136" s="56"/>
    </row>
    <row r="137" spans="1:6" ht="15">
      <c r="A137" s="49">
        <v>288814</v>
      </c>
      <c r="B137" s="33" t="s">
        <v>459</v>
      </c>
      <c r="C137" s="40" t="s">
        <v>278</v>
      </c>
      <c r="D137" s="34" t="s">
        <v>469</v>
      </c>
      <c r="F137" s="56"/>
    </row>
    <row r="138" spans="1:6" ht="15">
      <c r="A138" s="49">
        <v>288815</v>
      </c>
      <c r="B138" s="33" t="s">
        <v>460</v>
      </c>
      <c r="C138" s="40" t="s">
        <v>461</v>
      </c>
      <c r="D138" s="34">
        <v>8</v>
      </c>
      <c r="F138" s="56"/>
    </row>
    <row r="139" spans="1:6" ht="15">
      <c r="A139" s="49">
        <v>288816</v>
      </c>
      <c r="B139" s="33" t="s">
        <v>462</v>
      </c>
      <c r="C139" s="40" t="s">
        <v>283</v>
      </c>
      <c r="D139" s="34">
        <v>8</v>
      </c>
      <c r="F139" s="56"/>
    </row>
    <row r="140" spans="1:6" ht="15">
      <c r="A140" s="49">
        <v>288817</v>
      </c>
      <c r="B140" s="33" t="s">
        <v>463</v>
      </c>
      <c r="C140" s="40" t="s">
        <v>285</v>
      </c>
      <c r="D140" s="34" t="s">
        <v>4244</v>
      </c>
      <c r="F140" s="56"/>
    </row>
    <row r="141" spans="1:6" ht="15">
      <c r="A141" s="49">
        <v>288818</v>
      </c>
      <c r="B141" s="33" t="s">
        <v>464</v>
      </c>
      <c r="C141" s="40" t="s">
        <v>285</v>
      </c>
      <c r="D141" s="34">
        <v>7</v>
      </c>
      <c r="F141" s="56"/>
    </row>
    <row r="142" spans="1:6" ht="15">
      <c r="A142" s="49">
        <v>288819</v>
      </c>
      <c r="B142" s="33" t="s">
        <v>465</v>
      </c>
      <c r="C142" s="40" t="s">
        <v>285</v>
      </c>
      <c r="D142" s="34">
        <v>8</v>
      </c>
      <c r="F142" s="56"/>
    </row>
    <row r="143" spans="1:6" ht="15">
      <c r="A143" s="49">
        <v>288820</v>
      </c>
      <c r="B143" s="33" t="s">
        <v>296</v>
      </c>
      <c r="C143" s="40" t="s">
        <v>285</v>
      </c>
      <c r="D143" s="34">
        <v>8</v>
      </c>
      <c r="F143" s="56"/>
    </row>
    <row r="144" spans="1:6" ht="15">
      <c r="A144" s="49">
        <v>1859954</v>
      </c>
      <c r="B144" s="33" t="s">
        <v>466</v>
      </c>
      <c r="C144" s="40" t="s">
        <v>467</v>
      </c>
      <c r="D144" s="34">
        <v>9</v>
      </c>
      <c r="F144" s="56"/>
    </row>
    <row r="145" spans="1:6" ht="15">
      <c r="A145" s="49">
        <v>1859961</v>
      </c>
      <c r="B145" s="33" t="s">
        <v>468</v>
      </c>
      <c r="C145" s="40" t="s">
        <v>437</v>
      </c>
      <c r="D145" s="34" t="s">
        <v>4248</v>
      </c>
      <c r="F145" s="56"/>
    </row>
    <row r="146" spans="1:6" ht="15">
      <c r="A146" s="49">
        <v>1859966</v>
      </c>
      <c r="B146" s="33" t="s">
        <v>469</v>
      </c>
      <c r="C146" s="40" t="s">
        <v>470</v>
      </c>
      <c r="D146" s="34">
        <v>8</v>
      </c>
      <c r="F146" s="56"/>
    </row>
    <row r="147" spans="1:6" ht="15">
      <c r="A147" s="49">
        <v>1859969</v>
      </c>
      <c r="B147" s="33" t="s">
        <v>471</v>
      </c>
      <c r="C147" s="40" t="s">
        <v>472</v>
      </c>
      <c r="D147" s="34">
        <v>7</v>
      </c>
      <c r="F147" s="56"/>
    </row>
    <row r="148" spans="1:6" ht="15">
      <c r="A148" s="49">
        <v>1859971</v>
      </c>
      <c r="B148" s="33" t="s">
        <v>473</v>
      </c>
      <c r="C148" s="40" t="s">
        <v>402</v>
      </c>
      <c r="D148" s="34" t="s">
        <v>4245</v>
      </c>
      <c r="F148" s="56"/>
    </row>
    <row r="149" spans="1:6" ht="15">
      <c r="A149" s="49">
        <v>1859973</v>
      </c>
      <c r="B149" s="33" t="s">
        <v>474</v>
      </c>
      <c r="C149" s="40" t="s">
        <v>475</v>
      </c>
      <c r="D149" s="34" t="s">
        <v>4245</v>
      </c>
      <c r="F149" s="56"/>
    </row>
    <row r="150" spans="1:6" ht="15">
      <c r="A150" s="49">
        <v>299726</v>
      </c>
      <c r="B150" s="33" t="s">
        <v>476</v>
      </c>
      <c r="C150" s="40" t="s">
        <v>477</v>
      </c>
      <c r="D150" s="34" t="s">
        <v>4244</v>
      </c>
      <c r="F150" s="56"/>
    </row>
    <row r="151" spans="1:6" ht="15">
      <c r="A151" s="49">
        <v>299727</v>
      </c>
      <c r="B151" s="33" t="s">
        <v>478</v>
      </c>
      <c r="C151" s="40" t="s">
        <v>477</v>
      </c>
      <c r="D151" s="34">
        <v>7</v>
      </c>
      <c r="F151" s="56"/>
    </row>
    <row r="152" spans="1:6" ht="15">
      <c r="A152" s="49">
        <v>299728</v>
      </c>
      <c r="B152" s="33" t="s">
        <v>479</v>
      </c>
      <c r="C152" s="40" t="s">
        <v>477</v>
      </c>
      <c r="D152" s="34">
        <v>8</v>
      </c>
      <c r="F152" s="56"/>
    </row>
    <row r="153" spans="1:6" ht="15">
      <c r="A153" s="49">
        <v>299729</v>
      </c>
      <c r="B153" s="33" t="s">
        <v>480</v>
      </c>
      <c r="C153" s="40" t="s">
        <v>477</v>
      </c>
      <c r="D153" s="34">
        <v>8</v>
      </c>
      <c r="F153" s="56"/>
    </row>
    <row r="154" spans="1:6" ht="15">
      <c r="A154" s="49">
        <v>299730</v>
      </c>
      <c r="B154" s="33" t="s">
        <v>481</v>
      </c>
      <c r="C154" s="40" t="s">
        <v>477</v>
      </c>
      <c r="D154" s="34">
        <v>8</v>
      </c>
      <c r="F154" s="56"/>
    </row>
    <row r="155" spans="1:6" ht="15">
      <c r="A155" s="49">
        <v>299759</v>
      </c>
      <c r="B155" s="33" t="s">
        <v>482</v>
      </c>
      <c r="C155" s="40" t="s">
        <v>483</v>
      </c>
      <c r="D155" s="34" t="s">
        <v>4244</v>
      </c>
      <c r="F155" s="56"/>
    </row>
    <row r="156" spans="1:6" ht="15">
      <c r="A156" s="49">
        <v>299760</v>
      </c>
      <c r="B156" s="33" t="s">
        <v>484</v>
      </c>
      <c r="C156" s="40" t="s">
        <v>483</v>
      </c>
      <c r="D156" s="34" t="s">
        <v>4243</v>
      </c>
      <c r="F156" s="56"/>
    </row>
    <row r="157" spans="1:6" ht="15">
      <c r="A157" s="51">
        <v>299761</v>
      </c>
      <c r="B157" t="s">
        <v>485</v>
      </c>
      <c r="C157" s="39" t="s">
        <v>483</v>
      </c>
      <c r="D157">
        <v>8</v>
      </c>
      <c r="F157" s="56"/>
    </row>
    <row r="158" spans="1:6" ht="15">
      <c r="A158" s="51">
        <v>299762</v>
      </c>
      <c r="B158" t="s">
        <v>486</v>
      </c>
      <c r="C158" s="39" t="s">
        <v>483</v>
      </c>
      <c r="D158">
        <v>8</v>
      </c>
      <c r="F158" s="56"/>
    </row>
    <row r="159" spans="1:6" ht="15">
      <c r="A159" s="51">
        <v>299777</v>
      </c>
      <c r="B159" t="s">
        <v>487</v>
      </c>
      <c r="C159" s="39" t="s">
        <v>488</v>
      </c>
      <c r="D159">
        <v>7</v>
      </c>
      <c r="F159" s="56"/>
    </row>
    <row r="160" spans="1:6" ht="15">
      <c r="A160" s="51">
        <v>299778</v>
      </c>
      <c r="B160" t="s">
        <v>489</v>
      </c>
      <c r="C160" s="39" t="s">
        <v>488</v>
      </c>
      <c r="D160">
        <v>7</v>
      </c>
      <c r="F160" s="56"/>
    </row>
    <row r="161" spans="1:6" ht="15">
      <c r="A161" s="51">
        <v>299779</v>
      </c>
      <c r="B161" t="s">
        <v>490</v>
      </c>
      <c r="C161" s="39" t="s">
        <v>488</v>
      </c>
      <c r="D161">
        <v>8</v>
      </c>
      <c r="F161" s="56"/>
    </row>
    <row r="162" spans="1:6" ht="15">
      <c r="A162" s="51">
        <v>299780</v>
      </c>
      <c r="B162" t="s">
        <v>491</v>
      </c>
      <c r="C162" s="39" t="s">
        <v>488</v>
      </c>
      <c r="D162">
        <v>8</v>
      </c>
      <c r="F162" s="56"/>
    </row>
    <row r="163" spans="1:6" ht="15">
      <c r="A163" s="51">
        <v>299781</v>
      </c>
      <c r="B163" t="s">
        <v>492</v>
      </c>
      <c r="C163" s="39" t="s">
        <v>488</v>
      </c>
      <c r="D163">
        <v>8</v>
      </c>
      <c r="F163" s="56"/>
    </row>
    <row r="164" spans="1:6" ht="15">
      <c r="A164" s="51">
        <v>318196</v>
      </c>
      <c r="B164" t="s">
        <v>493</v>
      </c>
      <c r="C164" s="39" t="s">
        <v>291</v>
      </c>
      <c r="D164" t="s">
        <v>4244</v>
      </c>
      <c r="F164" s="56"/>
    </row>
    <row r="165" spans="1:6" ht="15">
      <c r="A165" s="51">
        <v>299785</v>
      </c>
      <c r="B165" t="s">
        <v>494</v>
      </c>
      <c r="C165" s="39" t="s">
        <v>291</v>
      </c>
      <c r="D165" t="s">
        <v>4244</v>
      </c>
      <c r="F165" s="56"/>
    </row>
    <row r="166" spans="1:6" ht="15">
      <c r="A166" s="51">
        <v>299786</v>
      </c>
      <c r="B166" t="s">
        <v>495</v>
      </c>
      <c r="C166" s="39" t="s">
        <v>291</v>
      </c>
      <c r="D166">
        <v>7</v>
      </c>
      <c r="F166" s="56"/>
    </row>
    <row r="167" spans="1:6" ht="15">
      <c r="A167" s="51">
        <v>299787</v>
      </c>
      <c r="B167" t="s">
        <v>496</v>
      </c>
      <c r="C167" s="39" t="s">
        <v>291</v>
      </c>
      <c r="D167">
        <v>8</v>
      </c>
      <c r="F167" s="56"/>
    </row>
    <row r="168" spans="1:6" ht="15">
      <c r="A168" s="51">
        <v>299790</v>
      </c>
      <c r="B168" t="s">
        <v>497</v>
      </c>
      <c r="C168" s="39" t="s">
        <v>498</v>
      </c>
      <c r="D168" t="s">
        <v>4243</v>
      </c>
      <c r="F168" s="56"/>
    </row>
    <row r="169" spans="1:6" ht="15">
      <c r="A169" s="51">
        <v>299791</v>
      </c>
      <c r="B169" t="s">
        <v>499</v>
      </c>
      <c r="C169" s="39" t="s">
        <v>498</v>
      </c>
      <c r="D169" t="s">
        <v>4243</v>
      </c>
      <c r="F169" s="56"/>
    </row>
    <row r="170" spans="1:6" ht="15">
      <c r="A170" s="51">
        <v>299792</v>
      </c>
      <c r="B170" t="s">
        <v>500</v>
      </c>
      <c r="C170" s="39" t="s">
        <v>498</v>
      </c>
      <c r="D170">
        <v>8</v>
      </c>
      <c r="F170" s="56"/>
    </row>
    <row r="171" spans="1:6" ht="15">
      <c r="A171" s="51">
        <v>299804</v>
      </c>
      <c r="B171" t="s">
        <v>501</v>
      </c>
      <c r="C171" s="39" t="s">
        <v>502</v>
      </c>
      <c r="D171" t="s">
        <v>4244</v>
      </c>
      <c r="F171" s="56"/>
    </row>
    <row r="172" spans="1:6" ht="15">
      <c r="A172" s="51">
        <v>299805</v>
      </c>
      <c r="B172" t="s">
        <v>503</v>
      </c>
      <c r="C172" s="39" t="s">
        <v>502</v>
      </c>
      <c r="D172">
        <v>7</v>
      </c>
      <c r="F172" s="56"/>
    </row>
    <row r="173" spans="1:6" ht="15">
      <c r="A173" s="51">
        <v>299806</v>
      </c>
      <c r="B173" t="s">
        <v>504</v>
      </c>
      <c r="C173" s="39" t="s">
        <v>502</v>
      </c>
      <c r="D173">
        <v>8</v>
      </c>
      <c r="F173" s="56"/>
    </row>
    <row r="174" spans="1:6" ht="15">
      <c r="A174" s="51">
        <v>299807</v>
      </c>
      <c r="B174" t="s">
        <v>505</v>
      </c>
      <c r="C174" s="39" t="s">
        <v>502</v>
      </c>
      <c r="D174">
        <v>8</v>
      </c>
      <c r="F174" s="56"/>
    </row>
    <row r="175" spans="1:6" ht="15">
      <c r="A175" s="51">
        <v>299814</v>
      </c>
      <c r="B175" t="s">
        <v>506</v>
      </c>
      <c r="C175" s="39" t="s">
        <v>507</v>
      </c>
      <c r="D175">
        <v>9</v>
      </c>
      <c r="F175" s="56"/>
    </row>
    <row r="176" spans="1:6" ht="15">
      <c r="A176" s="51">
        <v>299823</v>
      </c>
      <c r="B176" t="s">
        <v>508</v>
      </c>
      <c r="C176" s="39" t="s">
        <v>509</v>
      </c>
      <c r="D176" t="s">
        <v>4245</v>
      </c>
      <c r="F176" s="56"/>
    </row>
    <row r="177" spans="1:6" ht="15">
      <c r="A177" s="51">
        <v>299824</v>
      </c>
      <c r="B177" t="s">
        <v>510</v>
      </c>
      <c r="C177" s="39" t="s">
        <v>509</v>
      </c>
      <c r="D177" t="s">
        <v>4246</v>
      </c>
      <c r="F177" s="56"/>
    </row>
    <row r="178" spans="1:6" ht="15">
      <c r="A178" s="51">
        <v>299826</v>
      </c>
      <c r="B178" t="s">
        <v>511</v>
      </c>
      <c r="C178" s="39" t="s">
        <v>261</v>
      </c>
      <c r="D178" t="s">
        <v>4248</v>
      </c>
      <c r="F178" s="56"/>
    </row>
    <row r="179" spans="1:6" ht="15">
      <c r="A179" s="51">
        <v>299827</v>
      </c>
      <c r="B179" t="s">
        <v>512</v>
      </c>
      <c r="C179" s="39" t="s">
        <v>261</v>
      </c>
      <c r="D179" t="s">
        <v>4245</v>
      </c>
      <c r="F179" s="56"/>
    </row>
    <row r="180" spans="1:6" ht="15">
      <c r="A180" s="51">
        <v>299828</v>
      </c>
      <c r="B180" t="s">
        <v>513</v>
      </c>
      <c r="C180" s="39" t="s">
        <v>261</v>
      </c>
      <c r="D180" t="s">
        <v>4244</v>
      </c>
      <c r="F180" s="56"/>
    </row>
    <row r="181" spans="1:6" ht="15">
      <c r="A181" s="51">
        <v>299829</v>
      </c>
      <c r="B181" t="s">
        <v>514</v>
      </c>
      <c r="C181" s="39" t="s">
        <v>261</v>
      </c>
      <c r="D181" t="s">
        <v>4243</v>
      </c>
      <c r="F181" s="56"/>
    </row>
    <row r="182" spans="1:6" ht="15">
      <c r="A182" s="51">
        <v>318639</v>
      </c>
      <c r="B182" t="s">
        <v>515</v>
      </c>
      <c r="C182" s="39" t="s">
        <v>261</v>
      </c>
      <c r="D182">
        <v>8</v>
      </c>
      <c r="F182" s="56"/>
    </row>
    <row r="183" spans="1:6" ht="15">
      <c r="A183" s="51">
        <v>299830</v>
      </c>
      <c r="B183" t="s">
        <v>516</v>
      </c>
      <c r="C183" s="39" t="s">
        <v>517</v>
      </c>
      <c r="D183" t="s">
        <v>4245</v>
      </c>
      <c r="F183" s="56"/>
    </row>
    <row r="184" spans="1:6" ht="15">
      <c r="A184" s="51">
        <v>299831</v>
      </c>
      <c r="B184" t="s">
        <v>518</v>
      </c>
      <c r="C184" s="39" t="s">
        <v>517</v>
      </c>
      <c r="D184" t="s">
        <v>4246</v>
      </c>
      <c r="F184" s="56"/>
    </row>
    <row r="185" spans="1:6" ht="15">
      <c r="A185" s="51">
        <v>318640</v>
      </c>
      <c r="B185" t="s">
        <v>519</v>
      </c>
      <c r="C185" s="39" t="s">
        <v>517</v>
      </c>
      <c r="D185" t="s">
        <v>4244</v>
      </c>
      <c r="F185" s="56"/>
    </row>
    <row r="186" spans="1:6" ht="15">
      <c r="A186" s="51">
        <v>299832</v>
      </c>
      <c r="B186" t="s">
        <v>520</v>
      </c>
      <c r="C186" s="39" t="s">
        <v>521</v>
      </c>
      <c r="D186" t="s">
        <v>4248</v>
      </c>
      <c r="F186" s="56"/>
    </row>
    <row r="187" spans="1:6" ht="15">
      <c r="A187" s="51">
        <v>299833</v>
      </c>
      <c r="B187" t="s">
        <v>522</v>
      </c>
      <c r="C187" s="39" t="s">
        <v>521</v>
      </c>
      <c r="D187" t="s">
        <v>4245</v>
      </c>
      <c r="F187" s="56"/>
    </row>
    <row r="188" spans="1:6" ht="15">
      <c r="A188" s="51">
        <v>299834</v>
      </c>
      <c r="B188" t="s">
        <v>523</v>
      </c>
      <c r="C188" s="39" t="s">
        <v>521</v>
      </c>
      <c r="D188" t="s">
        <v>4247</v>
      </c>
      <c r="F188" s="56"/>
    </row>
    <row r="189" spans="1:6" ht="15">
      <c r="A189" s="51">
        <v>299835</v>
      </c>
      <c r="B189" t="s">
        <v>524</v>
      </c>
      <c r="C189" s="39" t="s">
        <v>108</v>
      </c>
      <c r="D189" t="s">
        <v>4245</v>
      </c>
      <c r="F189" s="56"/>
    </row>
    <row r="190" spans="1:6" ht="15">
      <c r="A190" s="51">
        <v>299836</v>
      </c>
      <c r="B190" t="s">
        <v>525</v>
      </c>
      <c r="C190" s="39" t="s">
        <v>108</v>
      </c>
      <c r="D190" t="s">
        <v>4245</v>
      </c>
      <c r="F190" s="56"/>
    </row>
    <row r="191" spans="1:6" ht="15">
      <c r="A191" s="51">
        <v>299837</v>
      </c>
      <c r="B191" t="s">
        <v>526</v>
      </c>
      <c r="C191" s="39" t="s">
        <v>108</v>
      </c>
      <c r="D191" t="s">
        <v>4244</v>
      </c>
      <c r="F191" s="56"/>
    </row>
    <row r="192" spans="1:6" ht="15">
      <c r="A192" s="51">
        <v>299838</v>
      </c>
      <c r="B192" t="s">
        <v>527</v>
      </c>
      <c r="C192" s="39" t="s">
        <v>108</v>
      </c>
      <c r="D192" t="s">
        <v>4243</v>
      </c>
      <c r="F192" s="56"/>
    </row>
    <row r="193" spans="1:6" ht="15">
      <c r="A193" s="51">
        <v>299839</v>
      </c>
      <c r="B193" t="s">
        <v>528</v>
      </c>
      <c r="C193" s="39" t="s">
        <v>108</v>
      </c>
      <c r="D193">
        <v>8</v>
      </c>
      <c r="F193" s="56"/>
    </row>
    <row r="194" spans="1:6" ht="15">
      <c r="A194" s="51">
        <v>299840</v>
      </c>
      <c r="B194" t="s">
        <v>529</v>
      </c>
      <c r="C194" s="39" t="s">
        <v>108</v>
      </c>
      <c r="D194">
        <v>8</v>
      </c>
      <c r="F194" s="56"/>
    </row>
    <row r="195" spans="1:6" ht="15">
      <c r="A195" s="51">
        <v>299841</v>
      </c>
      <c r="B195" t="s">
        <v>530</v>
      </c>
      <c r="C195" s="39" t="s">
        <v>108</v>
      </c>
      <c r="D195" t="s">
        <v>4245</v>
      </c>
      <c r="F195" s="56"/>
    </row>
    <row r="196" spans="1:6" ht="15">
      <c r="A196" s="51">
        <v>299842</v>
      </c>
      <c r="B196" t="s">
        <v>531</v>
      </c>
      <c r="C196" s="39" t="s">
        <v>108</v>
      </c>
      <c r="D196" t="s">
        <v>4245</v>
      </c>
      <c r="F196" s="56"/>
    </row>
    <row r="197" spans="1:6" ht="15">
      <c r="A197" s="51">
        <v>299843</v>
      </c>
      <c r="B197" t="s">
        <v>532</v>
      </c>
      <c r="C197" s="39" t="s">
        <v>106</v>
      </c>
      <c r="D197" t="s">
        <v>4245</v>
      </c>
      <c r="F197" s="56"/>
    </row>
    <row r="198" spans="1:6" ht="15">
      <c r="A198" s="51">
        <v>299844</v>
      </c>
      <c r="B198" t="s">
        <v>533</v>
      </c>
      <c r="C198" s="39" t="s">
        <v>106</v>
      </c>
      <c r="D198" t="s">
        <v>4245</v>
      </c>
      <c r="F198" s="56"/>
    </row>
    <row r="199" spans="1:6" ht="15">
      <c r="A199" s="51">
        <v>1859975</v>
      </c>
      <c r="B199" t="s">
        <v>534</v>
      </c>
      <c r="C199" s="39" t="s">
        <v>243</v>
      </c>
      <c r="D199" t="s">
        <v>4245</v>
      </c>
      <c r="F199" s="56"/>
    </row>
    <row r="200" spans="1:6" ht="15">
      <c r="A200" s="51">
        <v>299852</v>
      </c>
      <c r="B200" t="s">
        <v>535</v>
      </c>
      <c r="C200" s="39" t="s">
        <v>536</v>
      </c>
      <c r="D200" t="s">
        <v>4246</v>
      </c>
      <c r="F200" s="56"/>
    </row>
    <row r="201" spans="1:6" ht="15">
      <c r="A201" s="51">
        <v>299853</v>
      </c>
      <c r="B201" t="s">
        <v>537</v>
      </c>
      <c r="C201" s="39" t="s">
        <v>536</v>
      </c>
      <c r="D201" t="s">
        <v>4244</v>
      </c>
      <c r="F201" s="56"/>
    </row>
    <row r="202" spans="1:6" ht="15">
      <c r="A202" s="51">
        <v>299854</v>
      </c>
      <c r="B202" t="s">
        <v>538</v>
      </c>
      <c r="C202" s="39" t="s">
        <v>536</v>
      </c>
      <c r="D202" t="s">
        <v>4243</v>
      </c>
      <c r="F202" s="56"/>
    </row>
    <row r="203" spans="1:6" ht="15">
      <c r="A203" s="51">
        <v>299855</v>
      </c>
      <c r="B203" t="s">
        <v>539</v>
      </c>
      <c r="C203" s="39" t="s">
        <v>536</v>
      </c>
      <c r="D203">
        <v>8</v>
      </c>
      <c r="F203" s="56"/>
    </row>
    <row r="204" spans="1:6" ht="15">
      <c r="A204" s="51">
        <v>318641</v>
      </c>
      <c r="B204" t="s">
        <v>540</v>
      </c>
      <c r="C204" s="39" t="s">
        <v>536</v>
      </c>
      <c r="D204">
        <v>8</v>
      </c>
      <c r="F204" s="56"/>
    </row>
    <row r="205" spans="1:6" ht="15">
      <c r="A205" s="51">
        <v>822859</v>
      </c>
      <c r="B205" t="s">
        <v>541</v>
      </c>
      <c r="C205" s="39" t="s">
        <v>542</v>
      </c>
      <c r="D205" t="s">
        <v>4246</v>
      </c>
      <c r="F205" s="56"/>
    </row>
    <row r="206" spans="1:6" ht="15">
      <c r="A206" s="51">
        <v>849300</v>
      </c>
      <c r="B206" t="s">
        <v>543</v>
      </c>
      <c r="C206" s="39" t="s">
        <v>542</v>
      </c>
      <c r="D206" t="s">
        <v>4246</v>
      </c>
      <c r="F206" s="56"/>
    </row>
    <row r="207" spans="1:6" ht="15">
      <c r="A207" s="51">
        <v>299858</v>
      </c>
      <c r="B207" t="s">
        <v>544</v>
      </c>
      <c r="C207" s="39" t="s">
        <v>542</v>
      </c>
      <c r="D207" t="s">
        <v>4244</v>
      </c>
      <c r="F207" s="56"/>
    </row>
    <row r="208" spans="1:6" ht="15">
      <c r="A208" s="51">
        <v>318643</v>
      </c>
      <c r="B208" t="s">
        <v>545</v>
      </c>
      <c r="C208" s="39" t="s">
        <v>542</v>
      </c>
      <c r="D208" t="s">
        <v>4243</v>
      </c>
      <c r="F208" s="56"/>
    </row>
    <row r="209" spans="1:6" ht="15">
      <c r="A209" s="51">
        <v>299859</v>
      </c>
      <c r="B209" t="s">
        <v>546</v>
      </c>
      <c r="C209" s="39" t="s">
        <v>547</v>
      </c>
      <c r="D209" t="s">
        <v>4244</v>
      </c>
      <c r="F209" s="56"/>
    </row>
    <row r="210" spans="1:6" ht="15">
      <c r="A210" s="51">
        <v>299860</v>
      </c>
      <c r="B210" t="s">
        <v>548</v>
      </c>
      <c r="C210" s="39" t="s">
        <v>547</v>
      </c>
      <c r="D210" t="s">
        <v>4244</v>
      </c>
      <c r="F210" s="56"/>
    </row>
    <row r="211" spans="1:6" ht="15">
      <c r="A211" s="51">
        <v>1859977</v>
      </c>
      <c r="B211" t="s">
        <v>549</v>
      </c>
      <c r="C211" s="39" t="s">
        <v>550</v>
      </c>
      <c r="D211" t="s">
        <v>4244</v>
      </c>
      <c r="F211" s="56"/>
    </row>
    <row r="212" spans="1:6" ht="15">
      <c r="A212" s="51">
        <v>1859979</v>
      </c>
      <c r="B212" t="s">
        <v>551</v>
      </c>
      <c r="C212" s="39" t="s">
        <v>90</v>
      </c>
      <c r="D212">
        <v>7</v>
      </c>
      <c r="F212" s="56"/>
    </row>
    <row r="213" spans="1:6" ht="15">
      <c r="A213" s="51">
        <v>299864</v>
      </c>
      <c r="B213" t="s">
        <v>552</v>
      </c>
      <c r="C213" s="39" t="s">
        <v>235</v>
      </c>
      <c r="D213" t="s">
        <v>4244</v>
      </c>
      <c r="F213" s="56"/>
    </row>
    <row r="214" spans="1:6" ht="15">
      <c r="A214" s="51">
        <v>299865</v>
      </c>
      <c r="B214" t="s">
        <v>553</v>
      </c>
      <c r="C214" s="39" t="s">
        <v>235</v>
      </c>
      <c r="D214" t="s">
        <v>4244</v>
      </c>
      <c r="F214" s="56"/>
    </row>
    <row r="215" spans="1:6" ht="15">
      <c r="A215" s="51">
        <v>299866</v>
      </c>
      <c r="B215" t="s">
        <v>554</v>
      </c>
      <c r="C215" s="39" t="s">
        <v>235</v>
      </c>
      <c r="D215" t="s">
        <v>4243</v>
      </c>
      <c r="F215" s="56"/>
    </row>
    <row r="216" spans="1:6" ht="15">
      <c r="A216" s="51">
        <v>1859981</v>
      </c>
      <c r="B216" t="s">
        <v>555</v>
      </c>
      <c r="C216" s="39" t="s">
        <v>556</v>
      </c>
      <c r="D216" t="s">
        <v>4243</v>
      </c>
      <c r="F216" s="56"/>
    </row>
    <row r="217" spans="1:6" ht="15">
      <c r="A217" s="51">
        <v>299868</v>
      </c>
      <c r="B217" t="s">
        <v>557</v>
      </c>
      <c r="C217" s="39" t="s">
        <v>558</v>
      </c>
      <c r="D217" t="s">
        <v>4244</v>
      </c>
      <c r="F217" s="56"/>
    </row>
    <row r="218" spans="1:6" ht="15">
      <c r="A218" s="51">
        <v>299869</v>
      </c>
      <c r="B218" t="s">
        <v>559</v>
      </c>
      <c r="C218" s="39" t="s">
        <v>558</v>
      </c>
      <c r="D218" t="s">
        <v>4244</v>
      </c>
      <c r="F218" s="56"/>
    </row>
    <row r="219" spans="1:6" ht="15">
      <c r="A219" s="51">
        <v>299870</v>
      </c>
      <c r="B219" t="s">
        <v>560</v>
      </c>
      <c r="C219" s="39" t="s">
        <v>561</v>
      </c>
      <c r="D219" t="s">
        <v>4247</v>
      </c>
      <c r="F219" s="56"/>
    </row>
    <row r="220" spans="1:6" ht="15">
      <c r="A220" s="51">
        <v>299871</v>
      </c>
      <c r="B220" t="s">
        <v>562</v>
      </c>
      <c r="C220" s="39" t="s">
        <v>561</v>
      </c>
      <c r="D220" t="s">
        <v>4247</v>
      </c>
      <c r="F220" s="56"/>
    </row>
    <row r="221" spans="1:6" ht="15">
      <c r="A221" s="51">
        <v>318645</v>
      </c>
      <c r="B221" t="s">
        <v>563</v>
      </c>
      <c r="C221" s="39" t="s">
        <v>561</v>
      </c>
      <c r="D221" t="s">
        <v>4243</v>
      </c>
      <c r="F221" s="56"/>
    </row>
    <row r="222" spans="1:6" ht="15">
      <c r="A222" s="51">
        <v>1859983</v>
      </c>
      <c r="B222" t="s">
        <v>564</v>
      </c>
      <c r="C222" s="39" t="s">
        <v>90</v>
      </c>
      <c r="D222">
        <v>7</v>
      </c>
      <c r="F222" s="56"/>
    </row>
    <row r="223" spans="1:6" ht="15">
      <c r="A223" s="51">
        <v>1859986</v>
      </c>
      <c r="B223" t="s">
        <v>565</v>
      </c>
      <c r="C223" s="39" t="s">
        <v>99</v>
      </c>
      <c r="D223">
        <v>7</v>
      </c>
      <c r="F223" s="56"/>
    </row>
    <row r="224" spans="1:6" ht="15">
      <c r="A224" s="51">
        <v>1859988</v>
      </c>
      <c r="B224" t="s">
        <v>566</v>
      </c>
      <c r="C224" s="39" t="s">
        <v>99</v>
      </c>
      <c r="D224">
        <v>7</v>
      </c>
      <c r="F224" s="56"/>
    </row>
    <row r="225" spans="1:6" ht="15">
      <c r="A225" s="51">
        <v>299885</v>
      </c>
      <c r="B225" t="s">
        <v>567</v>
      </c>
      <c r="C225" s="39" t="s">
        <v>233</v>
      </c>
      <c r="D225" t="s">
        <v>4244</v>
      </c>
      <c r="F225" s="56"/>
    </row>
    <row r="226" spans="1:6" ht="15">
      <c r="A226" s="51">
        <v>318197</v>
      </c>
      <c r="B226" t="s">
        <v>568</v>
      </c>
      <c r="C226" s="39" t="s">
        <v>233</v>
      </c>
      <c r="D226" t="s">
        <v>4244</v>
      </c>
      <c r="F226" s="56"/>
    </row>
    <row r="227" spans="1:6" ht="15">
      <c r="A227" s="51">
        <v>1859990</v>
      </c>
      <c r="B227" t="s">
        <v>569</v>
      </c>
      <c r="C227" s="39" t="s">
        <v>233</v>
      </c>
      <c r="D227" t="s">
        <v>4244</v>
      </c>
      <c r="F227" s="56"/>
    </row>
    <row r="228" spans="1:6" ht="15">
      <c r="A228" s="51">
        <v>299902</v>
      </c>
      <c r="B228" t="s">
        <v>570</v>
      </c>
      <c r="C228" s="39" t="s">
        <v>571</v>
      </c>
      <c r="D228" t="s">
        <v>4246</v>
      </c>
      <c r="F228" s="56"/>
    </row>
    <row r="229" spans="1:6" ht="15">
      <c r="A229" s="51">
        <v>299903</v>
      </c>
      <c r="B229" t="s">
        <v>572</v>
      </c>
      <c r="C229" s="39" t="s">
        <v>571</v>
      </c>
      <c r="D229" t="s">
        <v>4247</v>
      </c>
      <c r="F229" s="56"/>
    </row>
    <row r="230" spans="1:6" ht="15">
      <c r="A230" s="51">
        <v>299904</v>
      </c>
      <c r="B230" t="s">
        <v>573</v>
      </c>
      <c r="C230" s="39" t="s">
        <v>571</v>
      </c>
      <c r="D230" t="s">
        <v>4243</v>
      </c>
      <c r="F230" s="56"/>
    </row>
    <row r="231" spans="1:6" ht="15">
      <c r="A231" s="51">
        <v>299906</v>
      </c>
      <c r="B231" t="s">
        <v>574</v>
      </c>
      <c r="C231" s="39" t="s">
        <v>575</v>
      </c>
      <c r="D231" t="s">
        <v>4244</v>
      </c>
      <c r="F231" s="56"/>
    </row>
    <row r="232" spans="1:6" ht="15">
      <c r="A232" s="51">
        <v>299907</v>
      </c>
      <c r="B232" t="s">
        <v>576</v>
      </c>
      <c r="C232" s="39" t="s">
        <v>575</v>
      </c>
      <c r="D232" t="s">
        <v>4243</v>
      </c>
      <c r="F232" s="56"/>
    </row>
    <row r="233" spans="1:6" ht="15">
      <c r="A233" s="51">
        <v>299908</v>
      </c>
      <c r="B233" t="s">
        <v>577</v>
      </c>
      <c r="C233" s="39" t="s">
        <v>575</v>
      </c>
      <c r="D233">
        <v>8</v>
      </c>
      <c r="F233" s="56"/>
    </row>
    <row r="234" spans="1:6" ht="15">
      <c r="A234" s="51">
        <v>299909</v>
      </c>
      <c r="B234" t="s">
        <v>578</v>
      </c>
      <c r="C234" s="39" t="s">
        <v>575</v>
      </c>
      <c r="D234">
        <v>8</v>
      </c>
      <c r="F234" s="56"/>
    </row>
    <row r="235" spans="1:6" ht="15">
      <c r="A235" s="51">
        <v>318646</v>
      </c>
      <c r="B235" t="s">
        <v>579</v>
      </c>
      <c r="C235" s="39" t="s">
        <v>264</v>
      </c>
      <c r="D235" t="s">
        <v>4245</v>
      </c>
      <c r="F235" s="56"/>
    </row>
    <row r="236" spans="1:6" ht="15">
      <c r="A236" s="51">
        <v>299910</v>
      </c>
      <c r="B236" t="s">
        <v>580</v>
      </c>
      <c r="C236" s="39" t="s">
        <v>264</v>
      </c>
      <c r="D236" t="s">
        <v>4245</v>
      </c>
      <c r="F236" s="56"/>
    </row>
    <row r="237" spans="1:6" ht="15">
      <c r="A237" s="51">
        <v>299911</v>
      </c>
      <c r="B237" t="s">
        <v>581</v>
      </c>
      <c r="C237" s="39" t="s">
        <v>264</v>
      </c>
      <c r="D237" t="s">
        <v>4244</v>
      </c>
      <c r="F237" s="56"/>
    </row>
    <row r="238" spans="1:6" ht="15">
      <c r="A238" s="51">
        <v>299912</v>
      </c>
      <c r="B238" t="s">
        <v>582</v>
      </c>
      <c r="C238" s="39" t="s">
        <v>264</v>
      </c>
      <c r="D238" t="s">
        <v>4243</v>
      </c>
      <c r="F238" s="56"/>
    </row>
    <row r="239" spans="1:6" ht="15">
      <c r="A239" s="51">
        <v>299913</v>
      </c>
      <c r="B239" t="s">
        <v>583</v>
      </c>
      <c r="C239" s="39" t="s">
        <v>264</v>
      </c>
      <c r="D239">
        <v>8</v>
      </c>
      <c r="F239" s="56"/>
    </row>
    <row r="240" spans="1:6" ht="15">
      <c r="A240" s="51">
        <v>299914</v>
      </c>
      <c r="B240" t="s">
        <v>584</v>
      </c>
      <c r="C240" s="39" t="s">
        <v>264</v>
      </c>
      <c r="D240">
        <v>8</v>
      </c>
      <c r="F240" s="56"/>
    </row>
    <row r="241" spans="1:6" ht="15">
      <c r="A241" s="51">
        <v>299915</v>
      </c>
      <c r="B241" t="s">
        <v>585</v>
      </c>
      <c r="C241" s="39" t="s">
        <v>586</v>
      </c>
      <c r="D241" t="s">
        <v>4243</v>
      </c>
      <c r="F241" s="56"/>
    </row>
    <row r="242" spans="1:6" ht="15">
      <c r="A242" s="51">
        <v>318648</v>
      </c>
      <c r="B242" t="s">
        <v>587</v>
      </c>
      <c r="C242" s="39" t="s">
        <v>588</v>
      </c>
      <c r="D242" t="s">
        <v>4247</v>
      </c>
      <c r="F242" s="56"/>
    </row>
    <row r="243" spans="1:6" ht="15">
      <c r="A243" s="51">
        <v>299927</v>
      </c>
      <c r="B243" t="s">
        <v>589</v>
      </c>
      <c r="C243" s="39" t="s">
        <v>588</v>
      </c>
      <c r="D243" t="s">
        <v>4247</v>
      </c>
      <c r="F243" s="56"/>
    </row>
    <row r="244" spans="1:6" ht="15">
      <c r="A244" s="51">
        <v>299928</v>
      </c>
      <c r="B244" t="s">
        <v>590</v>
      </c>
      <c r="C244" s="39" t="s">
        <v>588</v>
      </c>
      <c r="D244" t="s">
        <v>4243</v>
      </c>
      <c r="F244" s="56"/>
    </row>
    <row r="245" spans="1:6" ht="15">
      <c r="A245" s="51">
        <v>318165</v>
      </c>
      <c r="B245" t="s">
        <v>591</v>
      </c>
      <c r="C245" s="39" t="s">
        <v>588</v>
      </c>
      <c r="D245">
        <v>8</v>
      </c>
      <c r="F245" s="56"/>
    </row>
    <row r="246" spans="1:6" ht="15">
      <c r="A246" s="51">
        <v>318166</v>
      </c>
      <c r="B246" t="s">
        <v>592</v>
      </c>
      <c r="C246" s="39" t="s">
        <v>588</v>
      </c>
      <c r="D246">
        <v>8</v>
      </c>
      <c r="F246" s="56"/>
    </row>
    <row r="247" spans="1:6" ht="15">
      <c r="A247" s="51">
        <v>299929</v>
      </c>
      <c r="B247" t="s">
        <v>593</v>
      </c>
      <c r="C247" s="39" t="s">
        <v>594</v>
      </c>
      <c r="D247" t="s">
        <v>4244</v>
      </c>
      <c r="F247" s="56"/>
    </row>
    <row r="248" spans="1:6" ht="15">
      <c r="A248" s="51">
        <v>299930</v>
      </c>
      <c r="B248" t="s">
        <v>595</v>
      </c>
      <c r="C248" s="39" t="s">
        <v>594</v>
      </c>
      <c r="D248">
        <v>7</v>
      </c>
      <c r="F248" s="56"/>
    </row>
    <row r="249" spans="1:6" ht="15">
      <c r="A249" s="51">
        <v>299931</v>
      </c>
      <c r="B249" t="s">
        <v>596</v>
      </c>
      <c r="C249" s="39" t="s">
        <v>594</v>
      </c>
      <c r="D249">
        <v>8</v>
      </c>
      <c r="F249" s="56"/>
    </row>
    <row r="250" spans="1:6" ht="15">
      <c r="A250" s="51">
        <v>299933</v>
      </c>
      <c r="B250" t="s">
        <v>597</v>
      </c>
      <c r="C250" s="39" t="s">
        <v>598</v>
      </c>
      <c r="D250">
        <v>7</v>
      </c>
      <c r="F250" s="56"/>
    </row>
    <row r="251" spans="1:6" ht="15">
      <c r="A251" s="51">
        <v>299934</v>
      </c>
      <c r="B251" t="s">
        <v>599</v>
      </c>
      <c r="C251" s="39" t="s">
        <v>598</v>
      </c>
      <c r="D251">
        <v>7</v>
      </c>
      <c r="F251" s="56"/>
    </row>
    <row r="252" spans="1:6" ht="15">
      <c r="A252" s="51">
        <v>299935</v>
      </c>
      <c r="B252" t="s">
        <v>600</v>
      </c>
      <c r="C252" s="39" t="s">
        <v>598</v>
      </c>
      <c r="D252">
        <v>8</v>
      </c>
      <c r="F252" s="56"/>
    </row>
    <row r="253" spans="1:6" ht="15">
      <c r="A253" s="51">
        <v>299936</v>
      </c>
      <c r="B253" t="s">
        <v>601</v>
      </c>
      <c r="C253" s="39" t="s">
        <v>598</v>
      </c>
      <c r="D253">
        <v>8</v>
      </c>
      <c r="F253" s="56"/>
    </row>
    <row r="254" spans="1:6" ht="15">
      <c r="A254" s="51">
        <v>299937</v>
      </c>
      <c r="B254" t="s">
        <v>602</v>
      </c>
      <c r="C254" s="39" t="s">
        <v>603</v>
      </c>
      <c r="D254" t="s">
        <v>4247</v>
      </c>
      <c r="F254" s="56"/>
    </row>
    <row r="255" spans="1:6" ht="15">
      <c r="A255" s="51">
        <v>299938</v>
      </c>
      <c r="B255" t="s">
        <v>604</v>
      </c>
      <c r="C255" s="39" t="s">
        <v>603</v>
      </c>
      <c r="D255" t="s">
        <v>4243</v>
      </c>
      <c r="F255" s="56"/>
    </row>
    <row r="256" spans="1:6" ht="15">
      <c r="A256" s="51">
        <v>299939</v>
      </c>
      <c r="B256" t="s">
        <v>605</v>
      </c>
      <c r="C256" s="39" t="s">
        <v>603</v>
      </c>
      <c r="D256">
        <v>7</v>
      </c>
      <c r="F256" s="56"/>
    </row>
    <row r="257" spans="1:6" ht="15">
      <c r="A257" s="51">
        <v>299940</v>
      </c>
      <c r="B257" t="s">
        <v>606</v>
      </c>
      <c r="C257" s="39" t="s">
        <v>603</v>
      </c>
      <c r="D257">
        <v>8</v>
      </c>
      <c r="F257" s="56"/>
    </row>
    <row r="258" spans="1:6" ht="15">
      <c r="A258" s="51">
        <v>299941</v>
      </c>
      <c r="B258" t="s">
        <v>607</v>
      </c>
      <c r="C258" s="39" t="s">
        <v>603</v>
      </c>
      <c r="D258">
        <v>8</v>
      </c>
      <c r="F258" s="56"/>
    </row>
    <row r="259" spans="1:6" ht="15">
      <c r="A259" s="51">
        <v>299942</v>
      </c>
      <c r="B259" t="s">
        <v>608</v>
      </c>
      <c r="C259" s="39" t="s">
        <v>192</v>
      </c>
      <c r="D259" t="s">
        <v>4247</v>
      </c>
      <c r="F259" s="56"/>
    </row>
    <row r="260" spans="1:6" ht="15">
      <c r="A260" s="51">
        <v>299943</v>
      </c>
      <c r="B260" t="s">
        <v>609</v>
      </c>
      <c r="C260" s="39" t="s">
        <v>192</v>
      </c>
      <c r="D260" t="s">
        <v>4243</v>
      </c>
      <c r="F260" s="56"/>
    </row>
    <row r="261" spans="1:6" ht="15">
      <c r="A261" s="51">
        <v>299944</v>
      </c>
      <c r="B261" t="s">
        <v>610</v>
      </c>
      <c r="C261" s="39" t="s">
        <v>192</v>
      </c>
      <c r="D261">
        <v>7</v>
      </c>
      <c r="F261" s="56"/>
    </row>
    <row r="262" spans="1:6" ht="15">
      <c r="A262" s="51">
        <v>318199</v>
      </c>
      <c r="B262" t="s">
        <v>611</v>
      </c>
      <c r="C262" s="39" t="s">
        <v>192</v>
      </c>
      <c r="D262">
        <v>8</v>
      </c>
      <c r="F262" s="56"/>
    </row>
    <row r="263" spans="1:6" ht="15">
      <c r="A263" s="51">
        <v>299948</v>
      </c>
      <c r="B263" t="s">
        <v>612</v>
      </c>
      <c r="C263" s="39" t="s">
        <v>192</v>
      </c>
      <c r="D263">
        <v>8</v>
      </c>
      <c r="F263" s="56"/>
    </row>
    <row r="264" spans="1:6" ht="15">
      <c r="A264" s="51">
        <v>299949</v>
      </c>
      <c r="B264" t="s">
        <v>613</v>
      </c>
      <c r="C264" s="39" t="s">
        <v>192</v>
      </c>
      <c r="D264">
        <v>8</v>
      </c>
      <c r="F264" s="56"/>
    </row>
    <row r="265" spans="1:6" ht="15">
      <c r="A265" s="51">
        <v>299950</v>
      </c>
      <c r="B265" t="s">
        <v>614</v>
      </c>
      <c r="C265" s="39" t="s">
        <v>615</v>
      </c>
      <c r="D265">
        <v>8</v>
      </c>
      <c r="F265" s="56"/>
    </row>
    <row r="266" spans="1:6" ht="15">
      <c r="A266" s="51">
        <v>299951</v>
      </c>
      <c r="B266" t="s">
        <v>616</v>
      </c>
      <c r="C266" s="39" t="s">
        <v>615</v>
      </c>
      <c r="D266">
        <v>8</v>
      </c>
      <c r="F266" s="56"/>
    </row>
    <row r="267" spans="1:6" ht="15">
      <c r="A267" s="51">
        <v>299952</v>
      </c>
      <c r="B267" t="s">
        <v>617</v>
      </c>
      <c r="C267" s="39" t="s">
        <v>618</v>
      </c>
      <c r="D267" t="s">
        <v>4243</v>
      </c>
      <c r="F267" s="56"/>
    </row>
    <row r="268" spans="1:6" ht="15">
      <c r="A268" s="51">
        <v>299953</v>
      </c>
      <c r="B268" t="s">
        <v>619</v>
      </c>
      <c r="C268" s="39" t="s">
        <v>618</v>
      </c>
      <c r="D268" t="s">
        <v>4243</v>
      </c>
      <c r="F268" s="56"/>
    </row>
    <row r="269" spans="1:6" ht="15">
      <c r="A269" s="51">
        <v>318202</v>
      </c>
      <c r="B269" t="s">
        <v>620</v>
      </c>
      <c r="C269" s="39" t="s">
        <v>618</v>
      </c>
      <c r="D269">
        <v>7</v>
      </c>
      <c r="F269" s="56"/>
    </row>
    <row r="270" spans="1:6" ht="15">
      <c r="A270" s="51">
        <v>299954</v>
      </c>
      <c r="B270" t="s">
        <v>621</v>
      </c>
      <c r="C270" s="39" t="s">
        <v>274</v>
      </c>
      <c r="D270" t="s">
        <v>4243</v>
      </c>
      <c r="F270" s="56"/>
    </row>
    <row r="271" spans="1:6" ht="15">
      <c r="A271" s="51">
        <v>299955</v>
      </c>
      <c r="B271" t="s">
        <v>622</v>
      </c>
      <c r="C271" s="39" t="s">
        <v>274</v>
      </c>
      <c r="D271" t="s">
        <v>4243</v>
      </c>
      <c r="F271" s="56"/>
    </row>
    <row r="272" spans="1:6" ht="15">
      <c r="A272" s="51">
        <v>299956</v>
      </c>
      <c r="B272" t="s">
        <v>623</v>
      </c>
      <c r="C272" s="39" t="s">
        <v>274</v>
      </c>
      <c r="D272">
        <v>7</v>
      </c>
      <c r="F272" s="56"/>
    </row>
    <row r="273" spans="1:6" ht="15">
      <c r="A273" s="51">
        <v>318203</v>
      </c>
      <c r="B273" t="s">
        <v>624</v>
      </c>
      <c r="C273" s="39" t="s">
        <v>274</v>
      </c>
      <c r="D273">
        <v>8</v>
      </c>
      <c r="F273" s="56"/>
    </row>
    <row r="274" spans="1:6" ht="15">
      <c r="A274" s="51">
        <v>299957</v>
      </c>
      <c r="B274" t="s">
        <v>625</v>
      </c>
      <c r="C274" s="39" t="s">
        <v>626</v>
      </c>
      <c r="D274" t="s">
        <v>4243</v>
      </c>
      <c r="F274" s="56"/>
    </row>
    <row r="275" spans="1:6" ht="15">
      <c r="A275" s="51">
        <v>299958</v>
      </c>
      <c r="B275" t="s">
        <v>627</v>
      </c>
      <c r="C275" s="39" t="s">
        <v>626</v>
      </c>
      <c r="D275" t="s">
        <v>4243</v>
      </c>
      <c r="F275" s="56"/>
    </row>
    <row r="276" spans="1:6" ht="15">
      <c r="A276" s="51">
        <v>299959</v>
      </c>
      <c r="B276" t="s">
        <v>628</v>
      </c>
      <c r="C276" s="39" t="s">
        <v>626</v>
      </c>
      <c r="D276">
        <v>7</v>
      </c>
      <c r="F276" s="56"/>
    </row>
    <row r="277" spans="1:6" ht="15">
      <c r="A277" s="51">
        <v>299961</v>
      </c>
      <c r="B277" t="s">
        <v>629</v>
      </c>
      <c r="C277" s="39" t="s">
        <v>630</v>
      </c>
      <c r="D277">
        <v>8</v>
      </c>
      <c r="F277" s="56"/>
    </row>
    <row r="278" spans="1:6" ht="15">
      <c r="A278" s="51">
        <v>299962</v>
      </c>
      <c r="B278" t="s">
        <v>631</v>
      </c>
      <c r="C278" s="39" t="s">
        <v>630</v>
      </c>
      <c r="D278">
        <v>8</v>
      </c>
      <c r="F278" s="56"/>
    </row>
    <row r="279" spans="1:6" ht="15">
      <c r="A279" s="51">
        <v>299963</v>
      </c>
      <c r="B279" t="s">
        <v>632</v>
      </c>
      <c r="C279" s="39" t="s">
        <v>633</v>
      </c>
      <c r="D279">
        <v>8</v>
      </c>
      <c r="F279" s="56"/>
    </row>
    <row r="280" spans="1:6" ht="15">
      <c r="A280" s="51">
        <v>299964</v>
      </c>
      <c r="B280" t="s">
        <v>634</v>
      </c>
      <c r="C280" s="39" t="s">
        <v>633</v>
      </c>
      <c r="D280">
        <v>8</v>
      </c>
      <c r="F280" s="56"/>
    </row>
    <row r="281" spans="1:6" ht="15">
      <c r="A281" s="51">
        <v>299965</v>
      </c>
      <c r="B281" t="s">
        <v>635</v>
      </c>
      <c r="C281" s="39" t="s">
        <v>633</v>
      </c>
      <c r="D281">
        <v>8</v>
      </c>
      <c r="F281" s="56"/>
    </row>
    <row r="282" spans="1:6" ht="15">
      <c r="A282" s="51">
        <v>299966</v>
      </c>
      <c r="B282" t="s">
        <v>636</v>
      </c>
      <c r="C282" s="39" t="s">
        <v>249</v>
      </c>
      <c r="D282" t="s">
        <v>4247</v>
      </c>
      <c r="F282" s="56"/>
    </row>
    <row r="283" spans="1:6" ht="15">
      <c r="A283" s="51">
        <v>299967</v>
      </c>
      <c r="B283" t="s">
        <v>637</v>
      </c>
      <c r="C283" s="39" t="s">
        <v>249</v>
      </c>
      <c r="D283" t="s">
        <v>4243</v>
      </c>
      <c r="F283" s="56"/>
    </row>
    <row r="284" spans="1:6" ht="15">
      <c r="A284" s="51">
        <v>299968</v>
      </c>
      <c r="B284" t="s">
        <v>638</v>
      </c>
      <c r="C284" s="39" t="s">
        <v>249</v>
      </c>
      <c r="D284">
        <v>7</v>
      </c>
      <c r="F284" s="56"/>
    </row>
    <row r="285" spans="1:6" ht="15">
      <c r="A285" s="51">
        <v>299969</v>
      </c>
      <c r="B285" t="s">
        <v>639</v>
      </c>
      <c r="C285" s="39" t="s">
        <v>249</v>
      </c>
      <c r="D285">
        <v>8</v>
      </c>
      <c r="F285" s="56"/>
    </row>
    <row r="286" spans="1:6" ht="15">
      <c r="A286" s="51">
        <v>299970</v>
      </c>
      <c r="B286" t="s">
        <v>640</v>
      </c>
      <c r="C286" s="39" t="s">
        <v>249</v>
      </c>
      <c r="D286">
        <v>8</v>
      </c>
      <c r="F286" s="56"/>
    </row>
    <row r="287" spans="1:6" ht="15">
      <c r="A287" s="51">
        <v>299971</v>
      </c>
      <c r="B287" t="s">
        <v>641</v>
      </c>
      <c r="C287" s="39" t="s">
        <v>642</v>
      </c>
      <c r="D287">
        <v>7</v>
      </c>
      <c r="F287" s="56"/>
    </row>
    <row r="288" spans="1:6" ht="15">
      <c r="A288" s="51">
        <v>299972</v>
      </c>
      <c r="B288" t="s">
        <v>643</v>
      </c>
      <c r="C288" s="39" t="s">
        <v>642</v>
      </c>
      <c r="D288">
        <v>7</v>
      </c>
      <c r="F288" s="56"/>
    </row>
    <row r="289" spans="1:6" ht="15">
      <c r="A289" s="51">
        <v>318148</v>
      </c>
      <c r="B289" t="s">
        <v>644</v>
      </c>
      <c r="C289" s="39" t="s">
        <v>642</v>
      </c>
      <c r="D289">
        <v>8</v>
      </c>
      <c r="F289" s="56"/>
    </row>
    <row r="290" spans="1:6" ht="15">
      <c r="A290" s="51">
        <v>1859993</v>
      </c>
      <c r="B290" t="s">
        <v>645</v>
      </c>
      <c r="C290" s="39" t="s">
        <v>88</v>
      </c>
      <c r="D290">
        <v>8</v>
      </c>
      <c r="F290" s="56"/>
    </row>
    <row r="291" spans="1:6" ht="15">
      <c r="A291" s="51">
        <v>299975</v>
      </c>
      <c r="B291" t="s">
        <v>646</v>
      </c>
      <c r="C291" s="39" t="s">
        <v>647</v>
      </c>
      <c r="D291" t="s">
        <v>4243</v>
      </c>
      <c r="F291" s="56"/>
    </row>
    <row r="292" spans="1:6" ht="15">
      <c r="A292" s="51">
        <v>299976</v>
      </c>
      <c r="B292" t="s">
        <v>648</v>
      </c>
      <c r="C292" s="39" t="s">
        <v>647</v>
      </c>
      <c r="D292" t="s">
        <v>4243</v>
      </c>
      <c r="F292" s="56"/>
    </row>
    <row r="293" spans="1:6" ht="15">
      <c r="A293" s="51">
        <v>299977</v>
      </c>
      <c r="B293" t="s">
        <v>649</v>
      </c>
      <c r="C293" s="39" t="s">
        <v>647</v>
      </c>
      <c r="D293">
        <v>7</v>
      </c>
      <c r="F293" s="56"/>
    </row>
    <row r="294" spans="1:6" ht="15">
      <c r="A294" s="51">
        <v>299978</v>
      </c>
      <c r="B294" t="s">
        <v>650</v>
      </c>
      <c r="C294" s="39" t="s">
        <v>651</v>
      </c>
      <c r="D294">
        <v>7</v>
      </c>
      <c r="F294" s="56"/>
    </row>
    <row r="295" spans="1:6" ht="15">
      <c r="A295" s="51">
        <v>318145</v>
      </c>
      <c r="B295" t="s">
        <v>652</v>
      </c>
      <c r="C295" s="39" t="s">
        <v>651</v>
      </c>
      <c r="D295">
        <v>7</v>
      </c>
      <c r="F295" s="56"/>
    </row>
    <row r="296" spans="1:6" ht="15">
      <c r="A296" s="51">
        <v>299979</v>
      </c>
      <c r="B296" t="s">
        <v>653</v>
      </c>
      <c r="C296" s="39" t="s">
        <v>375</v>
      </c>
      <c r="D296" t="s">
        <v>4243</v>
      </c>
      <c r="F296" s="56"/>
    </row>
    <row r="297" spans="1:6" ht="15">
      <c r="A297" s="51">
        <v>299980</v>
      </c>
      <c r="B297" t="s">
        <v>654</v>
      </c>
      <c r="C297" s="39" t="s">
        <v>375</v>
      </c>
      <c r="D297">
        <v>7</v>
      </c>
      <c r="F297" s="56"/>
    </row>
    <row r="298" spans="1:6" ht="15">
      <c r="A298" s="51">
        <v>299981</v>
      </c>
      <c r="B298" t="s">
        <v>655</v>
      </c>
      <c r="C298" s="39" t="s">
        <v>375</v>
      </c>
      <c r="D298">
        <v>7</v>
      </c>
      <c r="F298" s="56"/>
    </row>
    <row r="299" spans="1:6" ht="15">
      <c r="A299" s="51">
        <v>299982</v>
      </c>
      <c r="B299" t="s">
        <v>656</v>
      </c>
      <c r="C299" s="39" t="s">
        <v>375</v>
      </c>
      <c r="D299">
        <v>8</v>
      </c>
      <c r="F299" s="56"/>
    </row>
    <row r="300" spans="1:6" ht="15">
      <c r="A300" s="51">
        <v>299983</v>
      </c>
      <c r="B300" t="s">
        <v>657</v>
      </c>
      <c r="C300" s="39" t="s">
        <v>375</v>
      </c>
      <c r="D300">
        <v>8</v>
      </c>
      <c r="F300" s="56"/>
    </row>
    <row r="301" spans="1:6" ht="15">
      <c r="A301" s="51">
        <v>299985</v>
      </c>
      <c r="B301" t="s">
        <v>658</v>
      </c>
      <c r="C301" s="39" t="s">
        <v>630</v>
      </c>
      <c r="D301" t="s">
        <v>4244</v>
      </c>
      <c r="F301" s="56"/>
    </row>
    <row r="302" spans="1:6" ht="15">
      <c r="A302" s="51">
        <v>299986</v>
      </c>
      <c r="B302" t="s">
        <v>659</v>
      </c>
      <c r="C302" s="39" t="s">
        <v>630</v>
      </c>
      <c r="D302">
        <v>7</v>
      </c>
      <c r="F302" s="56"/>
    </row>
    <row r="303" spans="1:6" ht="15">
      <c r="A303" s="51">
        <v>299987</v>
      </c>
      <c r="B303" t="s">
        <v>660</v>
      </c>
      <c r="C303" s="39" t="s">
        <v>630</v>
      </c>
      <c r="D303">
        <v>8</v>
      </c>
      <c r="F303" s="56"/>
    </row>
    <row r="304" spans="1:6" ht="15">
      <c r="A304" s="51">
        <v>299988</v>
      </c>
      <c r="B304" t="s">
        <v>661</v>
      </c>
      <c r="C304" s="39" t="s">
        <v>630</v>
      </c>
      <c r="D304">
        <v>8</v>
      </c>
      <c r="F304" s="56"/>
    </row>
    <row r="305" spans="1:6" ht="15">
      <c r="A305" s="51">
        <v>299989</v>
      </c>
      <c r="B305" t="s">
        <v>662</v>
      </c>
      <c r="C305" s="39" t="s">
        <v>630</v>
      </c>
      <c r="D305">
        <v>8</v>
      </c>
      <c r="F305" s="56"/>
    </row>
    <row r="306" spans="1:6" ht="15">
      <c r="A306" s="51">
        <v>299992</v>
      </c>
      <c r="B306" t="s">
        <v>663</v>
      </c>
      <c r="C306" s="39" t="s">
        <v>664</v>
      </c>
      <c r="D306" t="s">
        <v>4243</v>
      </c>
      <c r="F306" s="56"/>
    </row>
    <row r="307" spans="1:6" ht="15">
      <c r="A307" s="51">
        <v>299993</v>
      </c>
      <c r="B307" t="s">
        <v>665</v>
      </c>
      <c r="C307" s="39" t="s">
        <v>664</v>
      </c>
      <c r="D307" t="s">
        <v>4243</v>
      </c>
      <c r="F307" s="56"/>
    </row>
    <row r="308" spans="1:6" ht="15">
      <c r="A308" s="51">
        <v>299994</v>
      </c>
      <c r="B308" t="s">
        <v>666</v>
      </c>
      <c r="C308" s="39" t="s">
        <v>664</v>
      </c>
      <c r="D308">
        <v>7</v>
      </c>
      <c r="F308" s="56"/>
    </row>
    <row r="309" spans="1:6" ht="15">
      <c r="A309" s="51">
        <v>299995</v>
      </c>
      <c r="B309" t="s">
        <v>667</v>
      </c>
      <c r="C309" s="39" t="s">
        <v>664</v>
      </c>
      <c r="D309">
        <v>8</v>
      </c>
      <c r="F309" s="56"/>
    </row>
    <row r="310" spans="1:6" ht="15">
      <c r="A310" s="51">
        <v>318651</v>
      </c>
      <c r="B310" t="s">
        <v>668</v>
      </c>
      <c r="C310" s="39" t="s">
        <v>669</v>
      </c>
      <c r="D310" t="s">
        <v>4246</v>
      </c>
      <c r="F310" s="56"/>
    </row>
    <row r="311" spans="1:6" ht="15">
      <c r="A311" s="51">
        <v>299996</v>
      </c>
      <c r="B311" t="s">
        <v>670</v>
      </c>
      <c r="C311" s="39" t="s">
        <v>669</v>
      </c>
      <c r="D311" t="s">
        <v>4246</v>
      </c>
      <c r="F311" s="56"/>
    </row>
    <row r="312" spans="1:6" ht="15">
      <c r="A312" s="51">
        <v>299997</v>
      </c>
      <c r="B312" t="s">
        <v>671</v>
      </c>
      <c r="C312" s="39" t="s">
        <v>669</v>
      </c>
      <c r="D312" t="s">
        <v>4244</v>
      </c>
      <c r="F312" s="56"/>
    </row>
    <row r="313" spans="1:6" ht="15">
      <c r="A313" s="51">
        <v>299998</v>
      </c>
      <c r="B313" t="s">
        <v>672</v>
      </c>
      <c r="C313" s="39" t="s">
        <v>669</v>
      </c>
      <c r="D313" t="s">
        <v>4243</v>
      </c>
      <c r="F313" s="56"/>
    </row>
    <row r="314" spans="1:6" ht="15">
      <c r="A314" s="51">
        <v>299999</v>
      </c>
      <c r="B314" t="s">
        <v>673</v>
      </c>
      <c r="C314" s="39" t="s">
        <v>669</v>
      </c>
      <c r="D314">
        <v>8</v>
      </c>
      <c r="F314" s="56"/>
    </row>
    <row r="315" spans="1:6" ht="15">
      <c r="A315" s="51">
        <v>318652</v>
      </c>
      <c r="B315" t="s">
        <v>674</v>
      </c>
      <c r="C315" s="39" t="s">
        <v>669</v>
      </c>
      <c r="D315">
        <v>9</v>
      </c>
      <c r="F315" s="56"/>
    </row>
    <row r="316" spans="1:6" ht="15">
      <c r="A316" s="51">
        <v>2512430</v>
      </c>
      <c r="B316" t="s">
        <v>675</v>
      </c>
      <c r="C316" s="39" t="s">
        <v>676</v>
      </c>
      <c r="D316" t="s">
        <v>4244</v>
      </c>
      <c r="F316" s="56"/>
    </row>
    <row r="317" spans="1:6" ht="15">
      <c r="A317" s="51">
        <v>300008</v>
      </c>
      <c r="B317" t="s">
        <v>677</v>
      </c>
      <c r="C317" s="39" t="s">
        <v>678</v>
      </c>
      <c r="D317" t="s">
        <v>4247</v>
      </c>
      <c r="F317" s="56"/>
    </row>
    <row r="318" spans="1:6" ht="15">
      <c r="A318" s="51">
        <v>300009</v>
      </c>
      <c r="B318" t="s">
        <v>679</v>
      </c>
      <c r="C318" s="39" t="s">
        <v>678</v>
      </c>
      <c r="D318" t="s">
        <v>4243</v>
      </c>
      <c r="F318" s="56"/>
    </row>
    <row r="319" spans="1:6" ht="15">
      <c r="A319" s="51">
        <v>300010</v>
      </c>
      <c r="B319" t="s">
        <v>680</v>
      </c>
      <c r="C319" s="39" t="s">
        <v>678</v>
      </c>
      <c r="D319">
        <v>7</v>
      </c>
      <c r="F319" s="56"/>
    </row>
    <row r="320" spans="1:6" ht="15">
      <c r="A320" s="51">
        <v>300012</v>
      </c>
      <c r="B320" t="s">
        <v>681</v>
      </c>
      <c r="C320" s="39" t="s">
        <v>682</v>
      </c>
      <c r="D320">
        <v>7</v>
      </c>
      <c r="F320" s="56"/>
    </row>
    <row r="321" spans="1:6" ht="15">
      <c r="A321" s="51">
        <v>300013</v>
      </c>
      <c r="B321" t="s">
        <v>683</v>
      </c>
      <c r="C321" s="39" t="s">
        <v>682</v>
      </c>
      <c r="D321">
        <v>8</v>
      </c>
      <c r="F321" s="56"/>
    </row>
    <row r="322" spans="1:6" ht="15">
      <c r="A322" s="51">
        <v>300014</v>
      </c>
      <c r="B322" t="s">
        <v>684</v>
      </c>
      <c r="C322" s="39" t="s">
        <v>685</v>
      </c>
      <c r="D322">
        <v>7</v>
      </c>
      <c r="F322" s="56"/>
    </row>
    <row r="323" spans="1:6" ht="15">
      <c r="A323" s="51">
        <v>300015</v>
      </c>
      <c r="B323" t="s">
        <v>686</v>
      </c>
      <c r="C323" s="39" t="s">
        <v>685</v>
      </c>
      <c r="D323">
        <v>7</v>
      </c>
      <c r="F323" s="56"/>
    </row>
    <row r="324" spans="1:6" ht="15">
      <c r="A324" s="51">
        <v>300016</v>
      </c>
      <c r="B324" t="s">
        <v>687</v>
      </c>
      <c r="C324" s="39" t="s">
        <v>685</v>
      </c>
      <c r="D324">
        <v>8</v>
      </c>
      <c r="F324" s="56"/>
    </row>
    <row r="325" spans="1:6" ht="15">
      <c r="A325" s="51">
        <v>300017</v>
      </c>
      <c r="B325" t="s">
        <v>688</v>
      </c>
      <c r="C325" s="39" t="s">
        <v>689</v>
      </c>
      <c r="D325">
        <v>7</v>
      </c>
      <c r="F325" s="56"/>
    </row>
    <row r="326" spans="1:6" ht="15">
      <c r="A326" s="51">
        <v>300018</v>
      </c>
      <c r="B326" t="s">
        <v>690</v>
      </c>
      <c r="C326" s="39" t="s">
        <v>689</v>
      </c>
      <c r="D326">
        <v>7</v>
      </c>
      <c r="F326" s="56"/>
    </row>
    <row r="327" spans="1:6" ht="15">
      <c r="A327" s="51">
        <v>318149</v>
      </c>
      <c r="B327" t="s">
        <v>691</v>
      </c>
      <c r="C327" s="39" t="s">
        <v>689</v>
      </c>
      <c r="D327">
        <v>8</v>
      </c>
      <c r="F327" s="56"/>
    </row>
    <row r="328" spans="1:6" ht="15">
      <c r="A328" s="51">
        <v>300020</v>
      </c>
      <c r="B328" t="s">
        <v>692</v>
      </c>
      <c r="C328" s="39" t="s">
        <v>693</v>
      </c>
      <c r="D328">
        <v>7</v>
      </c>
      <c r="F328" s="56"/>
    </row>
    <row r="329" spans="1:6" ht="15">
      <c r="A329" s="51">
        <v>300021</v>
      </c>
      <c r="B329" t="s">
        <v>694</v>
      </c>
      <c r="C329" s="39" t="s">
        <v>693</v>
      </c>
      <c r="D329">
        <v>8</v>
      </c>
      <c r="F329" s="56"/>
    </row>
    <row r="330" spans="1:6" ht="15">
      <c r="A330" s="51">
        <v>2023871</v>
      </c>
      <c r="B330" t="s">
        <v>695</v>
      </c>
      <c r="C330" s="39" t="s">
        <v>696</v>
      </c>
      <c r="D330" t="s">
        <v>4243</v>
      </c>
      <c r="F330" s="56"/>
    </row>
    <row r="331" spans="1:6" ht="15">
      <c r="A331" s="51">
        <v>2023873</v>
      </c>
      <c r="B331" t="s">
        <v>697</v>
      </c>
      <c r="C331" s="39" t="s">
        <v>698</v>
      </c>
      <c r="D331" t="s">
        <v>4243</v>
      </c>
      <c r="F331" s="56"/>
    </row>
    <row r="332" spans="1:6" ht="15">
      <c r="A332" s="51">
        <v>1860002</v>
      </c>
      <c r="B332" t="s">
        <v>699</v>
      </c>
      <c r="C332" s="39" t="s">
        <v>700</v>
      </c>
      <c r="D332" t="s">
        <v>4249</v>
      </c>
      <c r="F332" s="56"/>
    </row>
    <row r="333" spans="1:6" ht="15">
      <c r="A333" s="51">
        <v>300029</v>
      </c>
      <c r="B333" t="s">
        <v>701</v>
      </c>
      <c r="C333" s="39" t="s">
        <v>702</v>
      </c>
      <c r="D333" t="s">
        <v>4247</v>
      </c>
      <c r="F333" s="56"/>
    </row>
    <row r="334" spans="1:6" ht="15">
      <c r="A334" s="51">
        <v>300030</v>
      </c>
      <c r="B334" t="s">
        <v>703</v>
      </c>
      <c r="C334" s="39" t="s">
        <v>702</v>
      </c>
      <c r="D334" t="s">
        <v>4243</v>
      </c>
      <c r="F334" s="56"/>
    </row>
    <row r="335" spans="1:6" ht="15">
      <c r="A335" s="51">
        <v>300031</v>
      </c>
      <c r="B335" t="s">
        <v>704</v>
      </c>
      <c r="C335" s="39" t="s">
        <v>702</v>
      </c>
      <c r="D335">
        <v>8</v>
      </c>
      <c r="F335" s="56"/>
    </row>
    <row r="336" spans="1:6" ht="15">
      <c r="A336" s="51">
        <v>300032</v>
      </c>
      <c r="B336" t="s">
        <v>705</v>
      </c>
      <c r="C336" s="39" t="s">
        <v>702</v>
      </c>
      <c r="D336">
        <v>8</v>
      </c>
      <c r="F336" s="56"/>
    </row>
    <row r="337" spans="1:6" ht="15">
      <c r="A337" s="51">
        <v>300033</v>
      </c>
      <c r="B337" t="s">
        <v>706</v>
      </c>
      <c r="C337" s="39" t="s">
        <v>702</v>
      </c>
      <c r="D337">
        <v>8</v>
      </c>
      <c r="F337" s="56"/>
    </row>
    <row r="338" spans="1:6" ht="15">
      <c r="A338" s="51">
        <v>300034</v>
      </c>
      <c r="B338" t="s">
        <v>707</v>
      </c>
      <c r="C338" s="39" t="s">
        <v>708</v>
      </c>
      <c r="D338" t="s">
        <v>4244</v>
      </c>
      <c r="F338" s="56"/>
    </row>
    <row r="339" spans="1:6" ht="15">
      <c r="A339" s="51">
        <v>300035</v>
      </c>
      <c r="B339" t="s">
        <v>709</v>
      </c>
      <c r="C339" s="39" t="s">
        <v>708</v>
      </c>
      <c r="D339" t="s">
        <v>4243</v>
      </c>
      <c r="F339" s="56"/>
    </row>
    <row r="340" spans="1:6" ht="15">
      <c r="A340" s="51">
        <v>300036</v>
      </c>
      <c r="B340" t="s">
        <v>710</v>
      </c>
      <c r="C340" s="39" t="s">
        <v>708</v>
      </c>
      <c r="D340">
        <v>7</v>
      </c>
      <c r="F340" s="56"/>
    </row>
    <row r="341" spans="1:6" ht="15">
      <c r="A341" s="51">
        <v>300037</v>
      </c>
      <c r="B341" t="s">
        <v>711</v>
      </c>
      <c r="C341" s="39" t="s">
        <v>708</v>
      </c>
      <c r="D341">
        <v>8</v>
      </c>
      <c r="F341" s="56"/>
    </row>
    <row r="342" spans="1:6" ht="15">
      <c r="A342" s="51">
        <v>300038</v>
      </c>
      <c r="B342" t="s">
        <v>712</v>
      </c>
      <c r="C342" s="39" t="s">
        <v>708</v>
      </c>
      <c r="D342">
        <v>9</v>
      </c>
      <c r="F342" s="56"/>
    </row>
    <row r="343" spans="1:6" ht="15">
      <c r="A343" s="51">
        <v>300041</v>
      </c>
      <c r="B343" t="s">
        <v>713</v>
      </c>
      <c r="C343" s="39" t="s">
        <v>714</v>
      </c>
      <c r="D343">
        <v>8</v>
      </c>
      <c r="F343" s="56"/>
    </row>
    <row r="344" spans="1:6" ht="15">
      <c r="A344" s="51">
        <v>300042</v>
      </c>
      <c r="B344" t="s">
        <v>715</v>
      </c>
      <c r="C344" s="39" t="s">
        <v>714</v>
      </c>
      <c r="D344">
        <v>8</v>
      </c>
      <c r="F344" s="56"/>
    </row>
    <row r="345" spans="1:6" ht="15">
      <c r="A345" s="51">
        <v>300043</v>
      </c>
      <c r="B345" t="s">
        <v>716</v>
      </c>
      <c r="C345" s="39" t="s">
        <v>714</v>
      </c>
      <c r="D345">
        <v>8</v>
      </c>
      <c r="F345" s="56"/>
    </row>
    <row r="346" spans="1:6" ht="15">
      <c r="A346" s="51">
        <v>300046</v>
      </c>
      <c r="B346" t="s">
        <v>717</v>
      </c>
      <c r="C346" s="39" t="s">
        <v>714</v>
      </c>
      <c r="D346">
        <v>8</v>
      </c>
      <c r="F346" s="56"/>
    </row>
    <row r="347" spans="1:6" ht="15">
      <c r="A347" s="51">
        <v>318150</v>
      </c>
      <c r="B347" t="s">
        <v>718</v>
      </c>
      <c r="C347" s="39" t="s">
        <v>714</v>
      </c>
      <c r="D347">
        <v>8</v>
      </c>
      <c r="F347" s="56"/>
    </row>
    <row r="348" spans="1:6" ht="15">
      <c r="A348" s="51">
        <v>300047</v>
      </c>
      <c r="B348" t="s">
        <v>719</v>
      </c>
      <c r="C348" s="39" t="s">
        <v>714</v>
      </c>
      <c r="D348">
        <v>8</v>
      </c>
      <c r="F348" s="56"/>
    </row>
    <row r="349" spans="1:6" ht="15">
      <c r="A349" s="51">
        <v>300048</v>
      </c>
      <c r="B349" t="s">
        <v>720</v>
      </c>
      <c r="C349" s="39" t="s">
        <v>721</v>
      </c>
      <c r="D349" t="s">
        <v>4247</v>
      </c>
      <c r="F349" s="56"/>
    </row>
    <row r="350" spans="1:6" ht="15">
      <c r="A350" s="51">
        <v>300049</v>
      </c>
      <c r="B350" t="s">
        <v>722</v>
      </c>
      <c r="C350" s="39" t="s">
        <v>721</v>
      </c>
      <c r="D350" t="s">
        <v>4244</v>
      </c>
      <c r="F350" s="56"/>
    </row>
    <row r="351" spans="1:6" ht="15">
      <c r="A351" s="51">
        <v>300050</v>
      </c>
      <c r="B351" t="s">
        <v>723</v>
      </c>
      <c r="C351" s="39" t="s">
        <v>721</v>
      </c>
      <c r="D351" t="s">
        <v>4243</v>
      </c>
      <c r="F351" s="56"/>
    </row>
    <row r="352" spans="1:6" ht="15">
      <c r="A352" s="51">
        <v>1860004</v>
      </c>
      <c r="B352" t="s">
        <v>724</v>
      </c>
      <c r="C352" s="39" t="s">
        <v>258</v>
      </c>
      <c r="D352">
        <v>9</v>
      </c>
      <c r="F352" s="56"/>
    </row>
    <row r="353" spans="1:6" ht="15">
      <c r="A353" s="51">
        <v>1860006</v>
      </c>
      <c r="B353" t="s">
        <v>725</v>
      </c>
      <c r="C353" s="39" t="s">
        <v>258</v>
      </c>
      <c r="D353">
        <v>9</v>
      </c>
      <c r="F353" s="56"/>
    </row>
    <row r="354" spans="1:6" ht="15">
      <c r="A354" s="51">
        <v>318151</v>
      </c>
      <c r="B354" t="s">
        <v>726</v>
      </c>
      <c r="C354" s="39" t="s">
        <v>727</v>
      </c>
      <c r="D354">
        <v>8</v>
      </c>
      <c r="F354" s="56"/>
    </row>
    <row r="355" spans="1:6" ht="15">
      <c r="A355" s="51">
        <v>318193</v>
      </c>
      <c r="B355" t="s">
        <v>728</v>
      </c>
      <c r="C355" s="39" t="s">
        <v>729</v>
      </c>
      <c r="D355">
        <v>8</v>
      </c>
      <c r="F355" s="56"/>
    </row>
    <row r="356" spans="1:6" ht="15">
      <c r="A356" s="51">
        <v>318195</v>
      </c>
      <c r="B356" t="s">
        <v>730</v>
      </c>
      <c r="C356" s="39" t="s">
        <v>729</v>
      </c>
      <c r="D356">
        <v>8</v>
      </c>
      <c r="F356" s="56"/>
    </row>
    <row r="357" spans="1:6" ht="15">
      <c r="A357" s="51">
        <v>318194</v>
      </c>
      <c r="B357" t="s">
        <v>731</v>
      </c>
      <c r="C357" s="39" t="s">
        <v>729</v>
      </c>
      <c r="D357">
        <v>8</v>
      </c>
      <c r="F357" s="56"/>
    </row>
    <row r="358" spans="1:6" ht="15">
      <c r="A358" s="51">
        <v>299716</v>
      </c>
      <c r="B358" t="s">
        <v>732</v>
      </c>
      <c r="C358" s="39" t="s">
        <v>175</v>
      </c>
      <c r="D358" t="s">
        <v>4247</v>
      </c>
      <c r="F358" s="56"/>
    </row>
    <row r="359" spans="1:6" ht="15">
      <c r="A359" s="51">
        <v>299717</v>
      </c>
      <c r="B359" t="s">
        <v>733</v>
      </c>
      <c r="C359" s="39" t="s">
        <v>175</v>
      </c>
      <c r="D359" t="s">
        <v>4243</v>
      </c>
      <c r="F359" s="56"/>
    </row>
    <row r="360" spans="1:6" ht="15">
      <c r="A360" s="51">
        <v>299718</v>
      </c>
      <c r="B360" t="s">
        <v>734</v>
      </c>
      <c r="C360" s="39" t="s">
        <v>175</v>
      </c>
      <c r="D360">
        <v>7</v>
      </c>
      <c r="F360" s="56"/>
    </row>
    <row r="361" spans="1:6" ht="15">
      <c r="A361" s="51">
        <v>299719</v>
      </c>
      <c r="B361" t="s">
        <v>735</v>
      </c>
      <c r="C361" s="39" t="s">
        <v>175</v>
      </c>
      <c r="D361">
        <v>8</v>
      </c>
      <c r="F361" s="56"/>
    </row>
    <row r="362" spans="1:6" ht="15">
      <c r="A362" s="51">
        <v>299720</v>
      </c>
      <c r="B362" t="s">
        <v>736</v>
      </c>
      <c r="C362" s="39" t="s">
        <v>295</v>
      </c>
      <c r="D362" t="s">
        <v>4247</v>
      </c>
      <c r="F362" s="56"/>
    </row>
    <row r="363" spans="1:6" ht="15">
      <c r="A363" s="51">
        <v>299721</v>
      </c>
      <c r="B363" t="s">
        <v>737</v>
      </c>
      <c r="C363" s="39" t="s">
        <v>295</v>
      </c>
      <c r="D363" t="s">
        <v>4243</v>
      </c>
      <c r="F363" s="56"/>
    </row>
    <row r="364" spans="1:6" ht="15">
      <c r="A364" s="51">
        <v>299722</v>
      </c>
      <c r="B364" t="s">
        <v>738</v>
      </c>
      <c r="C364" s="39" t="s">
        <v>295</v>
      </c>
      <c r="D364">
        <v>8</v>
      </c>
      <c r="F364" s="56"/>
    </row>
    <row r="365" spans="1:6" ht="15">
      <c r="A365" s="51">
        <v>299723</v>
      </c>
      <c r="B365" t="s">
        <v>739</v>
      </c>
      <c r="C365" s="39" t="s">
        <v>207</v>
      </c>
      <c r="D365">
        <v>7</v>
      </c>
      <c r="F365" s="56"/>
    </row>
    <row r="366" spans="1:6" ht="15">
      <c r="A366" s="51">
        <v>299724</v>
      </c>
      <c r="B366" t="s">
        <v>740</v>
      </c>
      <c r="C366" s="39" t="s">
        <v>207</v>
      </c>
      <c r="D366">
        <v>7</v>
      </c>
      <c r="F366" s="56"/>
    </row>
    <row r="367" spans="1:6" ht="15">
      <c r="A367" s="51">
        <v>299725</v>
      </c>
      <c r="B367" t="s">
        <v>741</v>
      </c>
      <c r="C367" s="39" t="s">
        <v>207</v>
      </c>
      <c r="D367">
        <v>8</v>
      </c>
      <c r="F367" s="56"/>
    </row>
    <row r="368" spans="1:6" ht="15">
      <c r="A368" s="51">
        <v>318191</v>
      </c>
      <c r="B368" t="s">
        <v>742</v>
      </c>
      <c r="C368" s="39" t="s">
        <v>291</v>
      </c>
      <c r="D368">
        <v>8</v>
      </c>
      <c r="F368" s="56"/>
    </row>
    <row r="369" spans="1:6" ht="15">
      <c r="A369" s="51">
        <v>318192</v>
      </c>
      <c r="B369" t="s">
        <v>743</v>
      </c>
      <c r="C369" s="39" t="s">
        <v>291</v>
      </c>
      <c r="D369">
        <v>8</v>
      </c>
      <c r="F369" s="56"/>
    </row>
    <row r="370" spans="1:6" ht="15">
      <c r="A370" s="51">
        <v>318162</v>
      </c>
      <c r="B370" t="s">
        <v>744</v>
      </c>
      <c r="C370" s="39" t="s">
        <v>210</v>
      </c>
      <c r="D370">
        <v>8</v>
      </c>
      <c r="F370" s="56"/>
    </row>
    <row r="371" spans="1:6" ht="15">
      <c r="A371" s="51">
        <v>318163</v>
      </c>
      <c r="B371" t="s">
        <v>745</v>
      </c>
      <c r="C371" s="39" t="s">
        <v>210</v>
      </c>
      <c r="D371">
        <v>8</v>
      </c>
      <c r="F371" s="56"/>
    </row>
    <row r="372" spans="1:6" ht="15">
      <c r="A372" s="51">
        <v>318204</v>
      </c>
      <c r="B372" t="s">
        <v>746</v>
      </c>
      <c r="C372" s="39" t="s">
        <v>146</v>
      </c>
      <c r="D372">
        <v>7</v>
      </c>
      <c r="F372" s="56"/>
    </row>
    <row r="373" spans="1:6" ht="15">
      <c r="A373" s="51">
        <v>299731</v>
      </c>
      <c r="B373" t="s">
        <v>747</v>
      </c>
      <c r="C373" s="39" t="s">
        <v>146</v>
      </c>
      <c r="D373">
        <v>7</v>
      </c>
      <c r="F373" s="56"/>
    </row>
    <row r="374" spans="1:6" ht="15">
      <c r="A374" s="51">
        <v>299732</v>
      </c>
      <c r="B374" t="s">
        <v>748</v>
      </c>
      <c r="C374" s="39" t="s">
        <v>146</v>
      </c>
      <c r="D374">
        <v>8</v>
      </c>
      <c r="F374" s="56"/>
    </row>
    <row r="375" spans="1:6" ht="15">
      <c r="A375" s="51">
        <v>299735</v>
      </c>
      <c r="B375" t="s">
        <v>749</v>
      </c>
      <c r="C375" s="39" t="s">
        <v>269</v>
      </c>
      <c r="D375" t="s">
        <v>4243</v>
      </c>
      <c r="F375" s="56"/>
    </row>
    <row r="376" spans="1:6" ht="15">
      <c r="A376" s="51">
        <v>299736</v>
      </c>
      <c r="B376" t="s">
        <v>750</v>
      </c>
      <c r="C376" s="39" t="s">
        <v>269</v>
      </c>
      <c r="D376" t="s">
        <v>4243</v>
      </c>
      <c r="F376" s="56"/>
    </row>
    <row r="377" spans="1:6" ht="15">
      <c r="A377" s="51">
        <v>299737</v>
      </c>
      <c r="B377" t="s">
        <v>751</v>
      </c>
      <c r="C377" s="39" t="s">
        <v>269</v>
      </c>
      <c r="D377">
        <v>8</v>
      </c>
      <c r="F377" s="56"/>
    </row>
    <row r="378" spans="1:6" ht="15">
      <c r="A378" s="51">
        <v>299738</v>
      </c>
      <c r="B378" t="s">
        <v>752</v>
      </c>
      <c r="C378" s="39" t="s">
        <v>269</v>
      </c>
      <c r="D378">
        <v>8</v>
      </c>
      <c r="F378" s="56"/>
    </row>
    <row r="379" spans="1:6" ht="15">
      <c r="A379" s="51">
        <v>299739</v>
      </c>
      <c r="B379" t="s">
        <v>753</v>
      </c>
      <c r="C379" s="39" t="s">
        <v>269</v>
      </c>
      <c r="D379">
        <v>8</v>
      </c>
      <c r="F379" s="56"/>
    </row>
    <row r="380" spans="1:6" ht="15">
      <c r="A380" s="51">
        <v>299745</v>
      </c>
      <c r="B380" t="s">
        <v>754</v>
      </c>
      <c r="C380" s="39" t="s">
        <v>170</v>
      </c>
      <c r="D380" t="s">
        <v>4247</v>
      </c>
      <c r="F380" s="56"/>
    </row>
    <row r="381" spans="1:6" ht="15">
      <c r="A381" s="51">
        <v>299746</v>
      </c>
      <c r="B381" t="s">
        <v>755</v>
      </c>
      <c r="C381" s="39" t="s">
        <v>170</v>
      </c>
      <c r="D381" t="s">
        <v>4243</v>
      </c>
      <c r="F381" s="56"/>
    </row>
    <row r="382" spans="1:6" ht="15">
      <c r="A382" s="51">
        <v>299747</v>
      </c>
      <c r="B382" t="s">
        <v>756</v>
      </c>
      <c r="C382" s="39" t="s">
        <v>170</v>
      </c>
      <c r="D382">
        <v>7</v>
      </c>
      <c r="F382" s="56"/>
    </row>
    <row r="383" spans="1:6" ht="15">
      <c r="A383" s="51">
        <v>299748</v>
      </c>
      <c r="B383" t="s">
        <v>757</v>
      </c>
      <c r="C383" s="39" t="s">
        <v>170</v>
      </c>
      <c r="D383">
        <v>8</v>
      </c>
      <c r="F383" s="56"/>
    </row>
    <row r="384" spans="1:6" ht="15">
      <c r="A384" s="51">
        <v>299749</v>
      </c>
      <c r="B384" t="s">
        <v>758</v>
      </c>
      <c r="C384" s="39" t="s">
        <v>157</v>
      </c>
      <c r="D384" t="s">
        <v>4245</v>
      </c>
      <c r="F384" s="56"/>
    </row>
    <row r="385" spans="1:6" ht="15">
      <c r="A385" s="51">
        <v>299750</v>
      </c>
      <c r="B385" t="s">
        <v>759</v>
      </c>
      <c r="C385" s="39" t="s">
        <v>157</v>
      </c>
      <c r="D385" t="s">
        <v>4245</v>
      </c>
      <c r="F385" s="56"/>
    </row>
    <row r="386" spans="1:6" ht="15">
      <c r="A386" s="51">
        <v>299751</v>
      </c>
      <c r="B386" t="s">
        <v>760</v>
      </c>
      <c r="C386" s="39" t="s">
        <v>157</v>
      </c>
      <c r="D386" t="s">
        <v>4244</v>
      </c>
      <c r="F386" s="56"/>
    </row>
    <row r="387" spans="1:6" ht="15">
      <c r="A387" s="51">
        <v>299752</v>
      </c>
      <c r="B387" t="s">
        <v>761</v>
      </c>
      <c r="C387" s="39" t="s">
        <v>157</v>
      </c>
      <c r="D387" t="s">
        <v>4243</v>
      </c>
      <c r="F387" s="56"/>
    </row>
    <row r="388" spans="1:6" ht="15">
      <c r="A388" s="51">
        <v>299753</v>
      </c>
      <c r="B388" t="s">
        <v>762</v>
      </c>
      <c r="C388" s="39" t="s">
        <v>157</v>
      </c>
      <c r="D388">
        <v>8</v>
      </c>
      <c r="F388" s="56"/>
    </row>
    <row r="389" spans="1:6" ht="15">
      <c r="A389" s="51">
        <v>299754</v>
      </c>
      <c r="B389" t="s">
        <v>763</v>
      </c>
      <c r="C389" s="39" t="s">
        <v>157</v>
      </c>
      <c r="D389">
        <v>8</v>
      </c>
      <c r="F389" s="56"/>
    </row>
    <row r="390" spans="1:6" ht="15">
      <c r="A390" s="51">
        <v>299755</v>
      </c>
      <c r="B390" t="s">
        <v>764</v>
      </c>
      <c r="C390" s="39" t="s">
        <v>210</v>
      </c>
      <c r="D390">
        <v>7</v>
      </c>
      <c r="F390" s="56"/>
    </row>
    <row r="391" spans="1:6" ht="15">
      <c r="A391" s="51">
        <v>299756</v>
      </c>
      <c r="B391" t="s">
        <v>765</v>
      </c>
      <c r="C391" s="39" t="s">
        <v>210</v>
      </c>
      <c r="D391">
        <v>7</v>
      </c>
      <c r="F391" s="56"/>
    </row>
    <row r="392" spans="1:6" ht="15">
      <c r="A392" s="51">
        <v>299757</v>
      </c>
      <c r="B392" t="s">
        <v>766</v>
      </c>
      <c r="C392" s="39" t="s">
        <v>210</v>
      </c>
      <c r="D392">
        <v>8</v>
      </c>
      <c r="F392" s="56"/>
    </row>
    <row r="393" spans="1:6" ht="15">
      <c r="A393" s="51">
        <v>318205</v>
      </c>
      <c r="B393" t="s">
        <v>767</v>
      </c>
      <c r="C393" s="39" t="s">
        <v>210</v>
      </c>
      <c r="D393">
        <v>8</v>
      </c>
      <c r="F393" s="56"/>
    </row>
    <row r="394" spans="1:6" ht="15">
      <c r="A394" s="51">
        <v>299764</v>
      </c>
      <c r="B394" t="s">
        <v>768</v>
      </c>
      <c r="C394" s="39" t="s">
        <v>769</v>
      </c>
      <c r="D394" t="s">
        <v>4243</v>
      </c>
      <c r="F394" s="56"/>
    </row>
    <row r="395" spans="1:6" ht="15">
      <c r="A395" s="51">
        <v>299765</v>
      </c>
      <c r="B395" t="s">
        <v>770</v>
      </c>
      <c r="C395" s="39" t="s">
        <v>769</v>
      </c>
      <c r="D395" t="s">
        <v>4243</v>
      </c>
      <c r="F395" s="56"/>
    </row>
    <row r="396" spans="1:6" ht="15">
      <c r="A396" s="51">
        <v>299766</v>
      </c>
      <c r="B396" t="s">
        <v>771</v>
      </c>
      <c r="C396" s="39" t="s">
        <v>769</v>
      </c>
      <c r="D396">
        <v>7</v>
      </c>
      <c r="F396" s="56"/>
    </row>
    <row r="397" spans="1:6" ht="15">
      <c r="A397" s="51">
        <v>299768</v>
      </c>
      <c r="B397" t="s">
        <v>772</v>
      </c>
      <c r="C397" s="39" t="s">
        <v>92</v>
      </c>
      <c r="D397" t="s">
        <v>4244</v>
      </c>
      <c r="F397" s="56"/>
    </row>
    <row r="398" spans="1:6" ht="15">
      <c r="A398" s="51">
        <v>299769</v>
      </c>
      <c r="B398" t="s">
        <v>773</v>
      </c>
      <c r="C398" s="39" t="s">
        <v>92</v>
      </c>
      <c r="D398" t="s">
        <v>4243</v>
      </c>
      <c r="F398" s="56"/>
    </row>
    <row r="399" spans="1:6" ht="15">
      <c r="A399" s="51">
        <v>299770</v>
      </c>
      <c r="B399" t="s">
        <v>774</v>
      </c>
      <c r="C399" s="39" t="s">
        <v>92</v>
      </c>
      <c r="D399">
        <v>7</v>
      </c>
      <c r="F399" s="56"/>
    </row>
    <row r="400" spans="1:6" ht="15">
      <c r="A400" s="51">
        <v>848205</v>
      </c>
      <c r="B400" t="s">
        <v>775</v>
      </c>
      <c r="C400" s="39" t="s">
        <v>380</v>
      </c>
      <c r="D400" t="s">
        <v>4246</v>
      </c>
      <c r="F400" s="56"/>
    </row>
    <row r="401" spans="1:6" ht="15">
      <c r="A401" s="51">
        <v>299771</v>
      </c>
      <c r="B401" t="s">
        <v>776</v>
      </c>
      <c r="C401" s="39" t="s">
        <v>380</v>
      </c>
      <c r="D401" t="s">
        <v>4243</v>
      </c>
      <c r="F401" s="56"/>
    </row>
    <row r="402" spans="1:6" ht="15">
      <c r="A402" s="51">
        <v>299772</v>
      </c>
      <c r="B402" t="s">
        <v>777</v>
      </c>
      <c r="C402" s="39" t="s">
        <v>380</v>
      </c>
      <c r="D402">
        <v>7</v>
      </c>
      <c r="F402" s="56"/>
    </row>
    <row r="403" spans="1:6" ht="15">
      <c r="A403" s="51">
        <v>299773</v>
      </c>
      <c r="B403" t="s">
        <v>778</v>
      </c>
      <c r="C403" s="39" t="s">
        <v>380</v>
      </c>
      <c r="D403">
        <v>8</v>
      </c>
      <c r="F403" s="56"/>
    </row>
    <row r="404" spans="1:6" ht="15">
      <c r="A404" s="51">
        <v>318653</v>
      </c>
      <c r="B404" t="s">
        <v>779</v>
      </c>
      <c r="C404" s="39" t="s">
        <v>380</v>
      </c>
      <c r="D404">
        <v>9</v>
      </c>
      <c r="F404" s="56"/>
    </row>
    <row r="405" spans="1:6" ht="15">
      <c r="A405" s="51">
        <v>299775</v>
      </c>
      <c r="B405" t="s">
        <v>780</v>
      </c>
      <c r="C405" s="39" t="s">
        <v>781</v>
      </c>
      <c r="D405">
        <v>8</v>
      </c>
      <c r="F405" s="56"/>
    </row>
    <row r="406" spans="1:6" ht="15">
      <c r="A406" s="51">
        <v>299783</v>
      </c>
      <c r="B406" t="s">
        <v>782</v>
      </c>
      <c r="C406" s="39" t="s">
        <v>571</v>
      </c>
      <c r="D406" t="s">
        <v>4247</v>
      </c>
      <c r="F406" s="56"/>
    </row>
    <row r="407" spans="1:6" ht="15">
      <c r="A407" s="51">
        <v>299788</v>
      </c>
      <c r="B407" t="s">
        <v>783</v>
      </c>
      <c r="C407" s="39" t="s">
        <v>618</v>
      </c>
      <c r="D407">
        <v>7</v>
      </c>
      <c r="F407" s="56"/>
    </row>
    <row r="408" spans="1:6" ht="15">
      <c r="A408" s="51">
        <v>299789</v>
      </c>
      <c r="B408" t="s">
        <v>784</v>
      </c>
      <c r="C408" s="39" t="s">
        <v>618</v>
      </c>
      <c r="D408">
        <v>7</v>
      </c>
      <c r="F408" s="56"/>
    </row>
    <row r="409" spans="1:6" ht="15">
      <c r="A409" s="51">
        <v>299794</v>
      </c>
      <c r="B409" t="s">
        <v>785</v>
      </c>
      <c r="C409" s="39" t="s">
        <v>390</v>
      </c>
      <c r="D409">
        <v>8</v>
      </c>
      <c r="F409" s="56"/>
    </row>
    <row r="410" spans="1:6" ht="15">
      <c r="A410" s="51">
        <v>299795</v>
      </c>
      <c r="B410" t="s">
        <v>786</v>
      </c>
      <c r="C410" s="39" t="s">
        <v>787</v>
      </c>
      <c r="D410">
        <v>8</v>
      </c>
      <c r="F410" s="56"/>
    </row>
    <row r="411" spans="1:6" ht="15">
      <c r="A411" s="51">
        <v>299796</v>
      </c>
      <c r="B411" t="s">
        <v>788</v>
      </c>
      <c r="C411" s="39" t="s">
        <v>787</v>
      </c>
      <c r="D411">
        <v>8</v>
      </c>
      <c r="F411" s="56"/>
    </row>
    <row r="412" spans="1:6" ht="15">
      <c r="A412" s="51">
        <v>299797</v>
      </c>
      <c r="B412" t="s">
        <v>789</v>
      </c>
      <c r="C412" s="39" t="s">
        <v>787</v>
      </c>
      <c r="D412">
        <v>8</v>
      </c>
      <c r="F412" s="56"/>
    </row>
    <row r="413" spans="1:6" ht="15">
      <c r="A413" s="51">
        <v>299798</v>
      </c>
      <c r="B413" t="s">
        <v>790</v>
      </c>
      <c r="C413" s="39" t="s">
        <v>205</v>
      </c>
      <c r="D413">
        <v>7</v>
      </c>
      <c r="F413" s="56"/>
    </row>
    <row r="414" spans="1:6" ht="15">
      <c r="A414" s="51">
        <v>318161</v>
      </c>
      <c r="B414" t="s">
        <v>791</v>
      </c>
      <c r="C414" s="39" t="s">
        <v>205</v>
      </c>
      <c r="D414">
        <v>7</v>
      </c>
      <c r="F414" s="56"/>
    </row>
    <row r="415" spans="1:6" ht="15">
      <c r="A415" s="51">
        <v>299799</v>
      </c>
      <c r="B415" t="s">
        <v>792</v>
      </c>
      <c r="C415" s="39" t="s">
        <v>390</v>
      </c>
      <c r="D415" t="s">
        <v>4247</v>
      </c>
      <c r="F415" s="56"/>
    </row>
    <row r="416" spans="1:6" ht="15">
      <c r="A416" s="51">
        <v>299800</v>
      </c>
      <c r="B416" t="s">
        <v>793</v>
      </c>
      <c r="C416" s="39" t="s">
        <v>390</v>
      </c>
      <c r="D416" t="s">
        <v>4243</v>
      </c>
      <c r="F416" s="56"/>
    </row>
    <row r="417" spans="1:6" ht="15">
      <c r="A417" s="51">
        <v>299801</v>
      </c>
      <c r="B417" t="s">
        <v>794</v>
      </c>
      <c r="C417" s="39" t="s">
        <v>390</v>
      </c>
      <c r="D417">
        <v>7</v>
      </c>
      <c r="F417" s="56"/>
    </row>
    <row r="418" spans="1:6" ht="15">
      <c r="A418" s="51">
        <v>299802</v>
      </c>
      <c r="B418" t="s">
        <v>795</v>
      </c>
      <c r="C418" s="39" t="s">
        <v>390</v>
      </c>
      <c r="D418">
        <v>8</v>
      </c>
      <c r="F418" s="56"/>
    </row>
    <row r="419" spans="1:6" ht="15">
      <c r="A419" s="51">
        <v>299803</v>
      </c>
      <c r="B419" t="s">
        <v>796</v>
      </c>
      <c r="C419" s="39" t="s">
        <v>390</v>
      </c>
      <c r="D419">
        <v>8</v>
      </c>
      <c r="F419" s="56"/>
    </row>
    <row r="420" spans="1:6" ht="15">
      <c r="A420" s="51">
        <v>299808</v>
      </c>
      <c r="B420" t="s">
        <v>797</v>
      </c>
      <c r="C420" s="39" t="s">
        <v>678</v>
      </c>
      <c r="D420">
        <v>8</v>
      </c>
      <c r="F420" s="56"/>
    </row>
    <row r="421" spans="1:6" ht="15">
      <c r="A421" s="51">
        <v>299809</v>
      </c>
      <c r="B421" t="s">
        <v>798</v>
      </c>
      <c r="C421" s="39" t="s">
        <v>678</v>
      </c>
      <c r="D421">
        <v>8</v>
      </c>
      <c r="F421" s="56"/>
    </row>
    <row r="422" spans="1:6" ht="15">
      <c r="A422" s="51">
        <v>299810</v>
      </c>
      <c r="B422" t="s">
        <v>799</v>
      </c>
      <c r="C422" s="39" t="s">
        <v>678</v>
      </c>
      <c r="D422">
        <v>8</v>
      </c>
      <c r="F422" s="56"/>
    </row>
    <row r="423" spans="1:6" ht="15">
      <c r="A423" s="51">
        <v>2512432</v>
      </c>
      <c r="B423" t="s">
        <v>800</v>
      </c>
      <c r="C423" s="39" t="s">
        <v>685</v>
      </c>
      <c r="D423">
        <v>9</v>
      </c>
      <c r="F423" s="56"/>
    </row>
    <row r="424" spans="1:6" ht="15">
      <c r="A424" s="51">
        <v>2512431</v>
      </c>
      <c r="B424" t="s">
        <v>801</v>
      </c>
      <c r="C424" s="39" t="s">
        <v>685</v>
      </c>
      <c r="D424">
        <v>9</v>
      </c>
      <c r="F424" s="56"/>
    </row>
    <row r="425" spans="1:6" ht="15">
      <c r="A425" s="51">
        <v>299812</v>
      </c>
      <c r="B425" t="s">
        <v>802</v>
      </c>
      <c r="C425" s="39" t="s">
        <v>803</v>
      </c>
      <c r="D425">
        <v>7</v>
      </c>
      <c r="F425" s="56"/>
    </row>
    <row r="426" spans="1:6" ht="15">
      <c r="A426" s="51">
        <v>299813</v>
      </c>
      <c r="B426" t="s">
        <v>804</v>
      </c>
      <c r="C426" s="39" t="s">
        <v>803</v>
      </c>
      <c r="D426">
        <v>8</v>
      </c>
      <c r="F426" s="56"/>
    </row>
    <row r="427" spans="1:6" ht="15">
      <c r="A427" s="51">
        <v>299816</v>
      </c>
      <c r="B427" t="s">
        <v>805</v>
      </c>
      <c r="C427" s="39" t="s">
        <v>702</v>
      </c>
      <c r="D427">
        <v>8</v>
      </c>
      <c r="F427" s="56"/>
    </row>
    <row r="428" spans="1:6" ht="15">
      <c r="A428" s="51">
        <v>299817</v>
      </c>
      <c r="B428" t="s">
        <v>806</v>
      </c>
      <c r="C428" s="39" t="s">
        <v>702</v>
      </c>
      <c r="D428">
        <v>8</v>
      </c>
      <c r="F428" s="56"/>
    </row>
    <row r="429" spans="1:6" ht="15">
      <c r="A429" s="51">
        <v>299818</v>
      </c>
      <c r="B429" t="s">
        <v>807</v>
      </c>
      <c r="C429" s="39" t="s">
        <v>702</v>
      </c>
      <c r="D429">
        <v>9</v>
      </c>
      <c r="F429" s="56"/>
    </row>
    <row r="430" spans="1:6" ht="15">
      <c r="A430" s="51">
        <v>299819</v>
      </c>
      <c r="B430" t="s">
        <v>808</v>
      </c>
      <c r="C430" s="39" t="s">
        <v>702</v>
      </c>
      <c r="D430">
        <v>9</v>
      </c>
      <c r="F430" s="56"/>
    </row>
    <row r="431" spans="1:6" ht="15">
      <c r="A431" s="51">
        <v>2401451</v>
      </c>
      <c r="B431" t="s">
        <v>809</v>
      </c>
      <c r="C431" s="39" t="s">
        <v>258</v>
      </c>
      <c r="D431">
        <v>9</v>
      </c>
      <c r="F431" s="56"/>
    </row>
    <row r="432" spans="1:6" ht="15">
      <c r="A432" s="51">
        <v>318159</v>
      </c>
      <c r="B432" t="s">
        <v>810</v>
      </c>
      <c r="C432" s="39" t="s">
        <v>200</v>
      </c>
      <c r="D432" t="s">
        <v>4243</v>
      </c>
      <c r="F432" s="56"/>
    </row>
    <row r="433" spans="1:6" ht="15">
      <c r="A433" s="51">
        <v>318158</v>
      </c>
      <c r="B433" t="s">
        <v>811</v>
      </c>
      <c r="C433" s="39" t="s">
        <v>200</v>
      </c>
      <c r="D433">
        <v>7</v>
      </c>
      <c r="F433" s="56"/>
    </row>
    <row r="434" spans="1:6" ht="15">
      <c r="A434" s="51">
        <v>299846</v>
      </c>
      <c r="B434" t="s">
        <v>812</v>
      </c>
      <c r="C434" s="39" t="s">
        <v>813</v>
      </c>
      <c r="D434" t="s">
        <v>4247</v>
      </c>
      <c r="F434" s="56"/>
    </row>
    <row r="435" spans="1:6" ht="15">
      <c r="A435" s="51">
        <v>299847</v>
      </c>
      <c r="B435" t="s">
        <v>814</v>
      </c>
      <c r="C435" s="39" t="s">
        <v>813</v>
      </c>
      <c r="D435" t="s">
        <v>4243</v>
      </c>
      <c r="F435" s="56"/>
    </row>
    <row r="436" spans="1:6" ht="15">
      <c r="A436" s="51">
        <v>299848</v>
      </c>
      <c r="B436" t="s">
        <v>815</v>
      </c>
      <c r="C436" s="39" t="s">
        <v>813</v>
      </c>
      <c r="D436">
        <v>7</v>
      </c>
      <c r="F436" s="56"/>
    </row>
    <row r="437" spans="1:6" ht="15">
      <c r="A437" s="51">
        <v>299849</v>
      </c>
      <c r="B437" t="s">
        <v>816</v>
      </c>
      <c r="C437" s="39" t="s">
        <v>813</v>
      </c>
      <c r="D437">
        <v>8</v>
      </c>
      <c r="F437" s="56"/>
    </row>
    <row r="438" spans="1:6" ht="15">
      <c r="A438" s="51">
        <v>299850</v>
      </c>
      <c r="B438" t="s">
        <v>817</v>
      </c>
      <c r="C438" s="39" t="s">
        <v>813</v>
      </c>
      <c r="D438">
        <v>8</v>
      </c>
      <c r="F438" s="56"/>
    </row>
    <row r="439" spans="1:6" ht="15">
      <c r="A439" s="51">
        <v>1860012</v>
      </c>
      <c r="B439" t="s">
        <v>818</v>
      </c>
      <c r="C439" s="39" t="s">
        <v>819</v>
      </c>
      <c r="D439" t="s">
        <v>4248</v>
      </c>
      <c r="F439" s="56"/>
    </row>
    <row r="440" spans="1:6" ht="15">
      <c r="A440" s="51">
        <v>1860014</v>
      </c>
      <c r="B440" t="s">
        <v>820</v>
      </c>
      <c r="C440" s="39" t="s">
        <v>821</v>
      </c>
      <c r="D440" t="s">
        <v>4245</v>
      </c>
      <c r="F440" s="56"/>
    </row>
    <row r="441" spans="1:6" ht="15">
      <c r="A441" s="51">
        <v>1860016</v>
      </c>
      <c r="B441" t="s">
        <v>822</v>
      </c>
      <c r="C441" s="39" t="s">
        <v>437</v>
      </c>
      <c r="D441" t="s">
        <v>4248</v>
      </c>
      <c r="F441" s="56"/>
    </row>
    <row r="442" spans="1:6" ht="15">
      <c r="A442" s="51">
        <v>299892</v>
      </c>
      <c r="B442" t="s">
        <v>823</v>
      </c>
      <c r="C442" s="39" t="s">
        <v>309</v>
      </c>
      <c r="D442" t="s">
        <v>4243</v>
      </c>
      <c r="F442" s="56"/>
    </row>
    <row r="443" spans="1:6" ht="15">
      <c r="A443" s="51">
        <v>299893</v>
      </c>
      <c r="B443" t="s">
        <v>824</v>
      </c>
      <c r="C443" s="39" t="s">
        <v>309</v>
      </c>
      <c r="D443">
        <v>7</v>
      </c>
      <c r="F443" s="56"/>
    </row>
    <row r="444" spans="1:6" ht="15">
      <c r="A444" s="51">
        <v>299894</v>
      </c>
      <c r="B444" t="s">
        <v>308</v>
      </c>
      <c r="C444" s="39" t="s">
        <v>309</v>
      </c>
      <c r="D444">
        <v>8</v>
      </c>
      <c r="F444" s="56"/>
    </row>
    <row r="445" spans="1:6" ht="15">
      <c r="A445" s="51">
        <v>299898</v>
      </c>
      <c r="B445" t="s">
        <v>825</v>
      </c>
      <c r="C445" s="39" t="s">
        <v>826</v>
      </c>
      <c r="D445" t="s">
        <v>4243</v>
      </c>
      <c r="F445" s="56"/>
    </row>
    <row r="446" spans="1:6" ht="15">
      <c r="A446" s="51">
        <v>299899</v>
      </c>
      <c r="B446" t="s">
        <v>827</v>
      </c>
      <c r="C446" s="39" t="s">
        <v>826</v>
      </c>
      <c r="D446">
        <v>8</v>
      </c>
      <c r="F446" s="56"/>
    </row>
    <row r="447" spans="1:6" ht="15">
      <c r="A447" s="51">
        <v>1860020</v>
      </c>
      <c r="B447" t="s">
        <v>828</v>
      </c>
      <c r="C447" s="39" t="s">
        <v>829</v>
      </c>
      <c r="D447" t="s">
        <v>4244</v>
      </c>
      <c r="F447" s="56"/>
    </row>
    <row r="448" spans="1:6" ht="15">
      <c r="A448" s="51">
        <v>300051</v>
      </c>
      <c r="B448" t="s">
        <v>830</v>
      </c>
      <c r="C448" s="39" t="s">
        <v>228</v>
      </c>
      <c r="D448">
        <v>9</v>
      </c>
      <c r="F448" s="56"/>
    </row>
    <row r="449" spans="1:6" ht="15">
      <c r="A449" s="51">
        <v>318147</v>
      </c>
      <c r="B449" t="s">
        <v>831</v>
      </c>
      <c r="C449" s="39" t="s">
        <v>228</v>
      </c>
      <c r="D449">
        <v>9</v>
      </c>
      <c r="F449" s="56"/>
    </row>
    <row r="450" spans="1:6" ht="15">
      <c r="A450" s="51">
        <v>300052</v>
      </c>
      <c r="B450" t="s">
        <v>832</v>
      </c>
      <c r="C450" s="39" t="s">
        <v>450</v>
      </c>
      <c r="D450">
        <v>9</v>
      </c>
      <c r="F450" s="56"/>
    </row>
    <row r="451" spans="1:6" ht="15">
      <c r="A451" s="51">
        <v>289163</v>
      </c>
      <c r="B451" t="s">
        <v>833</v>
      </c>
      <c r="C451" s="39" t="s">
        <v>834</v>
      </c>
      <c r="D451">
        <v>8</v>
      </c>
      <c r="F451" s="56"/>
    </row>
    <row r="452" spans="1:6" ht="15">
      <c r="A452" s="51">
        <v>289164</v>
      </c>
      <c r="B452" t="s">
        <v>87</v>
      </c>
      <c r="C452" s="39" t="s">
        <v>835</v>
      </c>
      <c r="D452">
        <v>9</v>
      </c>
      <c r="F452" s="56"/>
    </row>
    <row r="453" spans="1:6" ht="15">
      <c r="A453" s="51">
        <v>289165</v>
      </c>
      <c r="B453" t="s">
        <v>836</v>
      </c>
      <c r="C453" s="39" t="s">
        <v>324</v>
      </c>
      <c r="D453">
        <v>8</v>
      </c>
      <c r="F453" s="56"/>
    </row>
    <row r="454" spans="1:6" ht="15">
      <c r="A454" s="51">
        <v>289166</v>
      </c>
      <c r="B454" t="s">
        <v>328</v>
      </c>
      <c r="C454" s="39" t="s">
        <v>837</v>
      </c>
      <c r="D454" t="s">
        <v>4247</v>
      </c>
      <c r="F454" s="56"/>
    </row>
    <row r="455" spans="1:6" ht="15">
      <c r="A455" s="51">
        <v>289167</v>
      </c>
      <c r="B455" t="s">
        <v>838</v>
      </c>
      <c r="C455" s="39" t="s">
        <v>571</v>
      </c>
      <c r="D455" t="s">
        <v>4247</v>
      </c>
      <c r="F455" s="56"/>
    </row>
    <row r="456" spans="1:6" ht="15">
      <c r="A456" s="51">
        <v>289168</v>
      </c>
      <c r="B456" t="s">
        <v>839</v>
      </c>
      <c r="C456" s="39" t="s">
        <v>571</v>
      </c>
      <c r="D456" t="s">
        <v>4243</v>
      </c>
      <c r="F456" s="56"/>
    </row>
    <row r="457" spans="1:6" ht="15">
      <c r="A457" s="51">
        <v>289169</v>
      </c>
      <c r="B457" t="s">
        <v>840</v>
      </c>
      <c r="C457" s="39" t="s">
        <v>161</v>
      </c>
      <c r="D457" t="s">
        <v>4243</v>
      </c>
      <c r="F457" s="56"/>
    </row>
    <row r="458" spans="1:6" ht="15">
      <c r="A458" s="51">
        <v>289170</v>
      </c>
      <c r="B458" t="s">
        <v>841</v>
      </c>
      <c r="C458" s="39" t="s">
        <v>161</v>
      </c>
      <c r="D458">
        <v>7</v>
      </c>
      <c r="F458" s="56"/>
    </row>
    <row r="459" spans="1:6" ht="15">
      <c r="A459" s="51">
        <v>289171</v>
      </c>
      <c r="B459" t="s">
        <v>842</v>
      </c>
      <c r="C459" s="39" t="s">
        <v>161</v>
      </c>
      <c r="D459">
        <v>8</v>
      </c>
      <c r="F459" s="56"/>
    </row>
    <row r="460" spans="1:6" ht="15">
      <c r="A460" s="51">
        <v>289172</v>
      </c>
      <c r="B460" t="s">
        <v>109</v>
      </c>
      <c r="C460" s="39" t="s">
        <v>843</v>
      </c>
      <c r="D460" t="s">
        <v>4245</v>
      </c>
      <c r="F460" s="56"/>
    </row>
    <row r="461" spans="1:6" ht="15">
      <c r="A461" s="51">
        <v>289173</v>
      </c>
      <c r="B461" t="s">
        <v>112</v>
      </c>
      <c r="C461" s="39" t="s">
        <v>843</v>
      </c>
      <c r="D461" t="s">
        <v>4244</v>
      </c>
      <c r="F461" s="56"/>
    </row>
    <row r="462" spans="1:6" ht="15">
      <c r="A462" s="51">
        <v>289174</v>
      </c>
      <c r="B462" t="s">
        <v>113</v>
      </c>
      <c r="C462" s="39" t="s">
        <v>843</v>
      </c>
      <c r="D462" t="s">
        <v>4243</v>
      </c>
      <c r="F462" s="56"/>
    </row>
    <row r="463" spans="1:6" ht="15">
      <c r="A463" s="51">
        <v>289175</v>
      </c>
      <c r="B463" t="s">
        <v>844</v>
      </c>
      <c r="C463" s="39" t="s">
        <v>843</v>
      </c>
      <c r="D463">
        <v>8</v>
      </c>
      <c r="F463" s="56"/>
    </row>
    <row r="464" spans="1:6" ht="15">
      <c r="A464" s="51">
        <v>289176</v>
      </c>
      <c r="B464" t="s">
        <v>845</v>
      </c>
      <c r="C464" s="39" t="s">
        <v>651</v>
      </c>
      <c r="D464">
        <v>7</v>
      </c>
      <c r="F464" s="56"/>
    </row>
    <row r="465" spans="1:6" ht="15">
      <c r="A465" s="51">
        <v>289177</v>
      </c>
      <c r="B465" t="s">
        <v>846</v>
      </c>
      <c r="C465" s="39" t="s">
        <v>285</v>
      </c>
      <c r="D465" t="s">
        <v>4247</v>
      </c>
      <c r="F465" s="56"/>
    </row>
    <row r="466" spans="1:6" ht="15">
      <c r="A466" s="51">
        <v>289178</v>
      </c>
      <c r="B466" t="s">
        <v>847</v>
      </c>
      <c r="C466" s="39" t="s">
        <v>848</v>
      </c>
      <c r="D466" t="s">
        <v>4243</v>
      </c>
      <c r="F466" s="56"/>
    </row>
    <row r="467" spans="1:6" ht="15">
      <c r="A467" s="51">
        <v>289179</v>
      </c>
      <c r="B467" t="s">
        <v>849</v>
      </c>
      <c r="C467" s="39" t="s">
        <v>285</v>
      </c>
      <c r="D467">
        <v>7</v>
      </c>
      <c r="F467" s="56"/>
    </row>
    <row r="468" spans="1:6" ht="15">
      <c r="A468" s="51">
        <v>289180</v>
      </c>
      <c r="B468" t="s">
        <v>850</v>
      </c>
      <c r="C468" s="39" t="s">
        <v>851</v>
      </c>
      <c r="D468">
        <v>9</v>
      </c>
      <c r="F468" s="56"/>
    </row>
    <row r="469" spans="1:6" ht="15">
      <c r="A469" s="51">
        <v>289181</v>
      </c>
      <c r="B469" t="s">
        <v>852</v>
      </c>
      <c r="C469" s="39" t="s">
        <v>851</v>
      </c>
      <c r="D469">
        <v>9</v>
      </c>
      <c r="F469" s="56"/>
    </row>
    <row r="470" spans="1:6" ht="15">
      <c r="A470" s="51">
        <v>289182</v>
      </c>
      <c r="B470" t="s">
        <v>853</v>
      </c>
      <c r="C470" s="39" t="s">
        <v>851</v>
      </c>
      <c r="D470">
        <v>9</v>
      </c>
      <c r="F470" s="56"/>
    </row>
    <row r="471" spans="1:6" ht="15">
      <c r="A471" s="51">
        <v>289183</v>
      </c>
      <c r="B471" t="s">
        <v>122</v>
      </c>
      <c r="C471" s="39" t="s">
        <v>618</v>
      </c>
      <c r="D471" t="s">
        <v>4243</v>
      </c>
      <c r="F471" s="56"/>
    </row>
    <row r="472" spans="1:6" ht="15">
      <c r="A472" s="51">
        <v>289184</v>
      </c>
      <c r="B472" t="s">
        <v>124</v>
      </c>
      <c r="C472" s="39" t="s">
        <v>618</v>
      </c>
      <c r="D472">
        <v>7</v>
      </c>
      <c r="F472" s="56"/>
    </row>
    <row r="473" spans="1:6" ht="15">
      <c r="A473" s="51">
        <v>289185</v>
      </c>
      <c r="B473" t="s">
        <v>854</v>
      </c>
      <c r="C473" s="39" t="s">
        <v>390</v>
      </c>
      <c r="D473" t="s">
        <v>4247</v>
      </c>
      <c r="F473" s="56"/>
    </row>
    <row r="474" spans="1:6" ht="15">
      <c r="A474" s="51">
        <v>289186</v>
      </c>
      <c r="B474" t="s">
        <v>855</v>
      </c>
      <c r="C474" s="39" t="s">
        <v>390</v>
      </c>
      <c r="D474" t="s">
        <v>4243</v>
      </c>
      <c r="F474" s="56"/>
    </row>
    <row r="475" spans="1:6" ht="15">
      <c r="A475" s="51">
        <v>289187</v>
      </c>
      <c r="B475" t="s">
        <v>856</v>
      </c>
      <c r="C475" s="39" t="s">
        <v>390</v>
      </c>
      <c r="D475">
        <v>7</v>
      </c>
      <c r="F475" s="56"/>
    </row>
    <row r="476" spans="1:6" ht="15">
      <c r="A476" s="51">
        <v>289188</v>
      </c>
      <c r="B476" t="s">
        <v>857</v>
      </c>
      <c r="C476" s="39" t="s">
        <v>858</v>
      </c>
      <c r="D476">
        <v>8</v>
      </c>
      <c r="F476" s="56"/>
    </row>
    <row r="477" spans="1:6" ht="15">
      <c r="A477" s="51">
        <v>289189</v>
      </c>
      <c r="B477" t="s">
        <v>859</v>
      </c>
      <c r="C477" s="39" t="s">
        <v>858</v>
      </c>
      <c r="D477">
        <v>9</v>
      </c>
      <c r="F477" s="56"/>
    </row>
    <row r="478" spans="1:6" ht="15">
      <c r="A478" s="51">
        <v>289190</v>
      </c>
      <c r="B478" t="s">
        <v>860</v>
      </c>
      <c r="C478" s="39" t="s">
        <v>858</v>
      </c>
      <c r="D478">
        <v>9</v>
      </c>
      <c r="F478" s="56"/>
    </row>
    <row r="479" spans="1:6" ht="15">
      <c r="A479" s="51">
        <v>289191</v>
      </c>
      <c r="B479" t="s">
        <v>861</v>
      </c>
      <c r="C479" s="39" t="s">
        <v>862</v>
      </c>
      <c r="D479">
        <v>9</v>
      </c>
      <c r="F479" s="56"/>
    </row>
    <row r="480" spans="1:6" ht="15">
      <c r="A480" s="51">
        <v>289192</v>
      </c>
      <c r="B480" t="s">
        <v>863</v>
      </c>
      <c r="C480" s="39" t="s">
        <v>192</v>
      </c>
      <c r="D480" t="s">
        <v>4247</v>
      </c>
      <c r="F480" s="56"/>
    </row>
    <row r="481" spans="1:6" ht="15">
      <c r="A481" s="51">
        <v>289193</v>
      </c>
      <c r="B481" t="s">
        <v>864</v>
      </c>
      <c r="C481" s="39" t="s">
        <v>192</v>
      </c>
      <c r="D481" t="s">
        <v>4243</v>
      </c>
      <c r="F481" s="56"/>
    </row>
    <row r="482" spans="1:6" ht="15">
      <c r="A482" s="51">
        <v>289194</v>
      </c>
      <c r="B482" t="s">
        <v>865</v>
      </c>
      <c r="C482" s="39" t="s">
        <v>92</v>
      </c>
      <c r="D482">
        <v>7</v>
      </c>
      <c r="F482" s="56"/>
    </row>
    <row r="483" spans="1:6" ht="15">
      <c r="A483" s="51">
        <v>289195</v>
      </c>
      <c r="B483" t="s">
        <v>866</v>
      </c>
      <c r="C483" s="39" t="s">
        <v>92</v>
      </c>
      <c r="D483">
        <v>8</v>
      </c>
      <c r="F483" s="56"/>
    </row>
    <row r="484" spans="1:6" ht="15">
      <c r="A484" s="51">
        <v>289196</v>
      </c>
      <c r="B484" t="s">
        <v>867</v>
      </c>
      <c r="C484" s="39" t="s">
        <v>192</v>
      </c>
      <c r="D484" t="s">
        <v>4244</v>
      </c>
      <c r="F484" s="56"/>
    </row>
    <row r="485" spans="1:6" ht="15">
      <c r="A485" s="51">
        <v>289197</v>
      </c>
      <c r="B485" t="s">
        <v>868</v>
      </c>
      <c r="C485" s="39" t="s">
        <v>869</v>
      </c>
      <c r="D485" t="s">
        <v>4243</v>
      </c>
      <c r="F485" s="56"/>
    </row>
    <row r="486" spans="1:6" ht="15">
      <c r="A486" s="51">
        <v>289198</v>
      </c>
      <c r="B486" t="s">
        <v>870</v>
      </c>
      <c r="C486" s="39" t="s">
        <v>869</v>
      </c>
      <c r="D486">
        <v>7</v>
      </c>
      <c r="F486" s="56"/>
    </row>
    <row r="487" spans="1:6" ht="15">
      <c r="A487" s="51">
        <v>289199</v>
      </c>
      <c r="B487" t="s">
        <v>871</v>
      </c>
      <c r="C487" s="39" t="s">
        <v>96</v>
      </c>
      <c r="D487">
        <v>9</v>
      </c>
      <c r="F487" s="56"/>
    </row>
    <row r="488" spans="1:6" ht="15">
      <c r="A488" s="51">
        <v>289200</v>
      </c>
      <c r="B488" t="s">
        <v>872</v>
      </c>
      <c r="C488" s="39" t="s">
        <v>402</v>
      </c>
      <c r="D488" t="s">
        <v>4245</v>
      </c>
      <c r="F488" s="56"/>
    </row>
    <row r="489" spans="1:6" ht="15">
      <c r="A489" s="51">
        <v>289201</v>
      </c>
      <c r="B489" t="s">
        <v>873</v>
      </c>
      <c r="C489" s="39" t="s">
        <v>200</v>
      </c>
      <c r="D489" t="s">
        <v>4243</v>
      </c>
      <c r="F489" s="56"/>
    </row>
    <row r="490" spans="1:6" ht="15">
      <c r="A490" s="51">
        <v>289202</v>
      </c>
      <c r="B490" t="s">
        <v>874</v>
      </c>
      <c r="C490" s="39" t="s">
        <v>200</v>
      </c>
      <c r="D490">
        <v>7</v>
      </c>
      <c r="F490" s="56"/>
    </row>
    <row r="491" spans="1:6" ht="15">
      <c r="A491" s="51">
        <v>289203</v>
      </c>
      <c r="B491" t="s">
        <v>875</v>
      </c>
      <c r="C491" s="39" t="s">
        <v>876</v>
      </c>
      <c r="D491">
        <v>8</v>
      </c>
      <c r="F491" s="56"/>
    </row>
    <row r="492" spans="1:6" ht="15">
      <c r="A492" s="51">
        <v>289204</v>
      </c>
      <c r="B492" t="s">
        <v>877</v>
      </c>
      <c r="C492" s="39" t="s">
        <v>417</v>
      </c>
      <c r="D492" t="s">
        <v>4243</v>
      </c>
      <c r="F492" s="56"/>
    </row>
    <row r="493" spans="1:6" ht="15">
      <c r="A493" s="51">
        <v>289205</v>
      </c>
      <c r="B493" t="s">
        <v>878</v>
      </c>
      <c r="C493" s="39" t="s">
        <v>417</v>
      </c>
      <c r="D493">
        <v>7</v>
      </c>
      <c r="F493" s="56"/>
    </row>
    <row r="494" spans="1:6" ht="15">
      <c r="A494" s="51">
        <v>289206</v>
      </c>
      <c r="B494" t="s">
        <v>420</v>
      </c>
      <c r="C494" s="39" t="s">
        <v>879</v>
      </c>
      <c r="D494" t="s">
        <v>4243</v>
      </c>
      <c r="F494" s="56"/>
    </row>
    <row r="495" spans="1:6" ht="15">
      <c r="A495" s="51">
        <v>289207</v>
      </c>
      <c r="B495" t="s">
        <v>880</v>
      </c>
      <c r="C495" s="39" t="s">
        <v>243</v>
      </c>
      <c r="D495" t="s">
        <v>4245</v>
      </c>
      <c r="F495" s="56"/>
    </row>
    <row r="496" spans="1:6" ht="15">
      <c r="A496" s="51">
        <v>289208</v>
      </c>
      <c r="B496" t="s">
        <v>881</v>
      </c>
      <c r="C496" s="39" t="s">
        <v>437</v>
      </c>
      <c r="D496" t="s">
        <v>4248</v>
      </c>
      <c r="F496" s="56"/>
    </row>
    <row r="497" spans="1:6" ht="15">
      <c r="A497" s="51">
        <v>289209</v>
      </c>
      <c r="B497" t="s">
        <v>882</v>
      </c>
      <c r="C497" s="39" t="s">
        <v>437</v>
      </c>
      <c r="D497" t="s">
        <v>4248</v>
      </c>
      <c r="F497" s="56"/>
    </row>
    <row r="498" spans="1:6" ht="15">
      <c r="A498" s="51">
        <v>289210</v>
      </c>
      <c r="B498" t="s">
        <v>883</v>
      </c>
      <c r="C498" s="39" t="s">
        <v>884</v>
      </c>
      <c r="D498">
        <v>8</v>
      </c>
      <c r="F498" s="56"/>
    </row>
    <row r="499" spans="1:6" ht="15">
      <c r="A499" s="51">
        <v>289211</v>
      </c>
      <c r="B499" t="s">
        <v>262</v>
      </c>
      <c r="C499" s="39" t="s">
        <v>261</v>
      </c>
      <c r="D499" t="s">
        <v>4245</v>
      </c>
      <c r="F499" s="56"/>
    </row>
    <row r="500" spans="1:6" ht="15">
      <c r="A500" s="51">
        <v>289212</v>
      </c>
      <c r="B500" t="s">
        <v>447</v>
      </c>
      <c r="C500" s="39" t="s">
        <v>261</v>
      </c>
      <c r="D500" t="s">
        <v>4244</v>
      </c>
      <c r="F500" s="56"/>
    </row>
    <row r="501" spans="1:6" ht="15">
      <c r="A501" s="51">
        <v>289213</v>
      </c>
      <c r="B501" t="s">
        <v>273</v>
      </c>
      <c r="C501" s="39" t="s">
        <v>274</v>
      </c>
      <c r="D501" t="s">
        <v>4243</v>
      </c>
      <c r="F501" s="56"/>
    </row>
    <row r="502" spans="1:6" ht="15">
      <c r="A502" s="51">
        <v>289214</v>
      </c>
      <c r="B502" t="s">
        <v>74</v>
      </c>
      <c r="C502" s="39" t="s">
        <v>274</v>
      </c>
      <c r="D502" t="s">
        <v>4243</v>
      </c>
      <c r="F502" s="56"/>
    </row>
    <row r="503" spans="1:6" ht="15">
      <c r="A503" s="51">
        <v>289215</v>
      </c>
      <c r="B503" t="s">
        <v>75</v>
      </c>
      <c r="C503" s="39" t="s">
        <v>274</v>
      </c>
      <c r="D503">
        <v>7</v>
      </c>
      <c r="F503" s="56"/>
    </row>
    <row r="504" spans="1:6" ht="15">
      <c r="A504" s="51">
        <v>289216</v>
      </c>
      <c r="B504" t="s">
        <v>885</v>
      </c>
      <c r="C504" s="39" t="s">
        <v>274</v>
      </c>
      <c r="D504">
        <v>8</v>
      </c>
      <c r="F504" s="56"/>
    </row>
    <row r="505" spans="1:6" ht="15">
      <c r="A505" s="51">
        <v>289217</v>
      </c>
      <c r="B505" t="s">
        <v>886</v>
      </c>
      <c r="C505" s="39" t="s">
        <v>274</v>
      </c>
      <c r="D505">
        <v>8</v>
      </c>
      <c r="F505" s="56"/>
    </row>
    <row r="506" spans="1:6" ht="15">
      <c r="A506" s="51">
        <v>289219</v>
      </c>
      <c r="B506" t="s">
        <v>455</v>
      </c>
      <c r="C506" s="39" t="s">
        <v>550</v>
      </c>
      <c r="D506" t="s">
        <v>4244</v>
      </c>
      <c r="F506" s="56"/>
    </row>
    <row r="507" spans="1:6" ht="15">
      <c r="A507" s="51">
        <v>289220</v>
      </c>
      <c r="B507" t="s">
        <v>887</v>
      </c>
      <c r="C507" s="39" t="s">
        <v>283</v>
      </c>
      <c r="D507">
        <v>8</v>
      </c>
      <c r="F507" s="56"/>
    </row>
    <row r="508" spans="1:6" ht="15">
      <c r="A508" s="51">
        <v>289557</v>
      </c>
      <c r="B508">
        <v>2</v>
      </c>
      <c r="C508" s="39" t="s">
        <v>373</v>
      </c>
      <c r="D508" t="s">
        <v>4248</v>
      </c>
      <c r="F508" s="56"/>
    </row>
    <row r="509" spans="1:6" ht="15">
      <c r="A509" s="51">
        <v>289580</v>
      </c>
      <c r="B509">
        <v>3</v>
      </c>
      <c r="C509" s="39" t="s">
        <v>437</v>
      </c>
      <c r="D509" t="s">
        <v>4248</v>
      </c>
      <c r="F509" s="56"/>
    </row>
    <row r="510" spans="1:6" ht="15">
      <c r="A510" s="51">
        <v>289597</v>
      </c>
      <c r="B510">
        <v>4</v>
      </c>
      <c r="C510" s="39" t="s">
        <v>433</v>
      </c>
      <c r="D510" t="s">
        <v>4245</v>
      </c>
      <c r="F510" s="56"/>
    </row>
    <row r="511" spans="1:6" ht="15">
      <c r="A511" s="51">
        <v>289623</v>
      </c>
      <c r="B511">
        <v>5</v>
      </c>
      <c r="C511" s="39" t="s">
        <v>283</v>
      </c>
      <c r="D511">
        <v>8</v>
      </c>
      <c r="F511" s="56"/>
    </row>
    <row r="512" spans="1:6" ht="15">
      <c r="A512" s="51">
        <v>289654</v>
      </c>
      <c r="B512" t="s">
        <v>471</v>
      </c>
      <c r="C512" s="39" t="s">
        <v>472</v>
      </c>
      <c r="D512">
        <v>7</v>
      </c>
      <c r="F512" s="56"/>
    </row>
    <row r="513" spans="1:6" ht="15">
      <c r="A513" s="51">
        <v>812321</v>
      </c>
      <c r="B513" t="s">
        <v>888</v>
      </c>
      <c r="C513" s="39" t="s">
        <v>889</v>
      </c>
      <c r="D513" t="s">
        <v>4245</v>
      </c>
      <c r="F513" s="56"/>
    </row>
    <row r="514" spans="1:6" ht="15">
      <c r="A514" s="51">
        <v>289713</v>
      </c>
      <c r="B514">
        <v>8</v>
      </c>
      <c r="C514" s="39" t="s">
        <v>402</v>
      </c>
      <c r="D514" t="s">
        <v>4245</v>
      </c>
      <c r="F514" s="56"/>
    </row>
    <row r="515" spans="1:6" ht="15">
      <c r="A515" s="51">
        <v>289742</v>
      </c>
      <c r="B515">
        <v>9</v>
      </c>
      <c r="C515" s="39" t="s">
        <v>475</v>
      </c>
      <c r="D515" t="s">
        <v>4245</v>
      </c>
      <c r="F515" s="56"/>
    </row>
    <row r="516" spans="1:6" ht="15">
      <c r="A516" s="51">
        <v>298058</v>
      </c>
      <c r="B516">
        <v>10</v>
      </c>
      <c r="C516" s="39" t="s">
        <v>890</v>
      </c>
      <c r="D516">
        <v>7</v>
      </c>
      <c r="F516" s="56"/>
    </row>
    <row r="517" spans="1:6" ht="15">
      <c r="A517" s="51">
        <v>289515</v>
      </c>
      <c r="B517" t="s">
        <v>476</v>
      </c>
      <c r="C517" s="39" t="s">
        <v>477</v>
      </c>
      <c r="D517" t="s">
        <v>4244</v>
      </c>
      <c r="F517" s="56"/>
    </row>
    <row r="518" spans="1:6" ht="15">
      <c r="A518" s="51">
        <v>289516</v>
      </c>
      <c r="B518" t="s">
        <v>478</v>
      </c>
      <c r="C518" s="39" t="s">
        <v>477</v>
      </c>
      <c r="D518">
        <v>7</v>
      </c>
      <c r="F518" s="56"/>
    </row>
    <row r="519" spans="1:6" ht="15">
      <c r="A519" s="51">
        <v>289517</v>
      </c>
      <c r="B519" t="s">
        <v>479</v>
      </c>
      <c r="C519" s="39" t="s">
        <v>477</v>
      </c>
      <c r="D519">
        <v>8</v>
      </c>
      <c r="F519" s="56"/>
    </row>
    <row r="520" spans="1:6" ht="15">
      <c r="A520" s="51">
        <v>289518</v>
      </c>
      <c r="B520" t="s">
        <v>480</v>
      </c>
      <c r="C520" s="39" t="s">
        <v>477</v>
      </c>
      <c r="D520">
        <v>8</v>
      </c>
      <c r="F520" s="56"/>
    </row>
    <row r="521" spans="1:6" ht="15">
      <c r="A521" s="51">
        <v>289519</v>
      </c>
      <c r="B521" t="s">
        <v>481</v>
      </c>
      <c r="C521" s="39" t="s">
        <v>477</v>
      </c>
      <c r="D521">
        <v>9</v>
      </c>
      <c r="F521" s="56"/>
    </row>
    <row r="522" spans="1:6" ht="15">
      <c r="A522" s="51">
        <v>289520</v>
      </c>
      <c r="B522" t="s">
        <v>891</v>
      </c>
      <c r="C522" s="39" t="s">
        <v>483</v>
      </c>
      <c r="D522" t="s">
        <v>4246</v>
      </c>
      <c r="F522" s="56"/>
    </row>
    <row r="523" spans="1:6" ht="15">
      <c r="A523" s="51">
        <v>289521</v>
      </c>
      <c r="B523" t="s">
        <v>482</v>
      </c>
      <c r="C523" s="39" t="s">
        <v>483</v>
      </c>
      <c r="D523" t="s">
        <v>4244</v>
      </c>
      <c r="F523" s="56"/>
    </row>
    <row r="524" spans="1:6" ht="15">
      <c r="A524" s="51">
        <v>289522</v>
      </c>
      <c r="B524" t="s">
        <v>484</v>
      </c>
      <c r="C524" s="39" t="s">
        <v>483</v>
      </c>
      <c r="D524" t="s">
        <v>4243</v>
      </c>
      <c r="F524" s="56"/>
    </row>
    <row r="525" spans="1:6" ht="15">
      <c r="A525" s="51">
        <v>289523</v>
      </c>
      <c r="B525" t="s">
        <v>485</v>
      </c>
      <c r="C525" s="39" t="s">
        <v>483</v>
      </c>
      <c r="D525">
        <v>8</v>
      </c>
      <c r="F525" s="56"/>
    </row>
    <row r="526" spans="1:6" ht="15">
      <c r="A526" s="51">
        <v>289535</v>
      </c>
      <c r="B526" t="s">
        <v>489</v>
      </c>
      <c r="C526" s="39" t="s">
        <v>488</v>
      </c>
      <c r="D526">
        <v>7</v>
      </c>
      <c r="F526" s="56"/>
    </row>
    <row r="527" spans="1:6" ht="15">
      <c r="A527" s="51">
        <v>289536</v>
      </c>
      <c r="B527" t="s">
        <v>490</v>
      </c>
      <c r="C527" s="39" t="s">
        <v>488</v>
      </c>
      <c r="D527">
        <v>8</v>
      </c>
      <c r="F527" s="56"/>
    </row>
    <row r="528" spans="1:6" ht="15">
      <c r="A528" s="51">
        <v>289537</v>
      </c>
      <c r="B528" t="s">
        <v>494</v>
      </c>
      <c r="C528" s="39" t="s">
        <v>291</v>
      </c>
      <c r="D528" t="s">
        <v>4244</v>
      </c>
      <c r="F528" s="56"/>
    </row>
    <row r="529" spans="1:6" ht="15">
      <c r="A529" s="51">
        <v>289538</v>
      </c>
      <c r="B529" t="s">
        <v>495</v>
      </c>
      <c r="C529" s="39" t="s">
        <v>291</v>
      </c>
      <c r="D529">
        <v>7</v>
      </c>
      <c r="F529" s="56"/>
    </row>
    <row r="530" spans="1:6" ht="15">
      <c r="A530" s="51">
        <v>289539</v>
      </c>
      <c r="B530" t="s">
        <v>496</v>
      </c>
      <c r="C530" s="39" t="s">
        <v>291</v>
      </c>
      <c r="D530">
        <v>8</v>
      </c>
      <c r="F530" s="56"/>
    </row>
    <row r="531" spans="1:6" ht="15">
      <c r="A531" s="51">
        <v>289540</v>
      </c>
      <c r="B531" t="s">
        <v>497</v>
      </c>
      <c r="C531" s="39" t="s">
        <v>498</v>
      </c>
      <c r="D531" t="s">
        <v>4243</v>
      </c>
      <c r="F531" s="56"/>
    </row>
    <row r="532" spans="1:6" ht="15">
      <c r="A532" s="51">
        <v>289541</v>
      </c>
      <c r="B532" t="s">
        <v>499</v>
      </c>
      <c r="C532" s="39" t="s">
        <v>498</v>
      </c>
      <c r="D532" t="s">
        <v>4243</v>
      </c>
      <c r="F532" s="56"/>
    </row>
    <row r="533" spans="1:6" ht="15">
      <c r="A533" s="51">
        <v>289542</v>
      </c>
      <c r="B533" t="s">
        <v>500</v>
      </c>
      <c r="C533" s="39" t="s">
        <v>498</v>
      </c>
      <c r="D533">
        <v>8</v>
      </c>
      <c r="F533" s="56"/>
    </row>
    <row r="534" spans="1:6" ht="15">
      <c r="A534" s="51">
        <v>289543</v>
      </c>
      <c r="B534" t="s">
        <v>501</v>
      </c>
      <c r="C534" s="39" t="s">
        <v>502</v>
      </c>
      <c r="D534" t="s">
        <v>4244</v>
      </c>
      <c r="F534" s="56"/>
    </row>
    <row r="535" spans="1:6" ht="15">
      <c r="A535" s="51">
        <v>289544</v>
      </c>
      <c r="B535" t="s">
        <v>503</v>
      </c>
      <c r="C535" s="39" t="s">
        <v>502</v>
      </c>
      <c r="D535">
        <v>7</v>
      </c>
      <c r="F535" s="56"/>
    </row>
    <row r="536" spans="1:6" ht="15">
      <c r="A536" s="51">
        <v>289545</v>
      </c>
      <c r="B536" t="s">
        <v>504</v>
      </c>
      <c r="C536" s="39" t="s">
        <v>502</v>
      </c>
      <c r="D536">
        <v>8</v>
      </c>
      <c r="F536" s="56"/>
    </row>
    <row r="537" spans="1:6" ht="15">
      <c r="A537" s="51">
        <v>289546</v>
      </c>
      <c r="B537" t="s">
        <v>505</v>
      </c>
      <c r="C537" s="39" t="s">
        <v>502</v>
      </c>
      <c r="D537">
        <v>8</v>
      </c>
      <c r="F537" s="56"/>
    </row>
    <row r="538" spans="1:6" ht="15">
      <c r="A538" s="51">
        <v>1540796</v>
      </c>
      <c r="B538" t="s">
        <v>892</v>
      </c>
      <c r="C538" s="39" t="s">
        <v>893</v>
      </c>
      <c r="D538" t="s">
        <v>4245</v>
      </c>
      <c r="F538" s="56"/>
    </row>
    <row r="539" spans="1:6" ht="15">
      <c r="A539" s="51">
        <v>289555</v>
      </c>
      <c r="B539" t="s">
        <v>508</v>
      </c>
      <c r="C539" s="39" t="s">
        <v>509</v>
      </c>
      <c r="D539" t="s">
        <v>4245</v>
      </c>
      <c r="F539" s="56"/>
    </row>
    <row r="540" spans="1:6" ht="15">
      <c r="A540" s="51">
        <v>289556</v>
      </c>
      <c r="B540" t="s">
        <v>510</v>
      </c>
      <c r="C540" s="39" t="s">
        <v>509</v>
      </c>
      <c r="D540" t="s">
        <v>4246</v>
      </c>
      <c r="F540" s="56"/>
    </row>
    <row r="541" spans="1:6" ht="15">
      <c r="A541" s="51">
        <v>289558</v>
      </c>
      <c r="B541" t="s">
        <v>511</v>
      </c>
      <c r="C541" s="39" t="s">
        <v>261</v>
      </c>
      <c r="D541" t="s">
        <v>4248</v>
      </c>
      <c r="F541" s="56"/>
    </row>
    <row r="542" spans="1:6" ht="15">
      <c r="A542" s="51">
        <v>289559</v>
      </c>
      <c r="B542" t="s">
        <v>512</v>
      </c>
      <c r="C542" s="39" t="s">
        <v>261</v>
      </c>
      <c r="D542" t="s">
        <v>4245</v>
      </c>
      <c r="F542" s="56"/>
    </row>
    <row r="543" spans="1:6" ht="15">
      <c r="A543" s="51">
        <v>289560</v>
      </c>
      <c r="B543" t="s">
        <v>513</v>
      </c>
      <c r="C543" s="39" t="s">
        <v>261</v>
      </c>
      <c r="D543" t="s">
        <v>4244</v>
      </c>
      <c r="F543" s="56"/>
    </row>
    <row r="544" spans="1:6" ht="15">
      <c r="A544" s="51">
        <v>289561</v>
      </c>
      <c r="B544" t="s">
        <v>514</v>
      </c>
      <c r="C544" s="39" t="s">
        <v>261</v>
      </c>
      <c r="D544" t="s">
        <v>4243</v>
      </c>
      <c r="F544" s="56"/>
    </row>
    <row r="545" spans="1:6" ht="15">
      <c r="A545" s="51">
        <v>289562</v>
      </c>
      <c r="B545" t="s">
        <v>520</v>
      </c>
      <c r="C545" s="39" t="s">
        <v>521</v>
      </c>
      <c r="D545" t="s">
        <v>4248</v>
      </c>
      <c r="F545" s="56"/>
    </row>
    <row r="546" spans="1:6" ht="15">
      <c r="A546" s="51">
        <v>289563</v>
      </c>
      <c r="B546" t="s">
        <v>522</v>
      </c>
      <c r="C546" s="39" t="s">
        <v>521</v>
      </c>
      <c r="D546" t="s">
        <v>4245</v>
      </c>
      <c r="F546" s="56"/>
    </row>
    <row r="547" spans="1:6" ht="15">
      <c r="A547" s="51">
        <v>289564</v>
      </c>
      <c r="B547" t="s">
        <v>524</v>
      </c>
      <c r="C547" s="39" t="s">
        <v>108</v>
      </c>
      <c r="D547" t="s">
        <v>4245</v>
      </c>
      <c r="F547" s="56"/>
    </row>
    <row r="548" spans="1:6" ht="15">
      <c r="A548" s="51">
        <v>289565</v>
      </c>
      <c r="B548" t="s">
        <v>525</v>
      </c>
      <c r="C548" s="39" t="s">
        <v>108</v>
      </c>
      <c r="D548" t="s">
        <v>4245</v>
      </c>
      <c r="F548" s="56"/>
    </row>
    <row r="549" spans="1:6" ht="15">
      <c r="A549" s="51">
        <v>289566</v>
      </c>
      <c r="B549" t="s">
        <v>526</v>
      </c>
      <c r="C549" s="39" t="s">
        <v>108</v>
      </c>
      <c r="D549" t="s">
        <v>4244</v>
      </c>
      <c r="F549" s="56"/>
    </row>
    <row r="550" spans="1:6" ht="15">
      <c r="A550" s="51">
        <v>289567</v>
      </c>
      <c r="B550" t="s">
        <v>527</v>
      </c>
      <c r="C550" s="39" t="s">
        <v>108</v>
      </c>
      <c r="D550" t="s">
        <v>4243</v>
      </c>
      <c r="F550" s="56"/>
    </row>
    <row r="551" spans="1:6" ht="15">
      <c r="A551" s="51">
        <v>289568</v>
      </c>
      <c r="B551" t="s">
        <v>528</v>
      </c>
      <c r="C551" s="39" t="s">
        <v>108</v>
      </c>
      <c r="D551">
        <v>8</v>
      </c>
      <c r="F551" s="56"/>
    </row>
    <row r="552" spans="1:6" ht="15">
      <c r="A552" s="51">
        <v>289569</v>
      </c>
      <c r="B552" t="s">
        <v>529</v>
      </c>
      <c r="C552" s="39" t="s">
        <v>108</v>
      </c>
      <c r="D552">
        <v>9</v>
      </c>
      <c r="F552" s="56"/>
    </row>
    <row r="553" spans="1:6" ht="15">
      <c r="A553" s="51">
        <v>1540783</v>
      </c>
      <c r="B553" t="s">
        <v>530</v>
      </c>
      <c r="C553" s="39" t="s">
        <v>108</v>
      </c>
      <c r="D553" t="s">
        <v>4245</v>
      </c>
      <c r="F553" s="56"/>
    </row>
    <row r="554" spans="1:6" ht="15">
      <c r="A554" s="51">
        <v>289571</v>
      </c>
      <c r="B554" t="s">
        <v>531</v>
      </c>
      <c r="C554" s="39" t="s">
        <v>108</v>
      </c>
      <c r="D554" t="s">
        <v>4245</v>
      </c>
      <c r="F554" s="56"/>
    </row>
    <row r="555" spans="1:6" ht="15">
      <c r="A555" s="51">
        <v>289572</v>
      </c>
      <c r="B555" t="s">
        <v>532</v>
      </c>
      <c r="C555" s="39" t="s">
        <v>106</v>
      </c>
      <c r="D555" t="s">
        <v>4245</v>
      </c>
      <c r="F555" s="56"/>
    </row>
    <row r="556" spans="1:6" ht="15">
      <c r="A556" s="51">
        <v>289573</v>
      </c>
      <c r="B556" t="s">
        <v>533</v>
      </c>
      <c r="C556" s="39" t="s">
        <v>106</v>
      </c>
      <c r="D556" t="s">
        <v>4245</v>
      </c>
      <c r="F556" s="56"/>
    </row>
    <row r="557" spans="1:6" ht="15">
      <c r="A557" s="51">
        <v>289574</v>
      </c>
      <c r="B557" t="s">
        <v>534</v>
      </c>
      <c r="C557" s="39" t="s">
        <v>243</v>
      </c>
      <c r="D557" t="s">
        <v>4245</v>
      </c>
      <c r="F557" s="56"/>
    </row>
    <row r="558" spans="1:6" ht="15">
      <c r="A558" s="51">
        <v>289575</v>
      </c>
      <c r="B558" t="s">
        <v>894</v>
      </c>
      <c r="C558" s="39" t="s">
        <v>108</v>
      </c>
      <c r="D558" t="s">
        <v>4245</v>
      </c>
      <c r="F558" s="56"/>
    </row>
    <row r="559" spans="1:6" ht="15">
      <c r="A559" s="51">
        <v>289576</v>
      </c>
      <c r="B559" t="s">
        <v>535</v>
      </c>
      <c r="C559" s="39" t="s">
        <v>108</v>
      </c>
      <c r="D559" t="s">
        <v>4245</v>
      </c>
      <c r="F559" s="56"/>
    </row>
    <row r="560" spans="1:6" ht="15">
      <c r="A560" s="51">
        <v>289577</v>
      </c>
      <c r="B560" t="s">
        <v>537</v>
      </c>
      <c r="C560" s="39" t="s">
        <v>108</v>
      </c>
      <c r="D560" t="s">
        <v>4244</v>
      </c>
      <c r="F560" s="56"/>
    </row>
    <row r="561" spans="1:6" ht="15">
      <c r="A561" s="51">
        <v>289578</v>
      </c>
      <c r="B561" t="s">
        <v>538</v>
      </c>
      <c r="C561" s="39" t="s">
        <v>108</v>
      </c>
      <c r="D561" t="s">
        <v>4243</v>
      </c>
      <c r="F561" s="56"/>
    </row>
    <row r="562" spans="1:6" ht="15">
      <c r="A562" s="51">
        <v>289579</v>
      </c>
      <c r="B562" t="s">
        <v>539</v>
      </c>
      <c r="C562" s="39" t="s">
        <v>108</v>
      </c>
      <c r="D562">
        <v>8</v>
      </c>
      <c r="F562" s="56"/>
    </row>
    <row r="563" spans="1:6" ht="15">
      <c r="A563" s="51">
        <v>289581</v>
      </c>
      <c r="B563" t="s">
        <v>543</v>
      </c>
      <c r="C563" s="39" t="s">
        <v>542</v>
      </c>
      <c r="D563" t="s">
        <v>4246</v>
      </c>
      <c r="F563" s="56"/>
    </row>
    <row r="564" spans="1:6" ht="15">
      <c r="A564" s="51">
        <v>289582</v>
      </c>
      <c r="B564" t="s">
        <v>544</v>
      </c>
      <c r="C564" s="39" t="s">
        <v>542</v>
      </c>
      <c r="D564" t="s">
        <v>4244</v>
      </c>
      <c r="F564" s="56"/>
    </row>
    <row r="565" spans="1:6" ht="15">
      <c r="A565" s="51">
        <v>289583</v>
      </c>
      <c r="B565" t="s">
        <v>546</v>
      </c>
      <c r="C565" s="39" t="s">
        <v>547</v>
      </c>
      <c r="D565" t="s">
        <v>4244</v>
      </c>
      <c r="F565" s="56"/>
    </row>
    <row r="566" spans="1:6" ht="15">
      <c r="A566" s="51">
        <v>289584</v>
      </c>
      <c r="B566" t="s">
        <v>548</v>
      </c>
      <c r="C566" s="39" t="s">
        <v>547</v>
      </c>
      <c r="D566" t="s">
        <v>4244</v>
      </c>
      <c r="F566" s="56"/>
    </row>
    <row r="567" spans="1:6" ht="15">
      <c r="A567" s="51">
        <v>289586</v>
      </c>
      <c r="B567" t="s">
        <v>549</v>
      </c>
      <c r="C567" s="39" t="s">
        <v>550</v>
      </c>
      <c r="D567" t="s">
        <v>4244</v>
      </c>
      <c r="F567" s="56"/>
    </row>
    <row r="568" spans="1:6" ht="15">
      <c r="A568" s="51">
        <v>289587</v>
      </c>
      <c r="B568">
        <v>34</v>
      </c>
      <c r="C568" s="39" t="s">
        <v>895</v>
      </c>
      <c r="D568" t="s">
        <v>4243</v>
      </c>
      <c r="F568" s="56"/>
    </row>
    <row r="569" spans="1:6" ht="15">
      <c r="A569" s="51">
        <v>289588</v>
      </c>
      <c r="B569" t="s">
        <v>552</v>
      </c>
      <c r="C569" s="39" t="s">
        <v>235</v>
      </c>
      <c r="D569" t="s">
        <v>4244</v>
      </c>
      <c r="F569" s="56"/>
    </row>
    <row r="570" spans="1:6" ht="15">
      <c r="A570" s="51">
        <v>289589</v>
      </c>
      <c r="B570" t="s">
        <v>553</v>
      </c>
      <c r="C570" s="39" t="s">
        <v>235</v>
      </c>
      <c r="D570" t="s">
        <v>4244</v>
      </c>
      <c r="F570" s="56"/>
    </row>
    <row r="571" spans="1:6" ht="15">
      <c r="A571" s="51">
        <v>289590</v>
      </c>
      <c r="B571" t="s">
        <v>554</v>
      </c>
      <c r="C571" s="39" t="s">
        <v>235</v>
      </c>
      <c r="D571" t="s">
        <v>4243</v>
      </c>
      <c r="F571" s="56"/>
    </row>
    <row r="572" spans="1:6" ht="15">
      <c r="A572" s="51">
        <v>289591</v>
      </c>
      <c r="B572">
        <v>36</v>
      </c>
      <c r="C572" s="39" t="s">
        <v>556</v>
      </c>
      <c r="D572" t="s">
        <v>4243</v>
      </c>
      <c r="F572" s="56"/>
    </row>
    <row r="573" spans="1:6" ht="15">
      <c r="A573" s="51">
        <v>289592</v>
      </c>
      <c r="B573" t="s">
        <v>557</v>
      </c>
      <c r="C573" s="39" t="s">
        <v>558</v>
      </c>
      <c r="D573" t="s">
        <v>4244</v>
      </c>
      <c r="F573" s="56"/>
    </row>
    <row r="574" spans="1:6" ht="15">
      <c r="A574" s="51">
        <v>289593</v>
      </c>
      <c r="B574" t="s">
        <v>559</v>
      </c>
      <c r="C574" s="39" t="s">
        <v>558</v>
      </c>
      <c r="D574" t="s">
        <v>4244</v>
      </c>
      <c r="F574" s="56"/>
    </row>
    <row r="575" spans="1:6" ht="15">
      <c r="A575" s="51">
        <v>289594</v>
      </c>
      <c r="B575" t="s">
        <v>560</v>
      </c>
      <c r="C575" s="39" t="s">
        <v>561</v>
      </c>
      <c r="D575" t="s">
        <v>4247</v>
      </c>
      <c r="F575" s="56"/>
    </row>
    <row r="576" spans="1:6" ht="15">
      <c r="A576" s="51">
        <v>289595</v>
      </c>
      <c r="B576" t="s">
        <v>562</v>
      </c>
      <c r="C576" s="39" t="s">
        <v>561</v>
      </c>
      <c r="D576" t="s">
        <v>4247</v>
      </c>
      <c r="F576" s="56"/>
    </row>
    <row r="577" spans="1:6" ht="15">
      <c r="A577" s="51">
        <v>289596</v>
      </c>
      <c r="B577" t="s">
        <v>564</v>
      </c>
      <c r="C577" s="39" t="s">
        <v>896</v>
      </c>
      <c r="D577">
        <v>8</v>
      </c>
      <c r="F577" s="56"/>
    </row>
    <row r="578" spans="1:6" ht="15">
      <c r="A578" s="51">
        <v>289598</v>
      </c>
      <c r="B578" t="s">
        <v>897</v>
      </c>
      <c r="C578" s="39" t="s">
        <v>898</v>
      </c>
      <c r="D578" t="s">
        <v>4246</v>
      </c>
      <c r="F578" s="56"/>
    </row>
    <row r="579" spans="1:6" ht="15">
      <c r="A579" s="51">
        <v>289599</v>
      </c>
      <c r="B579" t="s">
        <v>899</v>
      </c>
      <c r="C579" s="39" t="s">
        <v>898</v>
      </c>
      <c r="D579" t="s">
        <v>4247</v>
      </c>
      <c r="F579" s="56"/>
    </row>
    <row r="580" spans="1:6" ht="15">
      <c r="A580" s="51">
        <v>289600</v>
      </c>
      <c r="B580" t="s">
        <v>900</v>
      </c>
      <c r="C580" s="39" t="s">
        <v>898</v>
      </c>
      <c r="D580" t="s">
        <v>4243</v>
      </c>
      <c r="F580" s="56"/>
    </row>
    <row r="581" spans="1:6" ht="15">
      <c r="A581" s="51">
        <v>289601</v>
      </c>
      <c r="B581" t="s">
        <v>901</v>
      </c>
      <c r="C581" s="39" t="s">
        <v>902</v>
      </c>
      <c r="D581" t="s">
        <v>4244</v>
      </c>
      <c r="F581" s="56"/>
    </row>
    <row r="582" spans="1:6" ht="15">
      <c r="A582" s="51">
        <v>289602</v>
      </c>
      <c r="B582" t="s">
        <v>903</v>
      </c>
      <c r="C582" s="39" t="s">
        <v>902</v>
      </c>
      <c r="D582" t="s">
        <v>4244</v>
      </c>
      <c r="F582" s="56"/>
    </row>
    <row r="583" spans="1:6" ht="15">
      <c r="A583" s="51">
        <v>289603</v>
      </c>
      <c r="B583" t="s">
        <v>904</v>
      </c>
      <c r="C583" s="39" t="s">
        <v>362</v>
      </c>
      <c r="D583" t="s">
        <v>4247</v>
      </c>
      <c r="F583" s="56"/>
    </row>
    <row r="584" spans="1:6" ht="15">
      <c r="A584" s="51">
        <v>289604</v>
      </c>
      <c r="B584" t="s">
        <v>905</v>
      </c>
      <c r="C584" s="39" t="s">
        <v>362</v>
      </c>
      <c r="D584" t="s">
        <v>4247</v>
      </c>
      <c r="F584" s="56"/>
    </row>
    <row r="585" spans="1:6" ht="15">
      <c r="A585" s="51">
        <v>289605</v>
      </c>
      <c r="B585">
        <v>43</v>
      </c>
      <c r="C585" s="39" t="s">
        <v>99</v>
      </c>
      <c r="D585">
        <v>7</v>
      </c>
      <c r="F585" s="56"/>
    </row>
    <row r="586" spans="1:6" ht="15">
      <c r="A586" s="51">
        <v>289606</v>
      </c>
      <c r="B586">
        <v>44</v>
      </c>
      <c r="C586" s="39" t="s">
        <v>99</v>
      </c>
      <c r="D586">
        <v>7</v>
      </c>
      <c r="F586" s="56"/>
    </row>
    <row r="587" spans="1:6" ht="15">
      <c r="A587" s="51">
        <v>289607</v>
      </c>
      <c r="B587">
        <v>45</v>
      </c>
      <c r="C587" s="39" t="s">
        <v>99</v>
      </c>
      <c r="D587">
        <v>7</v>
      </c>
      <c r="F587" s="56"/>
    </row>
    <row r="588" spans="1:6" ht="15">
      <c r="A588" s="51">
        <v>289608</v>
      </c>
      <c r="B588">
        <v>46</v>
      </c>
      <c r="C588" s="39" t="s">
        <v>906</v>
      </c>
      <c r="D588" t="s">
        <v>4247</v>
      </c>
      <c r="F588" s="56"/>
    </row>
    <row r="589" spans="1:6" ht="15">
      <c r="A589" s="51">
        <v>289609</v>
      </c>
      <c r="B589" t="s">
        <v>907</v>
      </c>
      <c r="C589" s="39" t="s">
        <v>908</v>
      </c>
      <c r="D589" t="s">
        <v>4244</v>
      </c>
      <c r="F589" s="56"/>
    </row>
    <row r="590" spans="1:6" ht="15">
      <c r="A590" s="51">
        <v>289610</v>
      </c>
      <c r="B590" t="s">
        <v>909</v>
      </c>
      <c r="C590" s="39" t="s">
        <v>349</v>
      </c>
      <c r="D590" t="s">
        <v>4247</v>
      </c>
      <c r="F590" s="56"/>
    </row>
    <row r="591" spans="1:6" ht="15">
      <c r="A591" s="51">
        <v>289611</v>
      </c>
      <c r="B591" t="s">
        <v>910</v>
      </c>
      <c r="C591" s="39" t="s">
        <v>349</v>
      </c>
      <c r="D591" t="s">
        <v>4247</v>
      </c>
      <c r="F591" s="56"/>
    </row>
    <row r="592" spans="1:6" ht="15">
      <c r="A592" s="51">
        <v>289612</v>
      </c>
      <c r="B592" t="s">
        <v>911</v>
      </c>
      <c r="C592" s="39" t="s">
        <v>349</v>
      </c>
      <c r="D592" t="s">
        <v>4243</v>
      </c>
      <c r="F592" s="56"/>
    </row>
    <row r="593" spans="1:6" ht="15">
      <c r="A593" s="51">
        <v>289613</v>
      </c>
      <c r="B593" t="s">
        <v>569</v>
      </c>
      <c r="C593" s="39" t="s">
        <v>233</v>
      </c>
      <c r="D593" t="s">
        <v>4244</v>
      </c>
      <c r="F593" s="56"/>
    </row>
    <row r="594" spans="1:6" ht="15">
      <c r="A594" s="51">
        <v>289624</v>
      </c>
      <c r="B594" t="s">
        <v>570</v>
      </c>
      <c r="C594" s="39" t="s">
        <v>571</v>
      </c>
      <c r="D594" t="s">
        <v>4246</v>
      </c>
      <c r="F594" s="56"/>
    </row>
    <row r="595" spans="1:6" ht="15">
      <c r="A595" s="51">
        <v>289625</v>
      </c>
      <c r="B595" t="s">
        <v>572</v>
      </c>
      <c r="C595" s="39" t="s">
        <v>571</v>
      </c>
      <c r="D595" t="s">
        <v>4247</v>
      </c>
      <c r="F595" s="56"/>
    </row>
    <row r="596" spans="1:6" ht="15">
      <c r="A596" s="51">
        <v>289626</v>
      </c>
      <c r="B596" t="s">
        <v>573</v>
      </c>
      <c r="C596" s="39" t="s">
        <v>571</v>
      </c>
      <c r="D596" t="s">
        <v>4243</v>
      </c>
      <c r="F596" s="56"/>
    </row>
    <row r="597" spans="1:6" ht="15">
      <c r="A597" s="51">
        <v>289627</v>
      </c>
      <c r="B597" t="s">
        <v>912</v>
      </c>
      <c r="C597" s="39" t="s">
        <v>575</v>
      </c>
      <c r="D597" t="s">
        <v>4245</v>
      </c>
      <c r="F597" s="56"/>
    </row>
    <row r="598" spans="1:6" ht="15">
      <c r="A598" s="51">
        <v>289628</v>
      </c>
      <c r="B598" t="s">
        <v>574</v>
      </c>
      <c r="C598" s="39" t="s">
        <v>575</v>
      </c>
      <c r="D598" t="s">
        <v>4244</v>
      </c>
      <c r="F598" s="56"/>
    </row>
    <row r="599" spans="1:6" ht="15">
      <c r="A599" s="51">
        <v>289629</v>
      </c>
      <c r="B599" t="s">
        <v>576</v>
      </c>
      <c r="C599" s="39" t="s">
        <v>575</v>
      </c>
      <c r="D599" t="s">
        <v>4243</v>
      </c>
      <c r="F599" s="56"/>
    </row>
    <row r="600" spans="1:6" ht="15">
      <c r="A600" s="51">
        <v>289630</v>
      </c>
      <c r="B600" t="s">
        <v>577</v>
      </c>
      <c r="C600" s="39" t="s">
        <v>575</v>
      </c>
      <c r="D600">
        <v>8</v>
      </c>
      <c r="F600" s="56"/>
    </row>
    <row r="601" spans="1:6" ht="15">
      <c r="A601" s="51">
        <v>289631</v>
      </c>
      <c r="B601" t="s">
        <v>578</v>
      </c>
      <c r="C601" s="39" t="s">
        <v>575</v>
      </c>
      <c r="D601">
        <v>9</v>
      </c>
      <c r="F601" s="56"/>
    </row>
    <row r="602" spans="1:6" ht="15">
      <c r="A602" s="51">
        <v>289632</v>
      </c>
      <c r="B602" t="s">
        <v>580</v>
      </c>
      <c r="C602" s="39" t="s">
        <v>264</v>
      </c>
      <c r="D602" t="s">
        <v>4245</v>
      </c>
      <c r="F602" s="56"/>
    </row>
    <row r="603" spans="1:6" ht="15">
      <c r="A603" s="51">
        <v>289633</v>
      </c>
      <c r="B603" t="s">
        <v>581</v>
      </c>
      <c r="C603" s="39" t="s">
        <v>264</v>
      </c>
      <c r="D603" t="s">
        <v>4244</v>
      </c>
      <c r="F603" s="56"/>
    </row>
    <row r="604" spans="1:6" ht="15">
      <c r="A604" s="51">
        <v>289634</v>
      </c>
      <c r="B604" t="s">
        <v>582</v>
      </c>
      <c r="C604" s="39" t="s">
        <v>264</v>
      </c>
      <c r="D604" t="s">
        <v>4243</v>
      </c>
      <c r="F604" s="56"/>
    </row>
    <row r="605" spans="1:6" ht="15">
      <c r="A605" s="51">
        <v>289635</v>
      </c>
      <c r="B605" t="s">
        <v>583</v>
      </c>
      <c r="C605" s="39" t="s">
        <v>264</v>
      </c>
      <c r="D605">
        <v>8</v>
      </c>
      <c r="F605" s="56"/>
    </row>
    <row r="606" spans="1:6" ht="15">
      <c r="A606" s="51">
        <v>289636</v>
      </c>
      <c r="B606" t="s">
        <v>584</v>
      </c>
      <c r="C606" s="39" t="s">
        <v>264</v>
      </c>
      <c r="D606">
        <v>9</v>
      </c>
      <c r="F606" s="56"/>
    </row>
    <row r="607" spans="1:6" ht="15">
      <c r="A607" s="51">
        <v>289637</v>
      </c>
      <c r="B607" t="s">
        <v>585</v>
      </c>
      <c r="C607" s="39" t="s">
        <v>586</v>
      </c>
      <c r="D607" t="s">
        <v>4243</v>
      </c>
      <c r="F607" s="56"/>
    </row>
    <row r="608" spans="1:6" ht="15">
      <c r="A608" s="51">
        <v>289640</v>
      </c>
      <c r="B608" t="s">
        <v>913</v>
      </c>
      <c r="C608" s="39" t="s">
        <v>914</v>
      </c>
      <c r="D608" t="s">
        <v>4244</v>
      </c>
      <c r="F608" s="56"/>
    </row>
    <row r="609" spans="1:6" ht="15">
      <c r="A609" s="51">
        <v>289641</v>
      </c>
      <c r="B609" t="s">
        <v>915</v>
      </c>
      <c r="C609" s="39" t="s">
        <v>914</v>
      </c>
      <c r="D609" t="s">
        <v>4244</v>
      </c>
      <c r="F609" s="56"/>
    </row>
    <row r="610" spans="1:6" ht="15">
      <c r="A610" s="51">
        <v>289642</v>
      </c>
      <c r="B610" t="s">
        <v>916</v>
      </c>
      <c r="C610" s="39" t="s">
        <v>914</v>
      </c>
      <c r="D610">
        <v>7</v>
      </c>
      <c r="F610" s="56"/>
    </row>
    <row r="611" spans="1:6" ht="15">
      <c r="A611" s="51">
        <v>289643</v>
      </c>
      <c r="B611" t="s">
        <v>917</v>
      </c>
      <c r="C611" s="39" t="s">
        <v>342</v>
      </c>
      <c r="D611" t="s">
        <v>4246</v>
      </c>
      <c r="F611" s="56"/>
    </row>
    <row r="612" spans="1:6" ht="15">
      <c r="A612" s="51">
        <v>289644</v>
      </c>
      <c r="B612" t="s">
        <v>918</v>
      </c>
      <c r="C612" s="39" t="s">
        <v>342</v>
      </c>
      <c r="D612" t="s">
        <v>4244</v>
      </c>
      <c r="F612" s="56"/>
    </row>
    <row r="613" spans="1:6" ht="15">
      <c r="A613" s="51">
        <v>289645</v>
      </c>
      <c r="B613" t="s">
        <v>919</v>
      </c>
      <c r="C613" s="39" t="s">
        <v>342</v>
      </c>
      <c r="D613" t="s">
        <v>4243</v>
      </c>
      <c r="F613" s="56"/>
    </row>
    <row r="614" spans="1:6" ht="15">
      <c r="A614" s="51">
        <v>289646</v>
      </c>
      <c r="B614" t="s">
        <v>920</v>
      </c>
      <c r="C614" s="39" t="s">
        <v>336</v>
      </c>
      <c r="D614" t="s">
        <v>4244</v>
      </c>
      <c r="F614" s="56"/>
    </row>
    <row r="615" spans="1:6" ht="15">
      <c r="A615" s="51">
        <v>289647</v>
      </c>
      <c r="B615" t="s">
        <v>921</v>
      </c>
      <c r="C615" s="39" t="s">
        <v>336</v>
      </c>
      <c r="D615" t="s">
        <v>4244</v>
      </c>
      <c r="F615" s="56"/>
    </row>
    <row r="616" spans="1:6" ht="15">
      <c r="A616" s="51">
        <v>289648</v>
      </c>
      <c r="B616" t="s">
        <v>922</v>
      </c>
      <c r="C616" s="39" t="s">
        <v>336</v>
      </c>
      <c r="D616" t="s">
        <v>4243</v>
      </c>
      <c r="F616" s="56"/>
    </row>
    <row r="617" spans="1:6" ht="15">
      <c r="A617" s="51">
        <v>289649</v>
      </c>
      <c r="B617" t="s">
        <v>589</v>
      </c>
      <c r="C617" s="39" t="s">
        <v>588</v>
      </c>
      <c r="D617" t="s">
        <v>4247</v>
      </c>
      <c r="F617" s="56"/>
    </row>
    <row r="618" spans="1:6" ht="15">
      <c r="A618" s="51">
        <v>289650</v>
      </c>
      <c r="B618" t="s">
        <v>590</v>
      </c>
      <c r="C618" s="39" t="s">
        <v>588</v>
      </c>
      <c r="D618" t="s">
        <v>4243</v>
      </c>
      <c r="F618" s="56"/>
    </row>
    <row r="619" spans="1:6" ht="15">
      <c r="A619" s="51">
        <v>289651</v>
      </c>
      <c r="B619" t="s">
        <v>593</v>
      </c>
      <c r="C619" s="39" t="s">
        <v>594</v>
      </c>
      <c r="D619" t="s">
        <v>4244</v>
      </c>
      <c r="F619" s="56"/>
    </row>
    <row r="620" spans="1:6" ht="15">
      <c r="A620" s="51">
        <v>289652</v>
      </c>
      <c r="B620" t="s">
        <v>595</v>
      </c>
      <c r="C620" s="39" t="s">
        <v>594</v>
      </c>
      <c r="D620">
        <v>7</v>
      </c>
      <c r="F620" s="56"/>
    </row>
    <row r="621" spans="1:6" ht="15">
      <c r="A621" s="51">
        <v>289653</v>
      </c>
      <c r="B621" t="s">
        <v>596</v>
      </c>
      <c r="C621" s="39" t="s">
        <v>594</v>
      </c>
      <c r="D621">
        <v>8</v>
      </c>
      <c r="F621" s="56"/>
    </row>
    <row r="622" spans="1:6" ht="15">
      <c r="A622" s="51">
        <v>289655</v>
      </c>
      <c r="B622" t="s">
        <v>597</v>
      </c>
      <c r="C622" s="39" t="s">
        <v>598</v>
      </c>
      <c r="D622">
        <v>7</v>
      </c>
      <c r="F622" s="56"/>
    </row>
    <row r="623" spans="1:6" ht="15">
      <c r="A623" s="51">
        <v>289656</v>
      </c>
      <c r="B623" t="s">
        <v>599</v>
      </c>
      <c r="C623" s="39" t="s">
        <v>598</v>
      </c>
      <c r="D623">
        <v>7</v>
      </c>
      <c r="F623" s="56"/>
    </row>
    <row r="624" spans="1:6" ht="15">
      <c r="A624" s="51">
        <v>289657</v>
      </c>
      <c r="B624" t="s">
        <v>600</v>
      </c>
      <c r="C624" s="39" t="s">
        <v>598</v>
      </c>
      <c r="D624">
        <v>8</v>
      </c>
      <c r="F624" s="56"/>
    </row>
    <row r="625" spans="1:6" ht="15">
      <c r="A625" s="51">
        <v>289658</v>
      </c>
      <c r="B625" t="s">
        <v>601</v>
      </c>
      <c r="C625" s="39" t="s">
        <v>598</v>
      </c>
      <c r="D625">
        <v>8</v>
      </c>
      <c r="F625" s="56"/>
    </row>
    <row r="626" spans="1:6" ht="15">
      <c r="A626" s="51">
        <v>289659</v>
      </c>
      <c r="B626" t="s">
        <v>602</v>
      </c>
      <c r="C626" s="39" t="s">
        <v>603</v>
      </c>
      <c r="D626" t="s">
        <v>4247</v>
      </c>
      <c r="F626" s="56"/>
    </row>
    <row r="627" spans="1:6" ht="15">
      <c r="A627" s="51">
        <v>289660</v>
      </c>
      <c r="B627" t="s">
        <v>604</v>
      </c>
      <c r="C627" s="39" t="s">
        <v>603</v>
      </c>
      <c r="D627" t="s">
        <v>4243</v>
      </c>
      <c r="F627" s="56"/>
    </row>
    <row r="628" spans="1:6" ht="15">
      <c r="A628" s="51">
        <v>289661</v>
      </c>
      <c r="B628" t="s">
        <v>605</v>
      </c>
      <c r="C628" s="39" t="s">
        <v>603</v>
      </c>
      <c r="D628">
        <v>7</v>
      </c>
      <c r="F628" s="56"/>
    </row>
    <row r="629" spans="1:6" ht="15">
      <c r="A629" s="51">
        <v>289662</v>
      </c>
      <c r="B629" t="s">
        <v>606</v>
      </c>
      <c r="C629" s="39" t="s">
        <v>603</v>
      </c>
      <c r="D629">
        <v>8</v>
      </c>
      <c r="F629" s="56"/>
    </row>
    <row r="630" spans="1:6" ht="15">
      <c r="A630" s="51">
        <v>289663</v>
      </c>
      <c r="B630" t="s">
        <v>607</v>
      </c>
      <c r="C630" s="39" t="s">
        <v>603</v>
      </c>
      <c r="D630">
        <v>9</v>
      </c>
      <c r="F630" s="56"/>
    </row>
    <row r="631" spans="1:6" ht="15">
      <c r="A631" s="51">
        <v>289664</v>
      </c>
      <c r="B631" t="s">
        <v>608</v>
      </c>
      <c r="C631" s="39" t="s">
        <v>192</v>
      </c>
      <c r="D631" t="s">
        <v>4247</v>
      </c>
      <c r="F631" s="56"/>
    </row>
    <row r="632" spans="1:6" ht="15">
      <c r="A632" s="51">
        <v>289665</v>
      </c>
      <c r="B632" t="s">
        <v>609</v>
      </c>
      <c r="C632" s="39" t="s">
        <v>192</v>
      </c>
      <c r="D632" t="s">
        <v>4243</v>
      </c>
      <c r="F632" s="56"/>
    </row>
    <row r="633" spans="1:6" ht="15">
      <c r="A633" s="51">
        <v>289666</v>
      </c>
      <c r="B633" t="s">
        <v>610</v>
      </c>
      <c r="C633" s="39" t="s">
        <v>192</v>
      </c>
      <c r="D633">
        <v>7</v>
      </c>
      <c r="F633" s="56"/>
    </row>
    <row r="634" spans="1:6" ht="15">
      <c r="A634" s="51">
        <v>289668</v>
      </c>
      <c r="B634" t="s">
        <v>923</v>
      </c>
      <c r="C634" s="39" t="s">
        <v>924</v>
      </c>
      <c r="D634" t="s">
        <v>4246</v>
      </c>
      <c r="F634" s="56"/>
    </row>
    <row r="635" spans="1:6" ht="15">
      <c r="A635" s="51">
        <v>289669</v>
      </c>
      <c r="B635" t="s">
        <v>925</v>
      </c>
      <c r="C635" s="39" t="s">
        <v>924</v>
      </c>
      <c r="D635" t="s">
        <v>4243</v>
      </c>
      <c r="F635" s="56"/>
    </row>
    <row r="636" spans="1:6" ht="15">
      <c r="A636" s="51">
        <v>289670</v>
      </c>
      <c r="B636" t="s">
        <v>926</v>
      </c>
      <c r="C636" s="39" t="s">
        <v>924</v>
      </c>
      <c r="D636">
        <v>7</v>
      </c>
      <c r="F636" s="56"/>
    </row>
    <row r="637" spans="1:6" ht="15">
      <c r="A637" s="51">
        <v>289672</v>
      </c>
      <c r="B637" t="s">
        <v>612</v>
      </c>
      <c r="C637" s="39" t="s">
        <v>192</v>
      </c>
      <c r="D637">
        <v>8</v>
      </c>
      <c r="F637" s="56"/>
    </row>
    <row r="638" spans="1:6" ht="15">
      <c r="A638" s="51">
        <v>289673</v>
      </c>
      <c r="B638" t="s">
        <v>614</v>
      </c>
      <c r="C638" s="39" t="s">
        <v>274</v>
      </c>
      <c r="D638">
        <v>8</v>
      </c>
      <c r="F638" s="56"/>
    </row>
    <row r="639" spans="1:6" ht="15">
      <c r="A639" s="51">
        <v>289674</v>
      </c>
      <c r="B639" t="s">
        <v>617</v>
      </c>
      <c r="C639" s="39" t="s">
        <v>618</v>
      </c>
      <c r="D639" t="s">
        <v>4243</v>
      </c>
      <c r="F639" s="56"/>
    </row>
    <row r="640" spans="1:6" ht="15">
      <c r="A640" s="51">
        <v>289675</v>
      </c>
      <c r="B640" t="s">
        <v>619</v>
      </c>
      <c r="C640" s="39" t="s">
        <v>618</v>
      </c>
      <c r="D640" t="s">
        <v>4243</v>
      </c>
      <c r="F640" s="56"/>
    </row>
    <row r="641" spans="1:6" ht="15">
      <c r="A641" s="51">
        <v>289677</v>
      </c>
      <c r="B641" t="s">
        <v>621</v>
      </c>
      <c r="C641" s="39" t="s">
        <v>274</v>
      </c>
      <c r="D641" t="s">
        <v>4243</v>
      </c>
      <c r="F641" s="56"/>
    </row>
    <row r="642" spans="1:6" ht="15">
      <c r="A642" s="51">
        <v>289678</v>
      </c>
      <c r="B642" t="s">
        <v>622</v>
      </c>
      <c r="C642" s="39" t="s">
        <v>274</v>
      </c>
      <c r="D642" t="s">
        <v>4243</v>
      </c>
      <c r="F642" s="56"/>
    </row>
    <row r="643" spans="1:6" ht="15">
      <c r="A643" s="51">
        <v>289679</v>
      </c>
      <c r="B643" t="s">
        <v>623</v>
      </c>
      <c r="C643" s="39" t="s">
        <v>274</v>
      </c>
      <c r="D643">
        <v>7</v>
      </c>
      <c r="F643" s="56"/>
    </row>
    <row r="644" spans="1:6" ht="15">
      <c r="A644" s="51">
        <v>289680</v>
      </c>
      <c r="B644" t="s">
        <v>625</v>
      </c>
      <c r="C644" s="39" t="s">
        <v>626</v>
      </c>
      <c r="D644" t="s">
        <v>4243</v>
      </c>
      <c r="F644" s="56"/>
    </row>
    <row r="645" spans="1:6" ht="15">
      <c r="A645" s="51">
        <v>289681</v>
      </c>
      <c r="B645" t="s">
        <v>627</v>
      </c>
      <c r="C645" s="39" t="s">
        <v>626</v>
      </c>
      <c r="D645" t="s">
        <v>4243</v>
      </c>
      <c r="F645" s="56"/>
    </row>
    <row r="646" spans="1:6" ht="15">
      <c r="A646" s="51">
        <v>289682</v>
      </c>
      <c r="B646" t="s">
        <v>628</v>
      </c>
      <c r="C646" s="39" t="s">
        <v>626</v>
      </c>
      <c r="D646">
        <v>7</v>
      </c>
      <c r="F646" s="56"/>
    </row>
    <row r="647" spans="1:6" ht="15">
      <c r="A647" s="51">
        <v>289687</v>
      </c>
      <c r="B647" t="s">
        <v>634</v>
      </c>
      <c r="C647" s="39" t="s">
        <v>630</v>
      </c>
      <c r="D647">
        <v>8</v>
      </c>
      <c r="F647" s="56"/>
    </row>
    <row r="648" spans="1:6" ht="15">
      <c r="A648" s="51">
        <v>289688</v>
      </c>
      <c r="B648" t="s">
        <v>635</v>
      </c>
      <c r="C648" s="39" t="s">
        <v>630</v>
      </c>
      <c r="D648">
        <v>9</v>
      </c>
      <c r="F648" s="56"/>
    </row>
    <row r="649" spans="1:6" ht="15">
      <c r="A649" s="51">
        <v>289689</v>
      </c>
      <c r="B649" t="s">
        <v>636</v>
      </c>
      <c r="C649" s="39" t="s">
        <v>249</v>
      </c>
      <c r="D649" t="s">
        <v>4247</v>
      </c>
      <c r="F649" s="56"/>
    </row>
    <row r="650" spans="1:6" ht="15">
      <c r="A650" s="51">
        <v>289690</v>
      </c>
      <c r="B650" t="s">
        <v>637</v>
      </c>
      <c r="C650" s="39" t="s">
        <v>249</v>
      </c>
      <c r="D650" t="s">
        <v>4243</v>
      </c>
      <c r="F650" s="56"/>
    </row>
    <row r="651" spans="1:6" ht="15">
      <c r="A651" s="51">
        <v>289691</v>
      </c>
      <c r="B651" t="s">
        <v>638</v>
      </c>
      <c r="C651" s="39" t="s">
        <v>249</v>
      </c>
      <c r="D651">
        <v>7</v>
      </c>
      <c r="F651" s="56"/>
    </row>
    <row r="652" spans="1:6" ht="15">
      <c r="A652" s="51">
        <v>289692</v>
      </c>
      <c r="B652" t="s">
        <v>639</v>
      </c>
      <c r="C652" s="39" t="s">
        <v>249</v>
      </c>
      <c r="D652">
        <v>8</v>
      </c>
      <c r="F652" s="56"/>
    </row>
    <row r="653" spans="1:6" ht="15">
      <c r="A653" s="51">
        <v>289693</v>
      </c>
      <c r="B653" t="s">
        <v>640</v>
      </c>
      <c r="C653" s="39" t="s">
        <v>249</v>
      </c>
      <c r="D653">
        <v>9</v>
      </c>
      <c r="F653" s="56"/>
    </row>
    <row r="654" spans="1:6" ht="15">
      <c r="A654" s="51">
        <v>289695</v>
      </c>
      <c r="B654" t="s">
        <v>643</v>
      </c>
      <c r="C654" s="39" t="s">
        <v>642</v>
      </c>
      <c r="D654">
        <v>7</v>
      </c>
      <c r="F654" s="56"/>
    </row>
    <row r="655" spans="1:6" ht="15">
      <c r="A655" s="51">
        <v>318432</v>
      </c>
      <c r="B655" t="s">
        <v>644</v>
      </c>
      <c r="C655" s="39" t="s">
        <v>642</v>
      </c>
      <c r="D655">
        <v>8</v>
      </c>
      <c r="F655" s="56"/>
    </row>
    <row r="656" spans="1:6" ht="15">
      <c r="A656" s="51">
        <v>289696</v>
      </c>
      <c r="B656">
        <v>74</v>
      </c>
      <c r="C656" s="39" t="s">
        <v>927</v>
      </c>
      <c r="D656">
        <v>8</v>
      </c>
      <c r="F656" s="56"/>
    </row>
    <row r="657" spans="1:6" ht="15">
      <c r="A657" s="51">
        <v>289697</v>
      </c>
      <c r="B657">
        <v>75</v>
      </c>
      <c r="C657" s="39" t="s">
        <v>88</v>
      </c>
      <c r="D657">
        <v>8</v>
      </c>
      <c r="F657" s="56"/>
    </row>
    <row r="658" spans="1:6" ht="15">
      <c r="A658" s="51">
        <v>289698</v>
      </c>
      <c r="B658" t="s">
        <v>646</v>
      </c>
      <c r="C658" s="39" t="s">
        <v>647</v>
      </c>
      <c r="D658" t="s">
        <v>4243</v>
      </c>
      <c r="F658" s="56"/>
    </row>
    <row r="659" spans="1:6" ht="15">
      <c r="A659" s="51">
        <v>289699</v>
      </c>
      <c r="B659" t="s">
        <v>648</v>
      </c>
      <c r="C659" s="39" t="s">
        <v>647</v>
      </c>
      <c r="D659" t="s">
        <v>4243</v>
      </c>
      <c r="F659" s="56"/>
    </row>
    <row r="660" spans="1:6" ht="15">
      <c r="A660" s="51">
        <v>289700</v>
      </c>
      <c r="B660" t="s">
        <v>649</v>
      </c>
      <c r="C660" s="39" t="s">
        <v>647</v>
      </c>
      <c r="D660">
        <v>7</v>
      </c>
      <c r="F660" s="56"/>
    </row>
    <row r="661" spans="1:6" ht="15">
      <c r="A661" s="51">
        <v>289701</v>
      </c>
      <c r="B661" t="s">
        <v>650</v>
      </c>
      <c r="C661" s="39" t="s">
        <v>651</v>
      </c>
      <c r="D661">
        <v>7</v>
      </c>
      <c r="F661" s="56"/>
    </row>
    <row r="662" spans="1:6" ht="15">
      <c r="A662" s="51">
        <v>289702</v>
      </c>
      <c r="B662" t="s">
        <v>653</v>
      </c>
      <c r="C662" s="39" t="s">
        <v>375</v>
      </c>
      <c r="D662" t="s">
        <v>4243</v>
      </c>
      <c r="F662" s="56"/>
    </row>
    <row r="663" spans="1:6" ht="15">
      <c r="A663" s="51">
        <v>289703</v>
      </c>
      <c r="B663" t="s">
        <v>654</v>
      </c>
      <c r="C663" s="39" t="s">
        <v>375</v>
      </c>
      <c r="D663" t="s">
        <v>4243</v>
      </c>
      <c r="F663" s="56"/>
    </row>
    <row r="664" spans="1:6" ht="15">
      <c r="A664" s="51">
        <v>289704</v>
      </c>
      <c r="B664" t="s">
        <v>655</v>
      </c>
      <c r="C664" s="39" t="s">
        <v>375</v>
      </c>
      <c r="D664">
        <v>7</v>
      </c>
      <c r="F664" s="56"/>
    </row>
    <row r="665" spans="1:6" ht="15">
      <c r="A665" s="51">
        <v>289705</v>
      </c>
      <c r="B665" t="s">
        <v>656</v>
      </c>
      <c r="C665" s="39" t="s">
        <v>375</v>
      </c>
      <c r="D665">
        <v>8</v>
      </c>
      <c r="F665" s="56"/>
    </row>
    <row r="666" spans="1:6" ht="15">
      <c r="A666" s="51">
        <v>289707</v>
      </c>
      <c r="B666" t="s">
        <v>928</v>
      </c>
      <c r="C666" s="39" t="s">
        <v>929</v>
      </c>
      <c r="D666">
        <v>9</v>
      </c>
      <c r="F666" s="56"/>
    </row>
    <row r="667" spans="1:6" ht="15">
      <c r="A667" s="51">
        <v>289708</v>
      </c>
      <c r="B667" t="s">
        <v>658</v>
      </c>
      <c r="C667" s="39" t="s">
        <v>630</v>
      </c>
      <c r="D667" t="s">
        <v>4244</v>
      </c>
      <c r="F667" s="56"/>
    </row>
    <row r="668" spans="1:6" ht="15">
      <c r="A668" s="51">
        <v>289709</v>
      </c>
      <c r="B668" t="s">
        <v>659</v>
      </c>
      <c r="C668" s="39" t="s">
        <v>630</v>
      </c>
      <c r="D668">
        <v>7</v>
      </c>
      <c r="F668" s="56"/>
    </row>
    <row r="669" spans="1:6" ht="15">
      <c r="A669" s="51">
        <v>289710</v>
      </c>
      <c r="B669" t="s">
        <v>660</v>
      </c>
      <c r="C669" s="39" t="s">
        <v>630</v>
      </c>
      <c r="D669">
        <v>8</v>
      </c>
      <c r="F669" s="56"/>
    </row>
    <row r="670" spans="1:6" ht="15">
      <c r="A670" s="51">
        <v>289711</v>
      </c>
      <c r="B670" t="s">
        <v>661</v>
      </c>
      <c r="C670" s="39" t="s">
        <v>630</v>
      </c>
      <c r="D670">
        <v>8</v>
      </c>
      <c r="F670" s="56"/>
    </row>
    <row r="671" spans="1:6" ht="15">
      <c r="A671" s="51">
        <v>289712</v>
      </c>
      <c r="B671" t="s">
        <v>662</v>
      </c>
      <c r="C671" s="39" t="s">
        <v>630</v>
      </c>
      <c r="D671">
        <v>8</v>
      </c>
      <c r="F671" s="56"/>
    </row>
    <row r="672" spans="1:6" ht="15">
      <c r="A672" s="51">
        <v>289715</v>
      </c>
      <c r="B672" t="s">
        <v>663</v>
      </c>
      <c r="C672" s="39" t="s">
        <v>664</v>
      </c>
      <c r="D672" t="s">
        <v>4243</v>
      </c>
      <c r="F672" s="56"/>
    </row>
    <row r="673" spans="1:6" ht="15">
      <c r="A673" s="51">
        <v>289716</v>
      </c>
      <c r="B673" t="s">
        <v>665</v>
      </c>
      <c r="C673" s="39" t="s">
        <v>664</v>
      </c>
      <c r="D673" t="s">
        <v>4243</v>
      </c>
      <c r="F673" s="56"/>
    </row>
    <row r="674" spans="1:6" ht="15">
      <c r="A674" s="51">
        <v>289717</v>
      </c>
      <c r="B674" t="s">
        <v>666</v>
      </c>
      <c r="C674" s="39" t="s">
        <v>664</v>
      </c>
      <c r="D674">
        <v>7</v>
      </c>
      <c r="F674" s="56"/>
    </row>
    <row r="675" spans="1:6" ht="15">
      <c r="A675" s="51">
        <v>289719</v>
      </c>
      <c r="B675" t="s">
        <v>670</v>
      </c>
      <c r="C675" s="39" t="s">
        <v>669</v>
      </c>
      <c r="D675" t="s">
        <v>4246</v>
      </c>
      <c r="F675" s="56"/>
    </row>
    <row r="676" spans="1:6" ht="15">
      <c r="A676" s="51">
        <v>289720</v>
      </c>
      <c r="B676" t="s">
        <v>671</v>
      </c>
      <c r="C676" s="39" t="s">
        <v>669</v>
      </c>
      <c r="D676" t="s">
        <v>4244</v>
      </c>
      <c r="F676" s="56"/>
    </row>
    <row r="677" spans="1:6" ht="15">
      <c r="A677" s="51">
        <v>289721</v>
      </c>
      <c r="B677" t="s">
        <v>672</v>
      </c>
      <c r="C677" s="39" t="s">
        <v>669</v>
      </c>
      <c r="D677" t="s">
        <v>4243</v>
      </c>
      <c r="F677" s="56"/>
    </row>
    <row r="678" spans="1:6" ht="15">
      <c r="A678" s="51">
        <v>289722</v>
      </c>
      <c r="B678" t="s">
        <v>673</v>
      </c>
      <c r="C678" s="39" t="s">
        <v>669</v>
      </c>
      <c r="D678">
        <v>8</v>
      </c>
      <c r="F678" s="56"/>
    </row>
    <row r="679" spans="1:6" ht="15">
      <c r="A679" s="51">
        <v>289727</v>
      </c>
      <c r="B679" t="s">
        <v>930</v>
      </c>
      <c r="C679" s="39" t="s">
        <v>931</v>
      </c>
      <c r="D679">
        <v>9</v>
      </c>
      <c r="F679" s="56"/>
    </row>
    <row r="680" spans="1:6" ht="15">
      <c r="A680" s="51">
        <v>318212</v>
      </c>
      <c r="B680" t="s">
        <v>675</v>
      </c>
      <c r="C680" s="39" t="s">
        <v>676</v>
      </c>
      <c r="D680">
        <v>8</v>
      </c>
      <c r="F680" s="56"/>
    </row>
    <row r="681" spans="1:6" ht="15">
      <c r="A681" s="51">
        <v>318213</v>
      </c>
      <c r="B681" t="s">
        <v>932</v>
      </c>
      <c r="C681" s="39" t="s">
        <v>676</v>
      </c>
      <c r="D681">
        <v>8</v>
      </c>
      <c r="F681" s="56"/>
    </row>
    <row r="682" spans="1:6" ht="15">
      <c r="A682" s="51">
        <v>289728</v>
      </c>
      <c r="B682" t="s">
        <v>677</v>
      </c>
      <c r="C682" s="39" t="s">
        <v>678</v>
      </c>
      <c r="D682" t="s">
        <v>4247</v>
      </c>
      <c r="F682" s="56"/>
    </row>
    <row r="683" spans="1:6" ht="15">
      <c r="A683" s="51">
        <v>289729</v>
      </c>
      <c r="B683" t="s">
        <v>679</v>
      </c>
      <c r="C683" s="39" t="s">
        <v>678</v>
      </c>
      <c r="D683" t="s">
        <v>4243</v>
      </c>
      <c r="F683" s="56"/>
    </row>
    <row r="684" spans="1:6" ht="15">
      <c r="A684" s="51">
        <v>289730</v>
      </c>
      <c r="B684" t="s">
        <v>680</v>
      </c>
      <c r="C684" s="39" t="s">
        <v>678</v>
      </c>
      <c r="D684">
        <v>7</v>
      </c>
      <c r="F684" s="56"/>
    </row>
    <row r="685" spans="1:6" ht="15">
      <c r="A685" s="51">
        <v>289731</v>
      </c>
      <c r="B685" t="s">
        <v>933</v>
      </c>
      <c r="C685" s="39" t="s">
        <v>682</v>
      </c>
      <c r="D685" t="s">
        <v>4244</v>
      </c>
      <c r="F685" s="56"/>
    </row>
    <row r="686" spans="1:6" ht="15">
      <c r="A686" s="51">
        <v>289732</v>
      </c>
      <c r="B686" t="s">
        <v>681</v>
      </c>
      <c r="C686" s="39" t="s">
        <v>682</v>
      </c>
      <c r="D686">
        <v>7</v>
      </c>
      <c r="F686" s="56"/>
    </row>
    <row r="687" spans="1:6" ht="15">
      <c r="A687" s="51">
        <v>289733</v>
      </c>
      <c r="B687" t="s">
        <v>683</v>
      </c>
      <c r="C687" s="39" t="s">
        <v>682</v>
      </c>
      <c r="D687">
        <v>8</v>
      </c>
      <c r="F687" s="56"/>
    </row>
    <row r="688" spans="1:6" ht="15">
      <c r="A688" s="51">
        <v>289735</v>
      </c>
      <c r="B688" t="s">
        <v>686</v>
      </c>
      <c r="C688" s="39" t="s">
        <v>685</v>
      </c>
      <c r="D688" t="s">
        <v>4246</v>
      </c>
      <c r="F688" s="56"/>
    </row>
    <row r="689" spans="1:6" ht="15">
      <c r="A689" s="51">
        <v>289736</v>
      </c>
      <c r="B689" t="s">
        <v>687</v>
      </c>
      <c r="C689" s="39" t="s">
        <v>685</v>
      </c>
      <c r="D689" t="s">
        <v>4244</v>
      </c>
      <c r="F689" s="56"/>
    </row>
    <row r="690" spans="1:6" ht="15">
      <c r="A690" s="51">
        <v>289737</v>
      </c>
      <c r="B690" t="s">
        <v>688</v>
      </c>
      <c r="C690" s="39" t="s">
        <v>689</v>
      </c>
      <c r="D690">
        <v>7</v>
      </c>
      <c r="F690" s="56"/>
    </row>
    <row r="691" spans="1:6" ht="15">
      <c r="A691" s="51">
        <v>289738</v>
      </c>
      <c r="B691" t="s">
        <v>690</v>
      </c>
      <c r="C691" s="39" t="s">
        <v>689</v>
      </c>
      <c r="D691">
        <v>7</v>
      </c>
      <c r="F691" s="56"/>
    </row>
    <row r="692" spans="1:6" ht="15">
      <c r="A692" s="51">
        <v>289739</v>
      </c>
      <c r="B692" t="s">
        <v>691</v>
      </c>
      <c r="C692" s="39" t="s">
        <v>689</v>
      </c>
      <c r="D692">
        <v>8</v>
      </c>
      <c r="F692" s="56"/>
    </row>
    <row r="693" spans="1:6" ht="15">
      <c r="A693" s="51">
        <v>318164</v>
      </c>
      <c r="B693" t="s">
        <v>934</v>
      </c>
      <c r="C693" s="39" t="s">
        <v>689</v>
      </c>
      <c r="D693">
        <v>8</v>
      </c>
      <c r="F693" s="56"/>
    </row>
    <row r="694" spans="1:6" ht="15">
      <c r="A694" s="51">
        <v>289740</v>
      </c>
      <c r="B694" t="s">
        <v>692</v>
      </c>
      <c r="C694" s="39" t="s">
        <v>693</v>
      </c>
      <c r="D694">
        <v>7</v>
      </c>
      <c r="F694" s="56"/>
    </row>
    <row r="695" spans="1:6" ht="15">
      <c r="A695" s="51">
        <v>289741</v>
      </c>
      <c r="B695" t="s">
        <v>694</v>
      </c>
      <c r="C695" s="39" t="s">
        <v>693</v>
      </c>
      <c r="D695">
        <v>8</v>
      </c>
      <c r="F695" s="56"/>
    </row>
    <row r="696" spans="1:6" ht="15">
      <c r="A696" s="51">
        <v>318215</v>
      </c>
      <c r="B696" t="s">
        <v>935</v>
      </c>
      <c r="C696" s="39" t="s">
        <v>936</v>
      </c>
      <c r="D696">
        <v>7</v>
      </c>
      <c r="F696" s="56"/>
    </row>
    <row r="697" spans="1:6" ht="15">
      <c r="A697" s="51">
        <v>318214</v>
      </c>
      <c r="B697" t="s">
        <v>937</v>
      </c>
      <c r="C697" s="39" t="s">
        <v>936</v>
      </c>
      <c r="D697">
        <v>7</v>
      </c>
      <c r="F697" s="56"/>
    </row>
    <row r="698" spans="1:6" ht="15">
      <c r="A698" s="51">
        <v>289743</v>
      </c>
      <c r="B698" t="s">
        <v>695</v>
      </c>
      <c r="C698" s="39" t="s">
        <v>224</v>
      </c>
      <c r="D698" t="s">
        <v>4243</v>
      </c>
      <c r="F698" s="56"/>
    </row>
    <row r="699" spans="1:6" ht="15">
      <c r="A699" s="51">
        <v>289744</v>
      </c>
      <c r="B699">
        <v>92</v>
      </c>
      <c r="C699" s="39" t="s">
        <v>104</v>
      </c>
      <c r="D699" t="s">
        <v>4243</v>
      </c>
      <c r="F699" s="56"/>
    </row>
    <row r="700" spans="1:6" ht="15">
      <c r="A700" s="51">
        <v>289745</v>
      </c>
      <c r="B700">
        <v>93</v>
      </c>
      <c r="C700" s="39" t="s">
        <v>938</v>
      </c>
      <c r="D700" t="s">
        <v>4249</v>
      </c>
      <c r="F700" s="56"/>
    </row>
    <row r="701" spans="1:6" ht="15">
      <c r="A701" s="51">
        <v>289747</v>
      </c>
      <c r="B701" t="s">
        <v>939</v>
      </c>
      <c r="C701" s="39" t="s">
        <v>940</v>
      </c>
      <c r="D701" t="s">
        <v>4243</v>
      </c>
      <c r="F701" s="56"/>
    </row>
    <row r="702" spans="1:6" ht="15">
      <c r="A702" s="51">
        <v>289748</v>
      </c>
      <c r="B702" t="s">
        <v>941</v>
      </c>
      <c r="C702" s="39" t="s">
        <v>940</v>
      </c>
      <c r="D702">
        <v>7</v>
      </c>
      <c r="F702" s="56"/>
    </row>
    <row r="703" spans="1:6" ht="15">
      <c r="A703" s="51">
        <v>289749</v>
      </c>
      <c r="B703" t="s">
        <v>701</v>
      </c>
      <c r="C703" s="39" t="s">
        <v>702</v>
      </c>
      <c r="D703" t="s">
        <v>4247</v>
      </c>
      <c r="F703" s="56"/>
    </row>
    <row r="704" spans="1:6" ht="15">
      <c r="A704" s="51">
        <v>289750</v>
      </c>
      <c r="B704" t="s">
        <v>703</v>
      </c>
      <c r="C704" s="39" t="s">
        <v>702</v>
      </c>
      <c r="D704" t="s">
        <v>4243</v>
      </c>
      <c r="F704" s="56"/>
    </row>
    <row r="705" spans="1:6" ht="15">
      <c r="A705" s="51">
        <v>289751</v>
      </c>
      <c r="B705" t="s">
        <v>704</v>
      </c>
      <c r="C705" s="39" t="s">
        <v>702</v>
      </c>
      <c r="D705">
        <v>8</v>
      </c>
      <c r="F705" s="56"/>
    </row>
    <row r="706" spans="1:6" ht="15">
      <c r="A706" s="51">
        <v>318177</v>
      </c>
      <c r="B706" t="s">
        <v>705</v>
      </c>
      <c r="C706" s="39" t="s">
        <v>702</v>
      </c>
      <c r="D706">
        <v>8</v>
      </c>
      <c r="F706" s="56"/>
    </row>
    <row r="707" spans="1:6" ht="15">
      <c r="A707" s="51">
        <v>318178</v>
      </c>
      <c r="B707" t="s">
        <v>706</v>
      </c>
      <c r="C707" s="39" t="s">
        <v>702</v>
      </c>
      <c r="D707">
        <v>8</v>
      </c>
      <c r="F707" s="56"/>
    </row>
    <row r="708" spans="1:6" ht="15">
      <c r="A708" s="51">
        <v>289752</v>
      </c>
      <c r="B708" t="s">
        <v>707</v>
      </c>
      <c r="C708" s="39" t="s">
        <v>708</v>
      </c>
      <c r="D708" t="s">
        <v>4244</v>
      </c>
      <c r="F708" s="56"/>
    </row>
    <row r="709" spans="1:6" ht="15">
      <c r="A709" s="51">
        <v>289753</v>
      </c>
      <c r="B709" t="s">
        <v>709</v>
      </c>
      <c r="C709" s="39" t="s">
        <v>708</v>
      </c>
      <c r="D709" t="s">
        <v>4243</v>
      </c>
      <c r="F709" s="56"/>
    </row>
    <row r="710" spans="1:6" ht="15">
      <c r="A710" s="51">
        <v>289754</v>
      </c>
      <c r="B710" t="s">
        <v>710</v>
      </c>
      <c r="C710" s="39" t="s">
        <v>708</v>
      </c>
      <c r="D710">
        <v>7</v>
      </c>
      <c r="F710" s="56"/>
    </row>
    <row r="711" spans="1:6" ht="15">
      <c r="A711" s="51">
        <v>289755</v>
      </c>
      <c r="B711" t="s">
        <v>711</v>
      </c>
      <c r="C711" s="39" t="s">
        <v>708</v>
      </c>
      <c r="D711">
        <v>8</v>
      </c>
      <c r="F711" s="56"/>
    </row>
    <row r="712" spans="1:6" ht="15">
      <c r="A712" s="51">
        <v>289756</v>
      </c>
      <c r="B712" t="s">
        <v>712</v>
      </c>
      <c r="C712" s="39" t="s">
        <v>708</v>
      </c>
      <c r="D712">
        <v>9</v>
      </c>
      <c r="F712" s="56"/>
    </row>
    <row r="713" spans="1:6" ht="15">
      <c r="A713" s="51">
        <v>289757</v>
      </c>
      <c r="B713" t="s">
        <v>942</v>
      </c>
      <c r="C713" s="39" t="s">
        <v>714</v>
      </c>
      <c r="D713" t="s">
        <v>4246</v>
      </c>
      <c r="F713" s="56"/>
    </row>
    <row r="714" spans="1:6" ht="15">
      <c r="A714" s="51">
        <v>289758</v>
      </c>
      <c r="B714" t="s">
        <v>943</v>
      </c>
      <c r="C714" s="39" t="s">
        <v>714</v>
      </c>
      <c r="D714">
        <v>7</v>
      </c>
      <c r="F714" s="56"/>
    </row>
    <row r="715" spans="1:6" ht="15">
      <c r="A715" s="51">
        <v>289759</v>
      </c>
      <c r="B715" t="s">
        <v>713</v>
      </c>
      <c r="C715" s="39" t="s">
        <v>714</v>
      </c>
      <c r="D715" t="s">
        <v>4243</v>
      </c>
      <c r="F715" s="56"/>
    </row>
    <row r="716" spans="1:6" ht="15">
      <c r="A716" s="51">
        <v>289760</v>
      </c>
      <c r="B716" t="s">
        <v>715</v>
      </c>
      <c r="C716" s="39" t="s">
        <v>714</v>
      </c>
      <c r="D716">
        <v>8</v>
      </c>
      <c r="F716" s="56"/>
    </row>
    <row r="717" spans="1:6" ht="15">
      <c r="A717" s="51">
        <v>289761</v>
      </c>
      <c r="B717" t="s">
        <v>716</v>
      </c>
      <c r="C717" s="39" t="s">
        <v>714</v>
      </c>
      <c r="D717">
        <v>9</v>
      </c>
      <c r="F717" s="56"/>
    </row>
    <row r="718" spans="1:6" ht="15">
      <c r="A718" s="51">
        <v>289764</v>
      </c>
      <c r="B718" t="s">
        <v>717</v>
      </c>
      <c r="C718" s="39" t="s">
        <v>714</v>
      </c>
      <c r="D718">
        <v>9</v>
      </c>
      <c r="F718" s="56"/>
    </row>
    <row r="719" spans="1:6" ht="15">
      <c r="A719" s="51">
        <v>289765</v>
      </c>
      <c r="B719" t="s">
        <v>718</v>
      </c>
      <c r="C719" s="39" t="s">
        <v>714</v>
      </c>
      <c r="D719">
        <v>9</v>
      </c>
      <c r="F719" s="56"/>
    </row>
    <row r="720" spans="1:6" ht="15">
      <c r="A720" s="51">
        <v>289767</v>
      </c>
      <c r="B720" t="s">
        <v>720</v>
      </c>
      <c r="C720" s="39" t="s">
        <v>721</v>
      </c>
      <c r="D720" t="s">
        <v>4247</v>
      </c>
      <c r="F720" s="56"/>
    </row>
    <row r="721" spans="1:6" ht="15">
      <c r="A721" s="51">
        <v>289768</v>
      </c>
      <c r="B721" t="s">
        <v>722</v>
      </c>
      <c r="C721" s="39" t="s">
        <v>721</v>
      </c>
      <c r="D721" t="s">
        <v>4244</v>
      </c>
      <c r="F721" s="56"/>
    </row>
    <row r="722" spans="1:6" ht="15">
      <c r="A722" s="51">
        <v>289769</v>
      </c>
      <c r="B722" t="s">
        <v>723</v>
      </c>
      <c r="C722" s="39" t="s">
        <v>721</v>
      </c>
      <c r="D722" t="s">
        <v>4243</v>
      </c>
      <c r="F722" s="56"/>
    </row>
    <row r="723" spans="1:6" ht="15">
      <c r="A723" s="51">
        <v>289513</v>
      </c>
      <c r="B723">
        <v>100</v>
      </c>
      <c r="C723" s="39" t="s">
        <v>258</v>
      </c>
      <c r="D723">
        <v>9</v>
      </c>
      <c r="F723" s="56"/>
    </row>
    <row r="724" spans="1:6" ht="15">
      <c r="A724" s="51">
        <v>289514</v>
      </c>
      <c r="B724">
        <v>101</v>
      </c>
      <c r="C724" s="39" t="s">
        <v>258</v>
      </c>
      <c r="D724">
        <v>9</v>
      </c>
      <c r="F724" s="56"/>
    </row>
    <row r="725" spans="1:6" ht="15">
      <c r="A725" s="51">
        <v>318216</v>
      </c>
      <c r="B725" t="s">
        <v>944</v>
      </c>
      <c r="C725" s="39" t="s">
        <v>945</v>
      </c>
      <c r="D725">
        <v>8</v>
      </c>
      <c r="F725" s="56"/>
    </row>
    <row r="726" spans="1:6" ht="15">
      <c r="A726" s="51">
        <v>318516</v>
      </c>
      <c r="B726" t="s">
        <v>726</v>
      </c>
      <c r="C726" s="39" t="s">
        <v>727</v>
      </c>
      <c r="D726">
        <v>8</v>
      </c>
      <c r="F726" s="56"/>
    </row>
    <row r="727" spans="1:6" ht="15">
      <c r="A727" s="51">
        <v>318220</v>
      </c>
      <c r="B727" t="s">
        <v>946</v>
      </c>
      <c r="C727" s="39" t="s">
        <v>947</v>
      </c>
      <c r="D727">
        <v>8</v>
      </c>
      <c r="F727" s="56"/>
    </row>
    <row r="728" spans="1:6" ht="15">
      <c r="A728" s="51">
        <v>318217</v>
      </c>
      <c r="B728" t="s">
        <v>948</v>
      </c>
      <c r="C728" s="39" t="s">
        <v>947</v>
      </c>
      <c r="D728">
        <v>8</v>
      </c>
      <c r="F728" s="56"/>
    </row>
    <row r="729" spans="1:6" ht="15">
      <c r="A729" s="51">
        <v>318218</v>
      </c>
      <c r="B729" t="s">
        <v>949</v>
      </c>
      <c r="C729" s="39" t="s">
        <v>947</v>
      </c>
      <c r="D729">
        <v>8</v>
      </c>
      <c r="F729" s="56"/>
    </row>
    <row r="730" spans="1:6" ht="15">
      <c r="A730" s="51">
        <v>318219</v>
      </c>
      <c r="B730" t="s">
        <v>950</v>
      </c>
      <c r="C730" s="39" t="s">
        <v>947</v>
      </c>
      <c r="D730">
        <v>8</v>
      </c>
      <c r="F730" s="56"/>
    </row>
    <row r="731" spans="1:6" ht="15">
      <c r="A731" s="51">
        <v>318226</v>
      </c>
      <c r="B731" t="s">
        <v>951</v>
      </c>
      <c r="C731" s="39" t="s">
        <v>952</v>
      </c>
      <c r="D731">
        <v>7</v>
      </c>
      <c r="F731" s="56"/>
    </row>
    <row r="732" spans="1:6" ht="15">
      <c r="A732" s="51">
        <v>318225</v>
      </c>
      <c r="B732" t="s">
        <v>953</v>
      </c>
      <c r="C732" s="39" t="s">
        <v>952</v>
      </c>
      <c r="D732">
        <v>8</v>
      </c>
      <c r="F732" s="56"/>
    </row>
    <row r="733" spans="1:6" ht="15">
      <c r="A733" s="51">
        <v>318227</v>
      </c>
      <c r="B733" t="s">
        <v>954</v>
      </c>
      <c r="C733" s="39" t="s">
        <v>952</v>
      </c>
      <c r="D733">
        <v>8</v>
      </c>
      <c r="F733" s="56"/>
    </row>
    <row r="734" spans="1:6" ht="15">
      <c r="A734" s="51">
        <v>289525</v>
      </c>
      <c r="B734">
        <v>131</v>
      </c>
      <c r="C734" s="39" t="s">
        <v>955</v>
      </c>
      <c r="D734">
        <v>7</v>
      </c>
      <c r="F734" s="56"/>
    </row>
    <row r="735" spans="1:6" ht="15">
      <c r="A735" s="51">
        <v>289527</v>
      </c>
      <c r="B735" t="s">
        <v>770</v>
      </c>
      <c r="C735" s="39" t="s">
        <v>956</v>
      </c>
      <c r="D735" t="s">
        <v>4243</v>
      </c>
      <c r="F735" s="56"/>
    </row>
    <row r="736" spans="1:6" ht="15">
      <c r="A736" s="51">
        <v>289528</v>
      </c>
      <c r="B736" t="s">
        <v>771</v>
      </c>
      <c r="C736" s="39" t="s">
        <v>956</v>
      </c>
      <c r="D736">
        <v>7</v>
      </c>
      <c r="F736" s="56"/>
    </row>
    <row r="737" spans="1:6" ht="15">
      <c r="A737" s="51">
        <v>289529</v>
      </c>
      <c r="B737" t="s">
        <v>776</v>
      </c>
      <c r="C737" s="39" t="s">
        <v>380</v>
      </c>
      <c r="D737" t="s">
        <v>4243</v>
      </c>
      <c r="F737" s="56"/>
    </row>
    <row r="738" spans="1:6" ht="15">
      <c r="A738" s="51">
        <v>289530</v>
      </c>
      <c r="B738" t="s">
        <v>777</v>
      </c>
      <c r="C738" s="39" t="s">
        <v>380</v>
      </c>
      <c r="D738">
        <v>7</v>
      </c>
      <c r="F738" s="56"/>
    </row>
    <row r="739" spans="1:6" ht="15">
      <c r="A739" s="51">
        <v>289531</v>
      </c>
      <c r="B739" t="s">
        <v>778</v>
      </c>
      <c r="C739" s="39" t="s">
        <v>380</v>
      </c>
      <c r="D739">
        <v>8</v>
      </c>
      <c r="F739" s="56"/>
    </row>
    <row r="740" spans="1:6" ht="15">
      <c r="A740" s="51">
        <v>289532</v>
      </c>
      <c r="B740" t="s">
        <v>957</v>
      </c>
      <c r="C740" s="39" t="s">
        <v>781</v>
      </c>
      <c r="D740" t="s">
        <v>4243</v>
      </c>
      <c r="F740" s="56"/>
    </row>
    <row r="741" spans="1:6" ht="15">
      <c r="A741" s="51">
        <v>289533</v>
      </c>
      <c r="B741" t="s">
        <v>780</v>
      </c>
      <c r="C741" s="39" t="s">
        <v>781</v>
      </c>
      <c r="D741">
        <v>8</v>
      </c>
      <c r="F741" s="56"/>
    </row>
    <row r="742" spans="1:6" ht="15">
      <c r="A742" s="51">
        <v>289547</v>
      </c>
      <c r="B742" t="s">
        <v>798</v>
      </c>
      <c r="C742" s="39" t="s">
        <v>678</v>
      </c>
      <c r="D742">
        <v>8</v>
      </c>
      <c r="F742" s="56"/>
    </row>
    <row r="743" spans="1:6" ht="15">
      <c r="A743" s="51">
        <v>289548</v>
      </c>
      <c r="B743" t="s">
        <v>799</v>
      </c>
      <c r="C743" s="39" t="s">
        <v>678</v>
      </c>
      <c r="D743">
        <v>8</v>
      </c>
      <c r="F743" s="56"/>
    </row>
    <row r="744" spans="1:6" ht="15">
      <c r="A744" s="51">
        <v>318229</v>
      </c>
      <c r="B744" t="s">
        <v>800</v>
      </c>
      <c r="C744" s="39" t="s">
        <v>685</v>
      </c>
      <c r="D744">
        <v>8</v>
      </c>
      <c r="F744" s="56"/>
    </row>
    <row r="745" spans="1:6" ht="15">
      <c r="A745" s="51">
        <v>318228</v>
      </c>
      <c r="B745" t="s">
        <v>801</v>
      </c>
      <c r="C745" s="39" t="s">
        <v>685</v>
      </c>
      <c r="D745">
        <v>8</v>
      </c>
      <c r="F745" s="56"/>
    </row>
    <row r="746" spans="1:6" ht="15">
      <c r="A746" s="51">
        <v>318233</v>
      </c>
      <c r="B746" t="s">
        <v>802</v>
      </c>
      <c r="C746" s="39" t="s">
        <v>958</v>
      </c>
      <c r="D746">
        <v>8</v>
      </c>
      <c r="F746" s="56"/>
    </row>
    <row r="747" spans="1:6" ht="15">
      <c r="A747" s="51">
        <v>318234</v>
      </c>
      <c r="B747" t="s">
        <v>804</v>
      </c>
      <c r="C747" s="39" t="s">
        <v>958</v>
      </c>
      <c r="D747">
        <v>8</v>
      </c>
      <c r="F747" s="56"/>
    </row>
    <row r="748" spans="1:6" ht="15">
      <c r="A748" s="51">
        <v>318232</v>
      </c>
      <c r="B748" t="s">
        <v>959</v>
      </c>
      <c r="C748" s="39" t="s">
        <v>958</v>
      </c>
      <c r="D748">
        <v>8</v>
      </c>
      <c r="F748" s="56"/>
    </row>
    <row r="749" spans="1:6" ht="15">
      <c r="A749" s="51">
        <v>318231</v>
      </c>
      <c r="B749" t="s">
        <v>960</v>
      </c>
      <c r="C749" s="39" t="s">
        <v>693</v>
      </c>
      <c r="D749">
        <v>8</v>
      </c>
      <c r="F749" s="56"/>
    </row>
    <row r="750" spans="1:6" ht="15">
      <c r="A750" s="51">
        <v>318230</v>
      </c>
      <c r="B750" t="s">
        <v>961</v>
      </c>
      <c r="C750" s="39" t="s">
        <v>693</v>
      </c>
      <c r="D750">
        <v>8</v>
      </c>
      <c r="F750" s="56"/>
    </row>
    <row r="751" spans="1:6" ht="15">
      <c r="A751" s="51">
        <v>289550</v>
      </c>
      <c r="B751" t="s">
        <v>805</v>
      </c>
      <c r="C751" s="39" t="s">
        <v>702</v>
      </c>
      <c r="D751">
        <v>8</v>
      </c>
      <c r="F751" s="56"/>
    </row>
    <row r="752" spans="1:6" ht="15">
      <c r="A752" s="51">
        <v>289551</v>
      </c>
      <c r="B752" t="s">
        <v>806</v>
      </c>
      <c r="C752" s="39" t="s">
        <v>702</v>
      </c>
      <c r="D752">
        <v>8</v>
      </c>
      <c r="F752" s="56"/>
    </row>
    <row r="753" spans="1:6" ht="15">
      <c r="A753" s="51">
        <v>289552</v>
      </c>
      <c r="B753" t="s">
        <v>807</v>
      </c>
      <c r="C753" s="39" t="s">
        <v>702</v>
      </c>
      <c r="D753">
        <v>9</v>
      </c>
      <c r="F753" s="56"/>
    </row>
    <row r="754" spans="1:6" ht="15">
      <c r="A754" s="51">
        <v>289553</v>
      </c>
      <c r="B754" t="s">
        <v>962</v>
      </c>
      <c r="C754" s="39" t="s">
        <v>721</v>
      </c>
      <c r="D754">
        <v>8</v>
      </c>
      <c r="F754" s="56"/>
    </row>
    <row r="755" spans="1:6" ht="15">
      <c r="A755" s="51">
        <v>289554</v>
      </c>
      <c r="B755" t="s">
        <v>963</v>
      </c>
      <c r="C755" s="39" t="s">
        <v>721</v>
      </c>
      <c r="D755">
        <v>8</v>
      </c>
      <c r="F755" s="56"/>
    </row>
    <row r="756" spans="1:6" ht="15">
      <c r="A756" s="51">
        <v>318239</v>
      </c>
      <c r="B756" t="s">
        <v>812</v>
      </c>
      <c r="C756" s="39" t="s">
        <v>813</v>
      </c>
      <c r="D756" t="s">
        <v>4247</v>
      </c>
      <c r="F756" s="56"/>
    </row>
    <row r="757" spans="1:6" ht="15">
      <c r="A757" s="51">
        <v>318235</v>
      </c>
      <c r="B757" t="s">
        <v>814</v>
      </c>
      <c r="C757" s="39" t="s">
        <v>813</v>
      </c>
      <c r="D757" t="s">
        <v>4243</v>
      </c>
      <c r="F757" s="56"/>
    </row>
    <row r="758" spans="1:6" ht="15">
      <c r="A758" s="51">
        <v>318237</v>
      </c>
      <c r="B758" t="s">
        <v>815</v>
      </c>
      <c r="C758" s="39" t="s">
        <v>813</v>
      </c>
      <c r="D758">
        <v>7</v>
      </c>
      <c r="F758" s="56"/>
    </row>
    <row r="759" spans="1:6" ht="15">
      <c r="A759" s="51">
        <v>318236</v>
      </c>
      <c r="B759" t="s">
        <v>816</v>
      </c>
      <c r="C759" s="39" t="s">
        <v>813</v>
      </c>
      <c r="D759">
        <v>8</v>
      </c>
      <c r="F759" s="56"/>
    </row>
    <row r="760" spans="1:6" ht="15">
      <c r="A760" s="51">
        <v>318238</v>
      </c>
      <c r="B760" t="s">
        <v>817</v>
      </c>
      <c r="C760" s="39" t="s">
        <v>813</v>
      </c>
      <c r="D760">
        <v>8</v>
      </c>
      <c r="F760" s="56"/>
    </row>
    <row r="761" spans="1:6" ht="15">
      <c r="A761" s="51">
        <v>318240</v>
      </c>
      <c r="B761">
        <v>400</v>
      </c>
      <c r="C761" s="39" t="s">
        <v>276</v>
      </c>
      <c r="D761" t="s">
        <v>4244</v>
      </c>
      <c r="F761" s="56"/>
    </row>
    <row r="762" spans="1:6" ht="15">
      <c r="A762" s="51">
        <v>289614</v>
      </c>
      <c r="B762" t="s">
        <v>964</v>
      </c>
      <c r="C762" s="39" t="s">
        <v>309</v>
      </c>
      <c r="D762" t="s">
        <v>4247</v>
      </c>
      <c r="F762" s="56"/>
    </row>
    <row r="763" spans="1:6" ht="15">
      <c r="A763" s="51">
        <v>289615</v>
      </c>
      <c r="B763" t="s">
        <v>823</v>
      </c>
      <c r="C763" s="39" t="s">
        <v>309</v>
      </c>
      <c r="D763" t="s">
        <v>4243</v>
      </c>
      <c r="F763" s="56"/>
    </row>
    <row r="764" spans="1:6" ht="15">
      <c r="A764" s="51">
        <v>289616</v>
      </c>
      <c r="B764" t="s">
        <v>824</v>
      </c>
      <c r="C764" s="39" t="s">
        <v>309</v>
      </c>
      <c r="D764">
        <v>7</v>
      </c>
      <c r="F764" s="56"/>
    </row>
    <row r="765" spans="1:6" ht="15">
      <c r="A765" s="51">
        <v>289619</v>
      </c>
      <c r="B765" t="s">
        <v>825</v>
      </c>
      <c r="C765" s="39" t="s">
        <v>826</v>
      </c>
      <c r="D765" t="s">
        <v>4243</v>
      </c>
      <c r="F765" s="56"/>
    </row>
    <row r="766" spans="1:6" ht="15">
      <c r="A766" s="51">
        <v>289620</v>
      </c>
      <c r="B766" t="s">
        <v>827</v>
      </c>
      <c r="C766" s="39" t="s">
        <v>826</v>
      </c>
      <c r="D766">
        <v>8</v>
      </c>
      <c r="F766" s="56"/>
    </row>
    <row r="767" spans="1:6" ht="15">
      <c r="A767" s="51">
        <v>289621</v>
      </c>
      <c r="B767" t="s">
        <v>965</v>
      </c>
      <c r="C767" s="39" t="s">
        <v>826</v>
      </c>
      <c r="D767">
        <v>9</v>
      </c>
      <c r="F767" s="56"/>
    </row>
    <row r="768" spans="1:6" ht="15">
      <c r="A768" s="51">
        <v>289622</v>
      </c>
      <c r="B768" t="s">
        <v>966</v>
      </c>
      <c r="C768" s="39" t="s">
        <v>826</v>
      </c>
      <c r="D768">
        <v>9</v>
      </c>
      <c r="F768" s="56"/>
    </row>
    <row r="769" spans="1:6" ht="15">
      <c r="A769" s="51">
        <v>289714</v>
      </c>
      <c r="B769">
        <v>800</v>
      </c>
      <c r="C769" s="39" t="s">
        <v>829</v>
      </c>
      <c r="D769" t="s">
        <v>4244</v>
      </c>
      <c r="F769" s="56"/>
    </row>
    <row r="770" spans="1:6" ht="15">
      <c r="A770" s="51">
        <v>289770</v>
      </c>
      <c r="B770" t="s">
        <v>967</v>
      </c>
      <c r="C770" s="39" t="s">
        <v>228</v>
      </c>
      <c r="D770">
        <v>9</v>
      </c>
      <c r="F770" s="56"/>
    </row>
    <row r="771" spans="1:6" ht="15">
      <c r="A771" s="51">
        <v>289771</v>
      </c>
      <c r="B771" t="s">
        <v>449</v>
      </c>
      <c r="C771" s="39" t="s">
        <v>450</v>
      </c>
      <c r="D771">
        <v>9</v>
      </c>
      <c r="F771" s="56"/>
    </row>
    <row r="772" spans="1:6" ht="15">
      <c r="A772" s="51">
        <v>289341</v>
      </c>
      <c r="B772" t="s">
        <v>968</v>
      </c>
      <c r="C772" s="39" t="s">
        <v>88</v>
      </c>
      <c r="D772">
        <v>8</v>
      </c>
      <c r="F772" s="56"/>
    </row>
    <row r="773" spans="1:6" ht="15">
      <c r="A773" s="51">
        <v>289342</v>
      </c>
      <c r="B773" t="s">
        <v>87</v>
      </c>
      <c r="C773" s="39" t="s">
        <v>88</v>
      </c>
      <c r="D773">
        <v>8</v>
      </c>
      <c r="F773" s="56"/>
    </row>
    <row r="774" spans="1:6" ht="15">
      <c r="A774" s="51">
        <v>289343</v>
      </c>
      <c r="B774" t="s">
        <v>969</v>
      </c>
      <c r="C774" s="39" t="s">
        <v>835</v>
      </c>
      <c r="D774">
        <v>9</v>
      </c>
      <c r="F774" s="56"/>
    </row>
    <row r="775" spans="1:6" ht="15">
      <c r="A775" s="51">
        <v>289344</v>
      </c>
      <c r="B775" t="s">
        <v>970</v>
      </c>
      <c r="C775" s="39" t="s">
        <v>971</v>
      </c>
      <c r="D775" t="s">
        <v>4246</v>
      </c>
      <c r="F775" s="56"/>
    </row>
    <row r="776" spans="1:6" ht="15">
      <c r="A776" s="51">
        <v>289345</v>
      </c>
      <c r="B776" t="s">
        <v>972</v>
      </c>
      <c r="C776" s="39" t="s">
        <v>971</v>
      </c>
      <c r="D776" t="s">
        <v>4247</v>
      </c>
      <c r="F776" s="56"/>
    </row>
    <row r="777" spans="1:6" ht="15">
      <c r="A777" s="51">
        <v>289346</v>
      </c>
      <c r="B777" t="s">
        <v>319</v>
      </c>
      <c r="C777" s="39" t="s">
        <v>971</v>
      </c>
      <c r="D777" t="s">
        <v>4246</v>
      </c>
      <c r="F777" s="56"/>
    </row>
    <row r="778" spans="1:6" ht="15">
      <c r="A778" s="51">
        <v>289347</v>
      </c>
      <c r="B778" t="s">
        <v>321</v>
      </c>
      <c r="C778" s="39" t="s">
        <v>971</v>
      </c>
      <c r="D778" t="s">
        <v>4246</v>
      </c>
      <c r="F778" s="56"/>
    </row>
    <row r="779" spans="1:6" ht="15">
      <c r="A779" s="51">
        <v>289348</v>
      </c>
      <c r="B779" t="s">
        <v>322</v>
      </c>
      <c r="C779" s="39" t="s">
        <v>971</v>
      </c>
      <c r="D779" t="s">
        <v>4244</v>
      </c>
      <c r="F779" s="56"/>
    </row>
    <row r="780" spans="1:6" ht="15">
      <c r="A780" s="51">
        <v>289349</v>
      </c>
      <c r="B780" t="s">
        <v>973</v>
      </c>
      <c r="C780" s="39" t="s">
        <v>974</v>
      </c>
      <c r="D780" t="s">
        <v>4243</v>
      </c>
      <c r="F780" s="56"/>
    </row>
    <row r="781" spans="1:6" ht="15">
      <c r="A781" s="51">
        <v>289350</v>
      </c>
      <c r="B781" t="s">
        <v>975</v>
      </c>
      <c r="C781" s="39" t="s">
        <v>320</v>
      </c>
      <c r="D781" t="s">
        <v>4243</v>
      </c>
      <c r="F781" s="56"/>
    </row>
    <row r="782" spans="1:6" ht="15">
      <c r="A782" s="51">
        <v>289351</v>
      </c>
      <c r="B782" t="s">
        <v>323</v>
      </c>
      <c r="C782" s="39" t="s">
        <v>320</v>
      </c>
      <c r="D782">
        <v>7</v>
      </c>
      <c r="F782" s="56"/>
    </row>
    <row r="783" spans="1:6" ht="15">
      <c r="A783" s="51">
        <v>289352</v>
      </c>
      <c r="B783" t="s">
        <v>325</v>
      </c>
      <c r="C783" s="39" t="s">
        <v>976</v>
      </c>
      <c r="D783" t="s">
        <v>471</v>
      </c>
      <c r="F783" s="56"/>
    </row>
    <row r="784" spans="1:6" ht="15">
      <c r="A784" s="51">
        <v>289353</v>
      </c>
      <c r="B784" t="s">
        <v>977</v>
      </c>
      <c r="C784" s="39" t="s">
        <v>536</v>
      </c>
      <c r="D784" t="s">
        <v>4246</v>
      </c>
      <c r="F784" s="56"/>
    </row>
    <row r="785" spans="1:6" ht="15">
      <c r="A785" s="51">
        <v>289354</v>
      </c>
      <c r="B785" t="s">
        <v>978</v>
      </c>
      <c r="C785" s="39" t="s">
        <v>536</v>
      </c>
      <c r="D785" t="s">
        <v>4247</v>
      </c>
      <c r="F785" s="56"/>
    </row>
    <row r="786" spans="1:6" ht="15">
      <c r="A786" s="51">
        <v>289355</v>
      </c>
      <c r="B786" t="s">
        <v>979</v>
      </c>
      <c r="C786" s="39" t="s">
        <v>324</v>
      </c>
      <c r="D786">
        <v>7</v>
      </c>
      <c r="F786" s="56"/>
    </row>
    <row r="787" spans="1:6" ht="15">
      <c r="A787" s="51">
        <v>289356</v>
      </c>
      <c r="B787" t="s">
        <v>980</v>
      </c>
      <c r="C787" s="39" t="s">
        <v>324</v>
      </c>
      <c r="D787">
        <v>8</v>
      </c>
      <c r="F787" s="56"/>
    </row>
    <row r="788" spans="1:6" ht="15">
      <c r="A788" s="51">
        <v>289357</v>
      </c>
      <c r="B788" t="s">
        <v>981</v>
      </c>
      <c r="C788" s="39" t="s">
        <v>324</v>
      </c>
      <c r="D788">
        <v>9</v>
      </c>
      <c r="F788" s="56"/>
    </row>
    <row r="789" spans="1:6" ht="15">
      <c r="A789" s="51">
        <v>289358</v>
      </c>
      <c r="B789" t="s">
        <v>982</v>
      </c>
      <c r="C789" s="39" t="s">
        <v>983</v>
      </c>
      <c r="D789" t="s">
        <v>1596</v>
      </c>
      <c r="F789" s="56"/>
    </row>
    <row r="790" spans="1:6" ht="15">
      <c r="A790" s="51">
        <v>289359</v>
      </c>
      <c r="B790" t="s">
        <v>984</v>
      </c>
      <c r="C790" s="39" t="s">
        <v>983</v>
      </c>
      <c r="D790" t="s">
        <v>469</v>
      </c>
      <c r="F790" s="56"/>
    </row>
    <row r="791" spans="1:6" ht="15">
      <c r="A791" s="51">
        <v>289360</v>
      </c>
      <c r="B791" t="s">
        <v>985</v>
      </c>
      <c r="C791" s="39" t="s">
        <v>983</v>
      </c>
      <c r="D791" t="s">
        <v>471</v>
      </c>
      <c r="F791" s="56"/>
    </row>
    <row r="792" spans="1:6" ht="15">
      <c r="A792" s="51">
        <v>289361</v>
      </c>
      <c r="B792" t="s">
        <v>986</v>
      </c>
      <c r="C792" s="39" t="s">
        <v>983</v>
      </c>
      <c r="D792">
        <v>8</v>
      </c>
      <c r="F792" s="56"/>
    </row>
    <row r="793" spans="1:6" ht="15">
      <c r="A793" s="51">
        <v>289362</v>
      </c>
      <c r="B793" t="s">
        <v>987</v>
      </c>
      <c r="C793" s="39" t="s">
        <v>983</v>
      </c>
      <c r="D793">
        <v>8</v>
      </c>
      <c r="F793" s="56"/>
    </row>
    <row r="794" spans="1:6" ht="15">
      <c r="A794" s="51">
        <v>289363</v>
      </c>
      <c r="B794" t="s">
        <v>988</v>
      </c>
      <c r="C794" s="39" t="s">
        <v>983</v>
      </c>
      <c r="D794" t="s">
        <v>1596</v>
      </c>
      <c r="F794" s="56"/>
    </row>
    <row r="795" spans="1:6" ht="15">
      <c r="A795" s="51">
        <v>289364</v>
      </c>
      <c r="B795" t="s">
        <v>989</v>
      </c>
      <c r="C795" s="39" t="s">
        <v>990</v>
      </c>
      <c r="D795">
        <v>7</v>
      </c>
      <c r="F795" s="56"/>
    </row>
    <row r="796" spans="1:6" ht="15">
      <c r="A796" s="51">
        <v>289365</v>
      </c>
      <c r="B796" t="s">
        <v>991</v>
      </c>
      <c r="C796" s="39" t="s">
        <v>990</v>
      </c>
      <c r="D796">
        <v>8</v>
      </c>
      <c r="F796" s="56"/>
    </row>
    <row r="797" spans="1:6" ht="15">
      <c r="A797" s="51">
        <v>289366</v>
      </c>
      <c r="B797" t="s">
        <v>992</v>
      </c>
      <c r="C797" s="39" t="s">
        <v>993</v>
      </c>
      <c r="D797">
        <v>9</v>
      </c>
      <c r="F797" s="56"/>
    </row>
    <row r="798" spans="1:6" ht="15">
      <c r="A798" s="51">
        <v>289368</v>
      </c>
      <c r="B798" t="s">
        <v>994</v>
      </c>
      <c r="C798" s="39" t="s">
        <v>312</v>
      </c>
      <c r="D798" t="s">
        <v>471</v>
      </c>
      <c r="F798" s="56"/>
    </row>
    <row r="799" spans="1:6" ht="15">
      <c r="A799" s="51">
        <v>289371</v>
      </c>
      <c r="B799" t="s">
        <v>995</v>
      </c>
      <c r="C799" s="39" t="s">
        <v>996</v>
      </c>
      <c r="D799" t="s">
        <v>4244</v>
      </c>
      <c r="F799" s="56"/>
    </row>
    <row r="800" spans="1:6" ht="15">
      <c r="A800" s="51">
        <v>289372</v>
      </c>
      <c r="B800" t="s">
        <v>838</v>
      </c>
      <c r="C800" s="39" t="s">
        <v>997</v>
      </c>
      <c r="D800" t="s">
        <v>468</v>
      </c>
      <c r="F800" s="56"/>
    </row>
    <row r="801" spans="1:6" ht="15">
      <c r="A801" s="51">
        <v>289373</v>
      </c>
      <c r="B801" t="s">
        <v>998</v>
      </c>
      <c r="C801" s="39" t="s">
        <v>997</v>
      </c>
      <c r="D801" t="s">
        <v>469</v>
      </c>
      <c r="F801" s="56"/>
    </row>
    <row r="802" spans="1:6" ht="15">
      <c r="A802" s="51">
        <v>289374</v>
      </c>
      <c r="B802" t="s">
        <v>340</v>
      </c>
      <c r="C802" s="39" t="s">
        <v>999</v>
      </c>
      <c r="D802" t="s">
        <v>468</v>
      </c>
      <c r="F802" s="56"/>
    </row>
    <row r="803" spans="1:6" ht="15">
      <c r="A803" s="51">
        <v>289375</v>
      </c>
      <c r="B803" t="s">
        <v>1000</v>
      </c>
      <c r="C803" s="39" t="s">
        <v>999</v>
      </c>
      <c r="D803" t="s">
        <v>469</v>
      </c>
      <c r="F803" s="56"/>
    </row>
    <row r="804" spans="1:6" ht="15">
      <c r="A804" s="51">
        <v>289376</v>
      </c>
      <c r="B804" t="s">
        <v>1001</v>
      </c>
      <c r="C804" s="39" t="s">
        <v>999</v>
      </c>
      <c r="D804" t="s">
        <v>471</v>
      </c>
      <c r="F804" s="56"/>
    </row>
    <row r="805" spans="1:6" ht="15">
      <c r="A805" s="51">
        <v>289377</v>
      </c>
      <c r="B805" t="s">
        <v>1002</v>
      </c>
      <c r="C805" s="39" t="s">
        <v>999</v>
      </c>
      <c r="D805" t="s">
        <v>469</v>
      </c>
      <c r="F805" s="56"/>
    </row>
    <row r="806" spans="1:6" ht="15">
      <c r="A806" s="51">
        <v>289378</v>
      </c>
      <c r="B806" t="s">
        <v>1003</v>
      </c>
      <c r="C806" s="39" t="s">
        <v>999</v>
      </c>
      <c r="D806" t="s">
        <v>471</v>
      </c>
      <c r="F806" s="56"/>
    </row>
    <row r="807" spans="1:6" ht="15">
      <c r="A807" s="51">
        <v>289380</v>
      </c>
      <c r="B807" t="s">
        <v>844</v>
      </c>
      <c r="C807" s="39" t="s">
        <v>1004</v>
      </c>
      <c r="D807">
        <v>8</v>
      </c>
      <c r="F807" s="56"/>
    </row>
    <row r="808" spans="1:6" ht="15">
      <c r="A808" s="51">
        <v>289381</v>
      </c>
      <c r="B808" t="s">
        <v>345</v>
      </c>
      <c r="C808" s="39" t="s">
        <v>542</v>
      </c>
      <c r="D808" t="s">
        <v>4245</v>
      </c>
      <c r="F808" s="56"/>
    </row>
    <row r="809" spans="1:6" ht="15">
      <c r="A809" s="51">
        <v>289382</v>
      </c>
      <c r="B809" t="s">
        <v>347</v>
      </c>
      <c r="C809" s="39" t="s">
        <v>542</v>
      </c>
      <c r="D809" t="s">
        <v>4246</v>
      </c>
      <c r="F809" s="56"/>
    </row>
    <row r="810" spans="1:6" ht="15">
      <c r="A810" s="51">
        <v>289383</v>
      </c>
      <c r="B810" t="s">
        <v>1005</v>
      </c>
      <c r="C810" s="39" t="s">
        <v>349</v>
      </c>
      <c r="D810" t="s">
        <v>4247</v>
      </c>
      <c r="F810" s="56"/>
    </row>
    <row r="811" spans="1:6" ht="15">
      <c r="A811" s="51">
        <v>289384</v>
      </c>
      <c r="B811" t="s">
        <v>1006</v>
      </c>
      <c r="C811" s="39" t="s">
        <v>349</v>
      </c>
      <c r="D811" t="s">
        <v>4243</v>
      </c>
      <c r="F811" s="56"/>
    </row>
    <row r="812" spans="1:6" ht="15">
      <c r="A812" s="51">
        <v>289385</v>
      </c>
      <c r="B812" t="s">
        <v>110</v>
      </c>
      <c r="C812" s="39" t="s">
        <v>349</v>
      </c>
      <c r="D812" t="s">
        <v>4247</v>
      </c>
      <c r="F812" s="56"/>
    </row>
    <row r="813" spans="1:6" ht="15">
      <c r="A813" s="51">
        <v>289386</v>
      </c>
      <c r="B813" t="s">
        <v>1007</v>
      </c>
      <c r="C813" s="39" t="s">
        <v>1008</v>
      </c>
      <c r="D813">
        <v>7</v>
      </c>
      <c r="F813" s="56"/>
    </row>
    <row r="814" spans="1:6" ht="15">
      <c r="A814" s="51">
        <v>289387</v>
      </c>
      <c r="B814" t="s">
        <v>1009</v>
      </c>
      <c r="C814" s="39" t="s">
        <v>120</v>
      </c>
      <c r="D814" t="s">
        <v>4245</v>
      </c>
      <c r="F814" s="56"/>
    </row>
    <row r="815" spans="1:6" ht="15">
      <c r="A815" s="51">
        <v>289388</v>
      </c>
      <c r="B815" t="s">
        <v>119</v>
      </c>
      <c r="C815" s="39" t="s">
        <v>120</v>
      </c>
      <c r="D815" t="s">
        <v>4246</v>
      </c>
      <c r="F815" s="56"/>
    </row>
    <row r="816" spans="1:6" ht="15">
      <c r="A816" s="51">
        <v>289389</v>
      </c>
      <c r="B816" t="s">
        <v>1010</v>
      </c>
      <c r="C816" s="39" t="s">
        <v>781</v>
      </c>
      <c r="D816" t="s">
        <v>4245</v>
      </c>
      <c r="F816" s="56"/>
    </row>
    <row r="817" spans="1:6" ht="15">
      <c r="A817" s="51">
        <v>289390</v>
      </c>
      <c r="B817" t="s">
        <v>1011</v>
      </c>
      <c r="C817" s="39" t="s">
        <v>781</v>
      </c>
      <c r="D817" t="s">
        <v>4244</v>
      </c>
      <c r="F817" s="56"/>
    </row>
    <row r="818" spans="1:6" ht="15">
      <c r="A818" s="51">
        <v>289391</v>
      </c>
      <c r="B818" t="s">
        <v>1012</v>
      </c>
      <c r="C818" s="39" t="s">
        <v>781</v>
      </c>
      <c r="D818" t="s">
        <v>4243</v>
      </c>
      <c r="F818" s="56"/>
    </row>
    <row r="819" spans="1:6" ht="15">
      <c r="A819" s="51">
        <v>289392</v>
      </c>
      <c r="B819" t="s">
        <v>1013</v>
      </c>
      <c r="C819" s="39" t="s">
        <v>781</v>
      </c>
      <c r="D819">
        <v>8</v>
      </c>
      <c r="F819" s="56"/>
    </row>
    <row r="820" spans="1:6" ht="15">
      <c r="A820" s="51">
        <v>289393</v>
      </c>
      <c r="B820" t="s">
        <v>129</v>
      </c>
      <c r="C820" s="39" t="s">
        <v>130</v>
      </c>
      <c r="D820" t="s">
        <v>4243</v>
      </c>
      <c r="F820" s="56"/>
    </row>
    <row r="821" spans="1:6" ht="15">
      <c r="A821" s="51">
        <v>289394</v>
      </c>
      <c r="B821" t="s">
        <v>1014</v>
      </c>
      <c r="C821" s="39" t="s">
        <v>1015</v>
      </c>
      <c r="D821" t="s">
        <v>4245</v>
      </c>
      <c r="F821" s="56"/>
    </row>
    <row r="822" spans="1:6" ht="15">
      <c r="A822" s="51">
        <v>289395</v>
      </c>
      <c r="B822" t="s">
        <v>1016</v>
      </c>
      <c r="C822" s="39" t="s">
        <v>1015</v>
      </c>
      <c r="D822" t="s">
        <v>4245</v>
      </c>
      <c r="F822" s="56"/>
    </row>
    <row r="823" spans="1:6" ht="15">
      <c r="A823" s="51">
        <v>289396</v>
      </c>
      <c r="B823" t="s">
        <v>360</v>
      </c>
      <c r="C823" s="39" t="s">
        <v>1017</v>
      </c>
      <c r="D823">
        <v>7</v>
      </c>
      <c r="F823" s="56"/>
    </row>
    <row r="824" spans="1:6" ht="15">
      <c r="A824" s="51">
        <v>289397</v>
      </c>
      <c r="B824" t="s">
        <v>1018</v>
      </c>
      <c r="C824" s="39" t="s">
        <v>626</v>
      </c>
      <c r="D824" t="s">
        <v>4243</v>
      </c>
      <c r="F824" s="56"/>
    </row>
    <row r="825" spans="1:6" ht="15">
      <c r="A825" s="51">
        <v>289398</v>
      </c>
      <c r="B825" t="s">
        <v>1019</v>
      </c>
      <c r="C825" s="39" t="s">
        <v>626</v>
      </c>
      <c r="D825" t="s">
        <v>4243</v>
      </c>
      <c r="F825" s="56"/>
    </row>
    <row r="826" spans="1:6" ht="15">
      <c r="A826" s="51">
        <v>289399</v>
      </c>
      <c r="B826" t="s">
        <v>1020</v>
      </c>
      <c r="C826" s="39" t="s">
        <v>626</v>
      </c>
      <c r="D826">
        <v>7</v>
      </c>
      <c r="F826" s="56"/>
    </row>
    <row r="827" spans="1:6" ht="15">
      <c r="A827" s="51">
        <v>289400</v>
      </c>
      <c r="B827" t="s">
        <v>1021</v>
      </c>
      <c r="C827" s="39" t="s">
        <v>626</v>
      </c>
      <c r="D827">
        <v>7</v>
      </c>
      <c r="F827" s="56"/>
    </row>
    <row r="828" spans="1:6" ht="15">
      <c r="A828" s="51">
        <v>289401</v>
      </c>
      <c r="B828" t="s">
        <v>1022</v>
      </c>
      <c r="C828" s="39" t="s">
        <v>132</v>
      </c>
      <c r="D828">
        <v>7</v>
      </c>
      <c r="F828" s="56"/>
    </row>
    <row r="829" spans="1:6" ht="15">
      <c r="A829" s="51">
        <v>289402</v>
      </c>
      <c r="B829" t="s">
        <v>139</v>
      </c>
      <c r="C829" s="39" t="s">
        <v>140</v>
      </c>
      <c r="D829">
        <v>7</v>
      </c>
      <c r="F829" s="56"/>
    </row>
    <row r="830" spans="1:6" ht="15">
      <c r="A830" s="51">
        <v>289403</v>
      </c>
      <c r="B830" t="s">
        <v>1023</v>
      </c>
      <c r="C830" s="39" t="s">
        <v>1024</v>
      </c>
      <c r="D830" t="s">
        <v>4243</v>
      </c>
      <c r="F830" s="56"/>
    </row>
    <row r="831" spans="1:6" ht="15">
      <c r="A831" s="51">
        <v>289404</v>
      </c>
      <c r="B831" t="s">
        <v>1025</v>
      </c>
      <c r="C831" s="39" t="s">
        <v>1026</v>
      </c>
      <c r="D831" t="s">
        <v>4249</v>
      </c>
      <c r="F831" s="56"/>
    </row>
    <row r="832" spans="1:6" ht="15">
      <c r="A832" s="51">
        <v>289405</v>
      </c>
      <c r="B832" t="s">
        <v>1027</v>
      </c>
      <c r="C832" s="39" t="s">
        <v>1028</v>
      </c>
      <c r="D832" t="s">
        <v>4245</v>
      </c>
      <c r="F832" s="56"/>
    </row>
    <row r="833" spans="1:6" ht="15">
      <c r="A833" s="51">
        <v>289406</v>
      </c>
      <c r="B833" t="s">
        <v>1029</v>
      </c>
      <c r="C833" s="39" t="s">
        <v>1028</v>
      </c>
      <c r="D833" t="s">
        <v>4246</v>
      </c>
      <c r="F833" s="56"/>
    </row>
    <row r="834" spans="1:6" ht="15">
      <c r="A834" s="51">
        <v>289407</v>
      </c>
      <c r="B834" t="s">
        <v>1030</v>
      </c>
      <c r="C834" s="39" t="s">
        <v>1031</v>
      </c>
      <c r="D834" t="s">
        <v>4248</v>
      </c>
      <c r="F834" s="56"/>
    </row>
    <row r="835" spans="1:6" ht="15">
      <c r="A835" s="51">
        <v>289408</v>
      </c>
      <c r="B835" t="s">
        <v>1032</v>
      </c>
      <c r="C835" s="39" t="s">
        <v>1031</v>
      </c>
      <c r="D835" t="s">
        <v>4248</v>
      </c>
      <c r="F835" s="56"/>
    </row>
    <row r="836" spans="1:6" ht="15">
      <c r="A836" s="51">
        <v>289410</v>
      </c>
      <c r="B836" t="s">
        <v>1033</v>
      </c>
      <c r="C836" s="39" t="s">
        <v>1031</v>
      </c>
      <c r="D836" t="s">
        <v>4248</v>
      </c>
      <c r="F836" s="56"/>
    </row>
    <row r="837" spans="1:6" ht="15">
      <c r="A837" s="51">
        <v>289411</v>
      </c>
      <c r="B837" t="s">
        <v>1034</v>
      </c>
      <c r="C837" s="39" t="s">
        <v>1035</v>
      </c>
      <c r="D837" t="s">
        <v>1595</v>
      </c>
      <c r="F837" s="56"/>
    </row>
    <row r="838" spans="1:6" ht="15">
      <c r="A838" s="51">
        <v>289412</v>
      </c>
      <c r="B838" t="s">
        <v>1036</v>
      </c>
      <c r="C838" s="39" t="s">
        <v>1035</v>
      </c>
      <c r="D838" t="s">
        <v>1595</v>
      </c>
      <c r="F838" s="56"/>
    </row>
    <row r="839" spans="1:6" ht="15">
      <c r="A839" s="51">
        <v>289413</v>
      </c>
      <c r="B839" t="s">
        <v>150</v>
      </c>
      <c r="C839" s="39" t="s">
        <v>151</v>
      </c>
      <c r="D839" t="s">
        <v>1595</v>
      </c>
      <c r="F839" s="56"/>
    </row>
    <row r="840" spans="1:6" ht="15">
      <c r="A840" s="51">
        <v>289414</v>
      </c>
      <c r="B840" t="s">
        <v>152</v>
      </c>
      <c r="C840" s="39" t="s">
        <v>151</v>
      </c>
      <c r="D840" t="s">
        <v>469</v>
      </c>
      <c r="F840" s="56"/>
    </row>
    <row r="841" spans="1:6" ht="15">
      <c r="A841" s="51">
        <v>289417</v>
      </c>
      <c r="B841" t="s">
        <v>1037</v>
      </c>
      <c r="C841" s="39" t="s">
        <v>155</v>
      </c>
      <c r="D841" t="s">
        <v>469</v>
      </c>
      <c r="F841" s="56"/>
    </row>
    <row r="842" spans="1:6" ht="15">
      <c r="A842" s="51">
        <v>289418</v>
      </c>
      <c r="B842" t="s">
        <v>1038</v>
      </c>
      <c r="C842" s="39" t="s">
        <v>157</v>
      </c>
      <c r="D842" t="s">
        <v>4245</v>
      </c>
      <c r="F842" s="56"/>
    </row>
    <row r="843" spans="1:6" ht="15">
      <c r="A843" s="51">
        <v>289419</v>
      </c>
      <c r="B843" t="s">
        <v>1039</v>
      </c>
      <c r="C843" s="39" t="s">
        <v>157</v>
      </c>
      <c r="D843" t="s">
        <v>4245</v>
      </c>
      <c r="F843" s="56"/>
    </row>
    <row r="844" spans="1:6" ht="15">
      <c r="A844" s="51">
        <v>289420</v>
      </c>
      <c r="B844" t="s">
        <v>1040</v>
      </c>
      <c r="C844" s="39" t="s">
        <v>157</v>
      </c>
      <c r="D844" t="s">
        <v>4244</v>
      </c>
      <c r="F844" s="56"/>
    </row>
    <row r="845" spans="1:6" ht="15">
      <c r="A845" s="51">
        <v>289421</v>
      </c>
      <c r="B845" t="s">
        <v>1041</v>
      </c>
      <c r="C845" s="39" t="s">
        <v>1042</v>
      </c>
      <c r="D845" t="s">
        <v>4247</v>
      </c>
      <c r="F845" s="56"/>
    </row>
    <row r="846" spans="1:6" ht="15">
      <c r="A846" s="51">
        <v>289422</v>
      </c>
      <c r="B846" t="s">
        <v>1043</v>
      </c>
      <c r="C846" s="39" t="s">
        <v>1042</v>
      </c>
      <c r="D846" t="s">
        <v>4247</v>
      </c>
      <c r="F846" s="56"/>
    </row>
    <row r="847" spans="1:6" ht="15">
      <c r="A847" s="51">
        <v>289423</v>
      </c>
      <c r="B847" t="s">
        <v>1044</v>
      </c>
      <c r="C847" s="39" t="s">
        <v>1045</v>
      </c>
      <c r="D847">
        <v>8</v>
      </c>
      <c r="F847" s="56"/>
    </row>
    <row r="848" spans="1:6" ht="15">
      <c r="A848" s="51">
        <v>289424</v>
      </c>
      <c r="B848" t="s">
        <v>386</v>
      </c>
      <c r="C848" s="39" t="s">
        <v>1046</v>
      </c>
      <c r="D848" t="s">
        <v>469</v>
      </c>
      <c r="F848" s="56"/>
    </row>
    <row r="849" spans="1:6" ht="15">
      <c r="A849" s="51">
        <v>289425</v>
      </c>
      <c r="B849" t="s">
        <v>1047</v>
      </c>
      <c r="C849" s="39" t="s">
        <v>1048</v>
      </c>
      <c r="D849" t="s">
        <v>471</v>
      </c>
      <c r="F849" s="56"/>
    </row>
    <row r="850" spans="1:6" ht="15">
      <c r="A850" s="51">
        <v>289426</v>
      </c>
      <c r="B850" t="s">
        <v>1049</v>
      </c>
      <c r="C850" s="39" t="s">
        <v>1050</v>
      </c>
      <c r="D850">
        <v>9</v>
      </c>
      <c r="F850" s="56"/>
    </row>
    <row r="851" spans="1:6" ht="15">
      <c r="A851" s="51">
        <v>289427</v>
      </c>
      <c r="B851" t="s">
        <v>1051</v>
      </c>
      <c r="C851" s="39" t="s">
        <v>1052</v>
      </c>
      <c r="D851" t="s">
        <v>4243</v>
      </c>
      <c r="F851" s="56"/>
    </row>
    <row r="852" spans="1:6" ht="15">
      <c r="A852" s="51">
        <v>289428</v>
      </c>
      <c r="B852" t="s">
        <v>1053</v>
      </c>
      <c r="C852" s="39" t="s">
        <v>955</v>
      </c>
      <c r="D852">
        <v>7</v>
      </c>
      <c r="F852" s="56"/>
    </row>
    <row r="853" spans="1:6" ht="15">
      <c r="A853" s="51">
        <v>289429</v>
      </c>
      <c r="B853" t="s">
        <v>1054</v>
      </c>
      <c r="C853" s="39" t="s">
        <v>955</v>
      </c>
      <c r="D853">
        <v>7</v>
      </c>
      <c r="F853" s="56"/>
    </row>
    <row r="854" spans="1:6" ht="15">
      <c r="A854" s="51">
        <v>289430</v>
      </c>
      <c r="B854" t="s">
        <v>1055</v>
      </c>
      <c r="C854" s="39" t="s">
        <v>924</v>
      </c>
      <c r="D854" t="s">
        <v>4246</v>
      </c>
      <c r="F854" s="56"/>
    </row>
    <row r="855" spans="1:6" ht="15">
      <c r="A855" s="51">
        <v>289431</v>
      </c>
      <c r="B855" t="s">
        <v>1056</v>
      </c>
      <c r="C855" s="39" t="s">
        <v>924</v>
      </c>
      <c r="D855" t="s">
        <v>4243</v>
      </c>
      <c r="F855" s="56"/>
    </row>
    <row r="856" spans="1:6" ht="15">
      <c r="A856" s="51">
        <v>289432</v>
      </c>
      <c r="B856" t="s">
        <v>1057</v>
      </c>
      <c r="C856" s="39" t="s">
        <v>924</v>
      </c>
      <c r="D856" t="s">
        <v>4243</v>
      </c>
      <c r="F856" s="56"/>
    </row>
    <row r="857" spans="1:6" ht="15">
      <c r="A857" s="51">
        <v>289433</v>
      </c>
      <c r="B857" t="s">
        <v>1058</v>
      </c>
      <c r="C857" s="39" t="s">
        <v>924</v>
      </c>
      <c r="D857">
        <v>7</v>
      </c>
      <c r="F857" s="56"/>
    </row>
    <row r="858" spans="1:6" ht="15">
      <c r="A858" s="51">
        <v>289434</v>
      </c>
      <c r="B858" t="s">
        <v>1059</v>
      </c>
      <c r="C858" s="39" t="s">
        <v>1060</v>
      </c>
      <c r="D858" t="s">
        <v>4246</v>
      </c>
      <c r="F858" s="56"/>
    </row>
    <row r="859" spans="1:6" ht="15">
      <c r="A859" s="51">
        <v>289435</v>
      </c>
      <c r="B859" t="s">
        <v>174</v>
      </c>
      <c r="C859" s="39" t="s">
        <v>1060</v>
      </c>
      <c r="D859" t="s">
        <v>4243</v>
      </c>
      <c r="F859" s="56"/>
    </row>
    <row r="860" spans="1:6" ht="15">
      <c r="A860" s="51">
        <v>289436</v>
      </c>
      <c r="B860" t="s">
        <v>1061</v>
      </c>
      <c r="C860" s="39" t="s">
        <v>1060</v>
      </c>
      <c r="D860">
        <v>7</v>
      </c>
      <c r="F860" s="56"/>
    </row>
    <row r="861" spans="1:6" ht="15">
      <c r="A861" s="51">
        <v>289437</v>
      </c>
      <c r="B861" t="s">
        <v>1062</v>
      </c>
      <c r="C861" s="39" t="s">
        <v>1060</v>
      </c>
      <c r="D861">
        <v>8</v>
      </c>
      <c r="F861" s="56"/>
    </row>
    <row r="862" spans="1:6" ht="15">
      <c r="A862" s="51">
        <v>289438</v>
      </c>
      <c r="B862" t="s">
        <v>1063</v>
      </c>
      <c r="C862" s="39" t="s">
        <v>924</v>
      </c>
      <c r="D862" t="s">
        <v>4247</v>
      </c>
      <c r="F862" s="56"/>
    </row>
    <row r="863" spans="1:6" ht="15">
      <c r="A863" s="51">
        <v>289439</v>
      </c>
      <c r="B863" t="s">
        <v>1064</v>
      </c>
      <c r="C863" s="39" t="s">
        <v>166</v>
      </c>
      <c r="D863" t="s">
        <v>4245</v>
      </c>
      <c r="F863" s="56"/>
    </row>
    <row r="864" spans="1:6" ht="15">
      <c r="A864" s="51">
        <v>289440</v>
      </c>
      <c r="B864" t="s">
        <v>1065</v>
      </c>
      <c r="C864" s="39" t="s">
        <v>166</v>
      </c>
      <c r="D864" t="s">
        <v>4244</v>
      </c>
      <c r="F864" s="56"/>
    </row>
    <row r="865" spans="1:6" ht="15">
      <c r="A865" s="51">
        <v>289443</v>
      </c>
      <c r="B865" t="s">
        <v>1066</v>
      </c>
      <c r="C865" s="39" t="s">
        <v>177</v>
      </c>
      <c r="D865" t="s">
        <v>1595</v>
      </c>
      <c r="F865" s="56"/>
    </row>
    <row r="866" spans="1:6" ht="15">
      <c r="A866" s="51">
        <v>289444</v>
      </c>
      <c r="B866" t="s">
        <v>1067</v>
      </c>
      <c r="C866" s="39" t="s">
        <v>177</v>
      </c>
      <c r="D866" t="s">
        <v>468</v>
      </c>
      <c r="F866" s="56"/>
    </row>
    <row r="867" spans="1:6" ht="15">
      <c r="A867" s="51">
        <v>289445</v>
      </c>
      <c r="B867" t="s">
        <v>1068</v>
      </c>
      <c r="C867" s="39" t="s">
        <v>390</v>
      </c>
      <c r="D867" t="s">
        <v>4247</v>
      </c>
      <c r="F867" s="56"/>
    </row>
    <row r="868" spans="1:6" ht="15">
      <c r="A868" s="51">
        <v>289446</v>
      </c>
      <c r="B868" t="s">
        <v>1069</v>
      </c>
      <c r="C868" s="39" t="s">
        <v>390</v>
      </c>
      <c r="D868" t="s">
        <v>4243</v>
      </c>
      <c r="F868" s="56"/>
    </row>
    <row r="869" spans="1:6" ht="15">
      <c r="A869" s="51">
        <v>289447</v>
      </c>
      <c r="B869" t="s">
        <v>393</v>
      </c>
      <c r="C869" s="39" t="s">
        <v>394</v>
      </c>
      <c r="D869">
        <v>7</v>
      </c>
      <c r="F869" s="56"/>
    </row>
    <row r="870" spans="1:6" ht="15">
      <c r="A870" s="51">
        <v>289448</v>
      </c>
      <c r="B870" t="s">
        <v>1070</v>
      </c>
      <c r="C870" s="39" t="s">
        <v>394</v>
      </c>
      <c r="D870">
        <v>7</v>
      </c>
      <c r="F870" s="56"/>
    </row>
    <row r="871" spans="1:6" ht="15">
      <c r="A871" s="51">
        <v>289449</v>
      </c>
      <c r="B871" t="s">
        <v>1071</v>
      </c>
      <c r="C871" s="39" t="s">
        <v>862</v>
      </c>
      <c r="D871">
        <v>9</v>
      </c>
      <c r="F871" s="56"/>
    </row>
    <row r="872" spans="1:6" ht="15">
      <c r="A872" s="51">
        <v>289450</v>
      </c>
      <c r="B872" t="s">
        <v>1072</v>
      </c>
      <c r="C872" s="39" t="s">
        <v>862</v>
      </c>
      <c r="D872">
        <v>9</v>
      </c>
      <c r="F872" s="56"/>
    </row>
    <row r="873" spans="1:6" ht="15">
      <c r="A873" s="51">
        <v>289451</v>
      </c>
      <c r="B873" t="s">
        <v>861</v>
      </c>
      <c r="C873" s="39" t="s">
        <v>908</v>
      </c>
      <c r="D873" t="s">
        <v>4244</v>
      </c>
      <c r="F873" s="56"/>
    </row>
    <row r="874" spans="1:6" ht="15">
      <c r="A874" s="51">
        <v>289452</v>
      </c>
      <c r="B874" t="s">
        <v>1073</v>
      </c>
      <c r="C874" s="39" t="s">
        <v>1074</v>
      </c>
      <c r="D874" t="s">
        <v>4243</v>
      </c>
      <c r="F874" s="56"/>
    </row>
    <row r="875" spans="1:6" ht="15">
      <c r="A875" s="51">
        <v>289453</v>
      </c>
      <c r="B875" t="s">
        <v>872</v>
      </c>
      <c r="C875" s="39" t="s">
        <v>1075</v>
      </c>
      <c r="D875" t="s">
        <v>4243</v>
      </c>
      <c r="F875" s="56"/>
    </row>
    <row r="876" spans="1:6" ht="15">
      <c r="A876" s="51">
        <v>289454</v>
      </c>
      <c r="B876" t="s">
        <v>1076</v>
      </c>
      <c r="C876" s="39" t="s">
        <v>561</v>
      </c>
      <c r="D876" t="s">
        <v>4247</v>
      </c>
      <c r="F876" s="56"/>
    </row>
    <row r="877" spans="1:6" ht="15">
      <c r="A877" s="51">
        <v>289455</v>
      </c>
      <c r="B877" t="s">
        <v>1077</v>
      </c>
      <c r="C877" s="39" t="s">
        <v>1078</v>
      </c>
      <c r="D877" t="s">
        <v>4243</v>
      </c>
      <c r="F877" s="56"/>
    </row>
    <row r="878" spans="1:6" ht="15">
      <c r="A878" s="51">
        <v>289456</v>
      </c>
      <c r="B878" t="s">
        <v>1079</v>
      </c>
      <c r="C878" s="39" t="s">
        <v>1080</v>
      </c>
      <c r="D878" t="s">
        <v>4244</v>
      </c>
      <c r="F878" s="56"/>
    </row>
    <row r="879" spans="1:6" ht="15">
      <c r="A879" s="51">
        <v>289457</v>
      </c>
      <c r="B879" t="s">
        <v>1081</v>
      </c>
      <c r="C879" s="39" t="s">
        <v>1080</v>
      </c>
      <c r="D879" t="s">
        <v>4244</v>
      </c>
      <c r="F879" s="56"/>
    </row>
    <row r="880" spans="1:6" ht="15">
      <c r="A880" s="51">
        <v>289458</v>
      </c>
      <c r="B880" t="s">
        <v>1082</v>
      </c>
      <c r="C880" s="39" t="s">
        <v>1083</v>
      </c>
      <c r="D880" t="s">
        <v>1595</v>
      </c>
      <c r="F880" s="56"/>
    </row>
    <row r="881" spans="1:6" ht="15">
      <c r="A881" s="51">
        <v>289459</v>
      </c>
      <c r="B881" t="s">
        <v>1084</v>
      </c>
      <c r="C881" s="39" t="s">
        <v>1083</v>
      </c>
      <c r="D881" t="s">
        <v>469</v>
      </c>
      <c r="F881" s="56"/>
    </row>
    <row r="882" spans="1:6" ht="15">
      <c r="A882" s="51">
        <v>289461</v>
      </c>
      <c r="B882" t="s">
        <v>1085</v>
      </c>
      <c r="C882" s="39" t="s">
        <v>1083</v>
      </c>
      <c r="D882" t="s">
        <v>1595</v>
      </c>
      <c r="F882" s="56"/>
    </row>
    <row r="883" spans="1:6" ht="15">
      <c r="A883" s="51">
        <v>289462</v>
      </c>
      <c r="B883" t="s">
        <v>1086</v>
      </c>
      <c r="C883" s="39" t="s">
        <v>1083</v>
      </c>
      <c r="D883" t="s">
        <v>469</v>
      </c>
      <c r="F883" s="56"/>
    </row>
    <row r="884" spans="1:6" ht="15">
      <c r="A884" s="51">
        <v>289465</v>
      </c>
      <c r="B884" t="s">
        <v>1087</v>
      </c>
      <c r="C884" s="39" t="s">
        <v>1083</v>
      </c>
      <c r="D884" t="s">
        <v>471</v>
      </c>
      <c r="F884" s="56"/>
    </row>
    <row r="885" spans="1:6" ht="15">
      <c r="A885" s="51">
        <v>289467</v>
      </c>
      <c r="B885" t="s">
        <v>1088</v>
      </c>
      <c r="C885" s="39" t="s">
        <v>1083</v>
      </c>
      <c r="D885" t="s">
        <v>1595</v>
      </c>
      <c r="F885" s="56"/>
    </row>
    <row r="886" spans="1:6" ht="15">
      <c r="A886" s="51">
        <v>289468</v>
      </c>
      <c r="B886" t="s">
        <v>1089</v>
      </c>
      <c r="C886" s="39" t="s">
        <v>1083</v>
      </c>
      <c r="D886" t="s">
        <v>468</v>
      </c>
      <c r="F886" s="56"/>
    </row>
    <row r="887" spans="1:6" ht="15">
      <c r="A887" s="51">
        <v>289469</v>
      </c>
      <c r="B887" t="s">
        <v>1090</v>
      </c>
      <c r="C887" s="39" t="s">
        <v>1083</v>
      </c>
      <c r="D887" t="s">
        <v>469</v>
      </c>
      <c r="F887" s="56"/>
    </row>
    <row r="888" spans="1:6" ht="15">
      <c r="A888" s="51">
        <v>289470</v>
      </c>
      <c r="B888" t="s">
        <v>1091</v>
      </c>
      <c r="C888" s="39" t="s">
        <v>1092</v>
      </c>
      <c r="D888">
        <v>8</v>
      </c>
      <c r="F888" s="56"/>
    </row>
    <row r="889" spans="1:6" ht="15">
      <c r="A889" s="51">
        <v>289471</v>
      </c>
      <c r="B889" t="s">
        <v>1093</v>
      </c>
      <c r="C889" s="39" t="s">
        <v>1092</v>
      </c>
      <c r="D889">
        <v>9</v>
      </c>
      <c r="F889" s="56"/>
    </row>
    <row r="890" spans="1:6" ht="15">
      <c r="A890" s="51">
        <v>289472</v>
      </c>
      <c r="B890" t="s">
        <v>1094</v>
      </c>
      <c r="C890" s="39" t="s">
        <v>1095</v>
      </c>
      <c r="D890" t="s">
        <v>469</v>
      </c>
      <c r="F890" s="56"/>
    </row>
    <row r="891" spans="1:6" ht="15">
      <c r="A891" s="51">
        <v>289473</v>
      </c>
      <c r="B891" t="s">
        <v>1096</v>
      </c>
      <c r="C891" s="39" t="s">
        <v>1095</v>
      </c>
      <c r="D891" t="s">
        <v>469</v>
      </c>
      <c r="F891" s="56"/>
    </row>
    <row r="892" spans="1:6" ht="15">
      <c r="A892" s="51">
        <v>289474</v>
      </c>
      <c r="B892" t="s">
        <v>1097</v>
      </c>
      <c r="C892" s="39" t="s">
        <v>1098</v>
      </c>
      <c r="D892" t="s">
        <v>1595</v>
      </c>
      <c r="F892" s="56"/>
    </row>
    <row r="893" spans="1:6" ht="15">
      <c r="A893" s="51">
        <v>289475</v>
      </c>
      <c r="B893" t="s">
        <v>1099</v>
      </c>
      <c r="C893" s="39" t="s">
        <v>1098</v>
      </c>
      <c r="D893" t="s">
        <v>469</v>
      </c>
      <c r="F893" s="56"/>
    </row>
    <row r="894" spans="1:6" ht="15">
      <c r="A894" s="51">
        <v>289476</v>
      </c>
      <c r="B894" t="s">
        <v>1100</v>
      </c>
      <c r="C894" s="39" t="s">
        <v>1098</v>
      </c>
      <c r="D894" t="s">
        <v>466</v>
      </c>
      <c r="F894" s="56"/>
    </row>
    <row r="895" spans="1:6" ht="15">
      <c r="A895" s="51">
        <v>289477</v>
      </c>
      <c r="B895" t="s">
        <v>1101</v>
      </c>
      <c r="C895" s="39" t="s">
        <v>1098</v>
      </c>
      <c r="D895" t="s">
        <v>1595</v>
      </c>
      <c r="F895" s="56"/>
    </row>
    <row r="896" spans="1:6" ht="15">
      <c r="A896" s="51">
        <v>289478</v>
      </c>
      <c r="B896" t="s">
        <v>1102</v>
      </c>
      <c r="C896" s="39" t="s">
        <v>1098</v>
      </c>
      <c r="D896" t="s">
        <v>469</v>
      </c>
      <c r="F896" s="56"/>
    </row>
    <row r="897" spans="1:6" ht="15">
      <c r="A897" s="51">
        <v>289479</v>
      </c>
      <c r="B897" t="s">
        <v>1103</v>
      </c>
      <c r="C897" s="39" t="s">
        <v>1098</v>
      </c>
      <c r="D897" t="s">
        <v>471</v>
      </c>
      <c r="F897" s="56"/>
    </row>
    <row r="898" spans="1:6" ht="15">
      <c r="A898" s="51">
        <v>289480</v>
      </c>
      <c r="B898" t="s">
        <v>1104</v>
      </c>
      <c r="C898" s="39" t="s">
        <v>1105</v>
      </c>
      <c r="D898">
        <v>9</v>
      </c>
      <c r="F898" s="56"/>
    </row>
    <row r="899" spans="1:6" ht="15">
      <c r="A899" s="51">
        <v>289481</v>
      </c>
      <c r="B899" t="s">
        <v>229</v>
      </c>
      <c r="C899" s="39" t="s">
        <v>879</v>
      </c>
      <c r="D899" t="s">
        <v>4243</v>
      </c>
      <c r="F899" s="56"/>
    </row>
    <row r="900" spans="1:6" ht="15">
      <c r="A900" s="51">
        <v>289482</v>
      </c>
      <c r="B900" t="s">
        <v>1106</v>
      </c>
      <c r="C900" s="39" t="s">
        <v>1107</v>
      </c>
      <c r="D900" t="s">
        <v>4245</v>
      </c>
      <c r="F900" s="56"/>
    </row>
    <row r="901" spans="1:6" ht="15">
      <c r="A901" s="51">
        <v>289484</v>
      </c>
      <c r="B901" t="s">
        <v>1108</v>
      </c>
      <c r="C901" s="39" t="s">
        <v>1109</v>
      </c>
      <c r="D901" t="s">
        <v>4247</v>
      </c>
      <c r="F901" s="56"/>
    </row>
    <row r="902" spans="1:6" ht="15">
      <c r="A902" s="51">
        <v>289485</v>
      </c>
      <c r="B902" t="s">
        <v>1110</v>
      </c>
      <c r="C902" s="39" t="s">
        <v>1109</v>
      </c>
      <c r="D902" t="s">
        <v>4243</v>
      </c>
      <c r="F902" s="56"/>
    </row>
    <row r="903" spans="1:6" ht="15">
      <c r="A903" s="51">
        <v>289486</v>
      </c>
      <c r="B903" t="s">
        <v>1111</v>
      </c>
      <c r="C903" s="39" t="s">
        <v>1112</v>
      </c>
      <c r="D903" t="s">
        <v>4243</v>
      </c>
      <c r="F903" s="56"/>
    </row>
    <row r="904" spans="1:6" ht="15">
      <c r="A904" s="51">
        <v>289487</v>
      </c>
      <c r="B904" t="s">
        <v>1113</v>
      </c>
      <c r="C904" s="39" t="s">
        <v>1114</v>
      </c>
      <c r="D904" t="s">
        <v>4246</v>
      </c>
      <c r="F904" s="56"/>
    </row>
    <row r="905" spans="1:6" ht="15">
      <c r="A905" s="51">
        <v>289488</v>
      </c>
      <c r="B905" t="s">
        <v>1115</v>
      </c>
      <c r="C905" s="39" t="s">
        <v>1114</v>
      </c>
      <c r="D905" t="s">
        <v>4247</v>
      </c>
      <c r="F905" s="56"/>
    </row>
    <row r="906" spans="1:6" ht="15">
      <c r="A906" s="51">
        <v>289489</v>
      </c>
      <c r="B906" t="s">
        <v>1116</v>
      </c>
      <c r="C906" s="39" t="s">
        <v>1114</v>
      </c>
      <c r="D906" t="s">
        <v>4243</v>
      </c>
      <c r="F906" s="56"/>
    </row>
    <row r="907" spans="1:6" ht="15">
      <c r="A907" s="51">
        <v>289490</v>
      </c>
      <c r="B907" t="s">
        <v>1117</v>
      </c>
      <c r="C907" s="39" t="s">
        <v>1118</v>
      </c>
      <c r="D907" t="s">
        <v>4243</v>
      </c>
      <c r="F907" s="56"/>
    </row>
    <row r="908" spans="1:6" ht="15">
      <c r="A908" s="51">
        <v>289491</v>
      </c>
      <c r="B908" t="s">
        <v>1119</v>
      </c>
      <c r="C908" s="39" t="s">
        <v>1118</v>
      </c>
      <c r="D908">
        <v>8</v>
      </c>
      <c r="F908" s="56"/>
    </row>
    <row r="909" spans="1:6" ht="15">
      <c r="A909" s="51">
        <v>289492</v>
      </c>
      <c r="B909" t="s">
        <v>1120</v>
      </c>
      <c r="C909" s="39" t="s">
        <v>1121</v>
      </c>
      <c r="D909">
        <v>8</v>
      </c>
      <c r="F909" s="56"/>
    </row>
    <row r="910" spans="1:6" ht="15">
      <c r="A910" s="51">
        <v>289493</v>
      </c>
      <c r="B910" t="s">
        <v>1122</v>
      </c>
      <c r="C910" s="39" t="s">
        <v>1123</v>
      </c>
      <c r="D910" t="s">
        <v>4247</v>
      </c>
      <c r="F910" s="56"/>
    </row>
    <row r="911" spans="1:6" ht="15">
      <c r="A911" s="51">
        <v>289494</v>
      </c>
      <c r="B911" t="s">
        <v>1124</v>
      </c>
      <c r="C911" s="39" t="s">
        <v>1123</v>
      </c>
      <c r="D911" t="s">
        <v>4243</v>
      </c>
      <c r="F911" s="56"/>
    </row>
    <row r="912" spans="1:6" ht="15">
      <c r="A912" s="51">
        <v>289495</v>
      </c>
      <c r="B912" t="s">
        <v>1125</v>
      </c>
      <c r="C912" s="39" t="s">
        <v>1123</v>
      </c>
      <c r="D912" t="s">
        <v>4243</v>
      </c>
      <c r="F912" s="56"/>
    </row>
    <row r="913" spans="1:6" ht="15">
      <c r="A913" s="51">
        <v>289496</v>
      </c>
      <c r="B913" t="s">
        <v>1126</v>
      </c>
      <c r="C913" s="39" t="s">
        <v>1123</v>
      </c>
      <c r="D913" t="s">
        <v>4243</v>
      </c>
      <c r="F913" s="56"/>
    </row>
    <row r="914" spans="1:6" ht="15">
      <c r="A914" s="51">
        <v>289497</v>
      </c>
      <c r="B914" t="s">
        <v>1127</v>
      </c>
      <c r="C914" s="39" t="s">
        <v>1123</v>
      </c>
      <c r="D914">
        <v>7</v>
      </c>
      <c r="F914" s="56"/>
    </row>
    <row r="915" spans="1:6" ht="15">
      <c r="A915" s="51">
        <v>289498</v>
      </c>
      <c r="B915" t="s">
        <v>1128</v>
      </c>
      <c r="C915" s="39" t="s">
        <v>1123</v>
      </c>
      <c r="D915">
        <v>8</v>
      </c>
      <c r="F915" s="56"/>
    </row>
    <row r="916" spans="1:6" ht="15">
      <c r="A916" s="51">
        <v>289499</v>
      </c>
      <c r="B916" t="s">
        <v>427</v>
      </c>
      <c r="C916" s="39" t="s">
        <v>428</v>
      </c>
      <c r="D916" t="s">
        <v>4244</v>
      </c>
      <c r="F916" s="56"/>
    </row>
    <row r="917" spans="1:6" ht="15">
      <c r="A917" s="51">
        <v>289500</v>
      </c>
      <c r="B917" t="s">
        <v>438</v>
      </c>
      <c r="C917" s="39" t="s">
        <v>884</v>
      </c>
      <c r="D917">
        <v>7</v>
      </c>
      <c r="F917" s="56"/>
    </row>
    <row r="918" spans="1:6" ht="15">
      <c r="A918" s="51">
        <v>601046</v>
      </c>
      <c r="B918" t="s">
        <v>1129</v>
      </c>
      <c r="C918" s="39" t="s">
        <v>1130</v>
      </c>
      <c r="D918">
        <v>9</v>
      </c>
      <c r="F918" s="56"/>
    </row>
    <row r="919" spans="1:6" ht="15">
      <c r="A919" s="51">
        <v>289502</v>
      </c>
      <c r="B919" t="s">
        <v>1131</v>
      </c>
      <c r="C919" s="39" t="s">
        <v>1132</v>
      </c>
      <c r="D919">
        <v>7</v>
      </c>
      <c r="F919" s="56"/>
    </row>
    <row r="920" spans="1:6" ht="15">
      <c r="A920" s="51">
        <v>289504</v>
      </c>
      <c r="B920" t="s">
        <v>1133</v>
      </c>
      <c r="C920" s="39" t="s">
        <v>1134</v>
      </c>
      <c r="D920" t="s">
        <v>4248</v>
      </c>
      <c r="F920" s="56"/>
    </row>
    <row r="921" spans="1:6" ht="15">
      <c r="A921" s="51">
        <v>289505</v>
      </c>
      <c r="B921" t="s">
        <v>1135</v>
      </c>
      <c r="C921" s="39" t="s">
        <v>1134</v>
      </c>
      <c r="D921" t="s">
        <v>4245</v>
      </c>
      <c r="F921" s="56"/>
    </row>
    <row r="922" spans="1:6" ht="15">
      <c r="A922" s="51">
        <v>289506</v>
      </c>
      <c r="B922" t="s">
        <v>1136</v>
      </c>
      <c r="C922" s="39" t="s">
        <v>1137</v>
      </c>
      <c r="D922">
        <v>7</v>
      </c>
      <c r="F922" s="56"/>
    </row>
    <row r="923" spans="1:6" ht="15">
      <c r="A923" s="51">
        <v>289507</v>
      </c>
      <c r="B923" t="s">
        <v>1138</v>
      </c>
      <c r="C923" s="39" t="s">
        <v>1137</v>
      </c>
      <c r="D923">
        <v>7</v>
      </c>
      <c r="F923" s="56"/>
    </row>
    <row r="924" spans="1:6" ht="15">
      <c r="A924" s="51">
        <v>289508</v>
      </c>
      <c r="B924" t="s">
        <v>1139</v>
      </c>
      <c r="C924" s="39" t="s">
        <v>898</v>
      </c>
      <c r="D924" t="s">
        <v>4246</v>
      </c>
      <c r="F924" s="56"/>
    </row>
    <row r="925" spans="1:6" ht="15">
      <c r="A925" s="51">
        <v>289509</v>
      </c>
      <c r="B925" t="s">
        <v>1140</v>
      </c>
      <c r="C925" s="39" t="s">
        <v>898</v>
      </c>
      <c r="D925" t="s">
        <v>4247</v>
      </c>
      <c r="F925" s="56"/>
    </row>
    <row r="926" spans="1:6" ht="15">
      <c r="A926" s="51">
        <v>289510</v>
      </c>
      <c r="B926" t="s">
        <v>288</v>
      </c>
      <c r="C926" s="39" t="s">
        <v>898</v>
      </c>
      <c r="D926" t="s">
        <v>4244</v>
      </c>
      <c r="F926" s="56"/>
    </row>
    <row r="927" spans="1:6" ht="15">
      <c r="A927" s="51">
        <v>289511</v>
      </c>
      <c r="B927" t="s">
        <v>1141</v>
      </c>
      <c r="C927" s="39" t="s">
        <v>898</v>
      </c>
      <c r="D927" t="s">
        <v>4243</v>
      </c>
      <c r="F927" s="56"/>
    </row>
    <row r="928" spans="1:6" ht="15">
      <c r="A928" s="51">
        <v>289774</v>
      </c>
      <c r="B928" t="s">
        <v>87</v>
      </c>
      <c r="C928" s="39" t="s">
        <v>88</v>
      </c>
      <c r="D928">
        <v>8</v>
      </c>
      <c r="F928" s="56"/>
    </row>
    <row r="929" spans="1:6" ht="15">
      <c r="A929" s="51">
        <v>289775</v>
      </c>
      <c r="B929" t="s">
        <v>1142</v>
      </c>
      <c r="C929" s="39" t="s">
        <v>521</v>
      </c>
      <c r="D929" t="s">
        <v>4248</v>
      </c>
      <c r="F929" s="56"/>
    </row>
    <row r="930" spans="1:6" ht="15">
      <c r="A930" s="51">
        <v>289776</v>
      </c>
      <c r="B930" t="s">
        <v>1143</v>
      </c>
      <c r="C930" s="39" t="s">
        <v>521</v>
      </c>
      <c r="D930" t="s">
        <v>4245</v>
      </c>
      <c r="F930" s="56"/>
    </row>
    <row r="931" spans="1:6" ht="15">
      <c r="A931" s="51">
        <v>289777</v>
      </c>
      <c r="B931" t="s">
        <v>1144</v>
      </c>
      <c r="C931" s="39" t="s">
        <v>927</v>
      </c>
      <c r="D931">
        <v>8</v>
      </c>
      <c r="F931" s="56"/>
    </row>
    <row r="932" spans="1:6" ht="15">
      <c r="A932" s="51">
        <v>289778</v>
      </c>
      <c r="B932" t="s">
        <v>1145</v>
      </c>
      <c r="C932" s="39" t="s">
        <v>902</v>
      </c>
      <c r="D932" t="s">
        <v>4244</v>
      </c>
      <c r="F932" s="56"/>
    </row>
    <row r="933" spans="1:6" ht="15">
      <c r="A933" s="51">
        <v>289779</v>
      </c>
      <c r="B933" t="s">
        <v>1146</v>
      </c>
      <c r="C933" s="39" t="s">
        <v>902</v>
      </c>
      <c r="D933" t="s">
        <v>4244</v>
      </c>
      <c r="F933" s="56"/>
    </row>
    <row r="934" spans="1:6" ht="15">
      <c r="A934" s="51">
        <v>289780</v>
      </c>
      <c r="B934" t="s">
        <v>1147</v>
      </c>
      <c r="C934" s="39" t="s">
        <v>336</v>
      </c>
      <c r="D934" t="s">
        <v>4244</v>
      </c>
      <c r="F934" s="56"/>
    </row>
    <row r="935" spans="1:6" ht="15">
      <c r="A935" s="51">
        <v>289781</v>
      </c>
      <c r="B935" t="s">
        <v>1148</v>
      </c>
      <c r="C935" s="39" t="s">
        <v>336</v>
      </c>
      <c r="D935" t="s">
        <v>4244</v>
      </c>
      <c r="F935" s="56"/>
    </row>
    <row r="936" spans="1:6" ht="15">
      <c r="A936" s="51">
        <v>289782</v>
      </c>
      <c r="B936" t="s">
        <v>1149</v>
      </c>
      <c r="C936" s="39" t="s">
        <v>336</v>
      </c>
      <c r="D936" t="s">
        <v>4243</v>
      </c>
      <c r="F936" s="56"/>
    </row>
    <row r="937" spans="1:6" ht="15">
      <c r="A937" s="51">
        <v>289783</v>
      </c>
      <c r="B937" t="s">
        <v>338</v>
      </c>
      <c r="C937" s="39" t="s">
        <v>556</v>
      </c>
      <c r="D937" t="s">
        <v>4243</v>
      </c>
      <c r="F937" s="56"/>
    </row>
    <row r="938" spans="1:6" ht="15">
      <c r="A938" s="51">
        <v>289784</v>
      </c>
      <c r="B938" t="s">
        <v>98</v>
      </c>
      <c r="C938" s="39" t="s">
        <v>99</v>
      </c>
      <c r="D938">
        <v>7</v>
      </c>
      <c r="F938" s="56"/>
    </row>
    <row r="939" spans="1:6" ht="15">
      <c r="A939" s="51">
        <v>289785</v>
      </c>
      <c r="B939" t="s">
        <v>100</v>
      </c>
      <c r="C939" s="39" t="s">
        <v>99</v>
      </c>
      <c r="D939">
        <v>7</v>
      </c>
      <c r="F939" s="56"/>
    </row>
    <row r="940" spans="1:6" ht="15">
      <c r="A940" s="51">
        <v>289786</v>
      </c>
      <c r="B940" t="s">
        <v>1150</v>
      </c>
      <c r="C940" s="39" t="s">
        <v>571</v>
      </c>
      <c r="D940" t="s">
        <v>4247</v>
      </c>
      <c r="F940" s="56"/>
    </row>
    <row r="941" spans="1:6" ht="15">
      <c r="A941" s="51">
        <v>289787</v>
      </c>
      <c r="B941" t="s">
        <v>1151</v>
      </c>
      <c r="C941" s="39" t="s">
        <v>571</v>
      </c>
      <c r="D941" t="s">
        <v>4243</v>
      </c>
      <c r="F941" s="56"/>
    </row>
    <row r="942" spans="1:6" ht="15">
      <c r="A942" s="51">
        <v>289788</v>
      </c>
      <c r="B942" t="s">
        <v>103</v>
      </c>
      <c r="C942" s="39" t="s">
        <v>104</v>
      </c>
      <c r="D942" t="s">
        <v>4243</v>
      </c>
      <c r="F942" s="56"/>
    </row>
    <row r="943" spans="1:6" ht="15">
      <c r="A943" s="51">
        <v>289789</v>
      </c>
      <c r="B943" t="s">
        <v>1152</v>
      </c>
      <c r="C943" s="39" t="s">
        <v>708</v>
      </c>
      <c r="D943" t="s">
        <v>4243</v>
      </c>
      <c r="F943" s="56"/>
    </row>
    <row r="944" spans="1:6" ht="15">
      <c r="A944" s="51">
        <v>289790</v>
      </c>
      <c r="B944" t="s">
        <v>1153</v>
      </c>
      <c r="C944" s="39" t="s">
        <v>708</v>
      </c>
      <c r="D944">
        <v>7</v>
      </c>
      <c r="F944" s="56"/>
    </row>
    <row r="945" spans="1:6" ht="15">
      <c r="A945" s="51">
        <v>289791</v>
      </c>
      <c r="B945" t="s">
        <v>111</v>
      </c>
      <c r="C945" s="39" t="s">
        <v>575</v>
      </c>
      <c r="D945" t="s">
        <v>4245</v>
      </c>
      <c r="F945" s="56"/>
    </row>
    <row r="946" spans="1:6" ht="15">
      <c r="A946" s="51">
        <v>289792</v>
      </c>
      <c r="B946" t="s">
        <v>112</v>
      </c>
      <c r="C946" s="39" t="s">
        <v>575</v>
      </c>
      <c r="D946" t="s">
        <v>4244</v>
      </c>
      <c r="F946" s="56"/>
    </row>
    <row r="947" spans="1:6" ht="15">
      <c r="A947" s="51">
        <v>289793</v>
      </c>
      <c r="B947" t="s">
        <v>113</v>
      </c>
      <c r="C947" s="39" t="s">
        <v>575</v>
      </c>
      <c r="D947" t="s">
        <v>4243</v>
      </c>
      <c r="F947" s="56"/>
    </row>
    <row r="948" spans="1:6" ht="15">
      <c r="A948" s="51">
        <v>289794</v>
      </c>
      <c r="B948" t="s">
        <v>844</v>
      </c>
      <c r="C948" s="39" t="s">
        <v>575</v>
      </c>
      <c r="D948">
        <v>8</v>
      </c>
      <c r="F948" s="56"/>
    </row>
    <row r="949" spans="1:6" ht="15">
      <c r="A949" s="51">
        <v>289795</v>
      </c>
      <c r="B949" t="s">
        <v>1154</v>
      </c>
      <c r="C949" s="39" t="s">
        <v>575</v>
      </c>
      <c r="D949">
        <v>9</v>
      </c>
      <c r="F949" s="56"/>
    </row>
    <row r="950" spans="1:6" ht="15">
      <c r="A950" s="51">
        <v>289796</v>
      </c>
      <c r="B950" t="s">
        <v>344</v>
      </c>
      <c r="C950" s="39" t="s">
        <v>342</v>
      </c>
      <c r="D950" t="s">
        <v>4246</v>
      </c>
      <c r="F950" s="56"/>
    </row>
    <row r="951" spans="1:6" ht="15">
      <c r="A951" s="51">
        <v>289797</v>
      </c>
      <c r="B951" t="s">
        <v>1155</v>
      </c>
      <c r="C951" s="39" t="s">
        <v>342</v>
      </c>
      <c r="D951" t="s">
        <v>4244</v>
      </c>
      <c r="F951" s="56"/>
    </row>
    <row r="952" spans="1:6" ht="15">
      <c r="A952" s="51">
        <v>289798</v>
      </c>
      <c r="B952" t="s">
        <v>1156</v>
      </c>
      <c r="C952" s="39" t="s">
        <v>342</v>
      </c>
      <c r="D952" t="s">
        <v>4243</v>
      </c>
      <c r="F952" s="56"/>
    </row>
    <row r="953" spans="1:6" ht="15">
      <c r="A953" s="51">
        <v>289799</v>
      </c>
      <c r="B953" t="s">
        <v>345</v>
      </c>
      <c r="C953" s="39" t="s">
        <v>108</v>
      </c>
      <c r="D953" t="s">
        <v>4245</v>
      </c>
      <c r="F953" s="56"/>
    </row>
    <row r="954" spans="1:6" ht="15">
      <c r="A954" s="51">
        <v>289800</v>
      </c>
      <c r="B954" t="s">
        <v>347</v>
      </c>
      <c r="C954" s="39" t="s">
        <v>108</v>
      </c>
      <c r="D954" t="s">
        <v>4245</v>
      </c>
      <c r="F954" s="56"/>
    </row>
    <row r="955" spans="1:6" ht="15">
      <c r="A955" s="51">
        <v>289801</v>
      </c>
      <c r="B955" t="s">
        <v>1157</v>
      </c>
      <c r="C955" s="39" t="s">
        <v>108</v>
      </c>
      <c r="D955" t="s">
        <v>4245</v>
      </c>
      <c r="F955" s="56"/>
    </row>
    <row r="956" spans="1:6" ht="15">
      <c r="A956" s="51">
        <v>289802</v>
      </c>
      <c r="B956" t="s">
        <v>110</v>
      </c>
      <c r="C956" s="39" t="s">
        <v>108</v>
      </c>
      <c r="D956" t="s">
        <v>4245</v>
      </c>
      <c r="F956" s="56"/>
    </row>
    <row r="957" spans="1:6" ht="15">
      <c r="A957" s="51">
        <v>289803</v>
      </c>
      <c r="B957" t="s">
        <v>1158</v>
      </c>
      <c r="C957" s="39" t="s">
        <v>108</v>
      </c>
      <c r="D957" t="s">
        <v>4244</v>
      </c>
      <c r="F957" s="56"/>
    </row>
    <row r="958" spans="1:6" ht="15">
      <c r="A958" s="51">
        <v>289804</v>
      </c>
      <c r="B958" t="s">
        <v>1159</v>
      </c>
      <c r="C958" s="39" t="s">
        <v>108</v>
      </c>
      <c r="D958" t="s">
        <v>4243</v>
      </c>
      <c r="F958" s="56"/>
    </row>
    <row r="959" spans="1:6" ht="15">
      <c r="A959" s="51">
        <v>289805</v>
      </c>
      <c r="B959" t="s">
        <v>1160</v>
      </c>
      <c r="C959" s="39" t="s">
        <v>108</v>
      </c>
      <c r="D959">
        <v>8</v>
      </c>
      <c r="F959" s="56"/>
    </row>
    <row r="960" spans="1:6" ht="15">
      <c r="A960" s="51">
        <v>289806</v>
      </c>
      <c r="B960" t="s">
        <v>348</v>
      </c>
      <c r="C960" s="39" t="s">
        <v>108</v>
      </c>
      <c r="D960" t="s">
        <v>4245</v>
      </c>
      <c r="F960" s="56"/>
    </row>
    <row r="961" spans="1:6" ht="15">
      <c r="A961" s="51">
        <v>289807</v>
      </c>
      <c r="B961" t="s">
        <v>350</v>
      </c>
      <c r="C961" s="39" t="s">
        <v>108</v>
      </c>
      <c r="D961" t="s">
        <v>4245</v>
      </c>
      <c r="F961" s="56"/>
    </row>
    <row r="962" spans="1:6" ht="15">
      <c r="A962" s="51">
        <v>289808</v>
      </c>
      <c r="B962" t="s">
        <v>1161</v>
      </c>
      <c r="C962" s="39" t="s">
        <v>547</v>
      </c>
      <c r="D962" t="s">
        <v>4244</v>
      </c>
      <c r="F962" s="56"/>
    </row>
    <row r="963" spans="1:6" ht="15">
      <c r="A963" s="51">
        <v>289809</v>
      </c>
      <c r="B963" t="s">
        <v>845</v>
      </c>
      <c r="C963" s="39" t="s">
        <v>547</v>
      </c>
      <c r="D963" t="s">
        <v>4244</v>
      </c>
      <c r="F963" s="56"/>
    </row>
    <row r="964" spans="1:6" ht="15">
      <c r="A964" s="51">
        <v>289810</v>
      </c>
      <c r="B964" t="s">
        <v>1162</v>
      </c>
      <c r="C964" s="39" t="s">
        <v>547</v>
      </c>
      <c r="D964" t="s">
        <v>4243</v>
      </c>
      <c r="F964" s="56"/>
    </row>
    <row r="965" spans="1:6" ht="15">
      <c r="A965" s="51">
        <v>289811</v>
      </c>
      <c r="B965" t="s">
        <v>119</v>
      </c>
      <c r="C965" s="39" t="s">
        <v>542</v>
      </c>
      <c r="D965" t="s">
        <v>4246</v>
      </c>
      <c r="F965" s="56"/>
    </row>
    <row r="966" spans="1:6" ht="15">
      <c r="A966" s="51">
        <v>289812</v>
      </c>
      <c r="B966" t="s">
        <v>121</v>
      </c>
      <c r="C966" s="39" t="s">
        <v>542</v>
      </c>
      <c r="D966" t="s">
        <v>4244</v>
      </c>
      <c r="F966" s="56"/>
    </row>
    <row r="967" spans="1:6" ht="15">
      <c r="A967" s="51">
        <v>289813</v>
      </c>
      <c r="B967" t="s">
        <v>1163</v>
      </c>
      <c r="C967" s="39" t="s">
        <v>349</v>
      </c>
      <c r="D967" t="s">
        <v>4247</v>
      </c>
      <c r="F967" s="56"/>
    </row>
    <row r="968" spans="1:6" ht="15">
      <c r="A968" s="51">
        <v>289814</v>
      </c>
      <c r="B968" t="s">
        <v>1164</v>
      </c>
      <c r="C968" s="39" t="s">
        <v>349</v>
      </c>
      <c r="D968" t="s">
        <v>4243</v>
      </c>
      <c r="F968" s="56"/>
    </row>
    <row r="969" spans="1:6" ht="15">
      <c r="A969" s="51">
        <v>289815</v>
      </c>
      <c r="B969" t="s">
        <v>1165</v>
      </c>
      <c r="C969" s="39" t="s">
        <v>618</v>
      </c>
      <c r="D969" t="s">
        <v>4243</v>
      </c>
      <c r="F969" s="56"/>
    </row>
    <row r="970" spans="1:6" ht="15">
      <c r="A970" s="51">
        <v>289816</v>
      </c>
      <c r="B970" t="s">
        <v>122</v>
      </c>
      <c r="C970" s="39" t="s">
        <v>618</v>
      </c>
      <c r="D970" t="s">
        <v>4243</v>
      </c>
      <c r="F970" s="56"/>
    </row>
    <row r="971" spans="1:6" ht="15">
      <c r="A971" s="51">
        <v>289817</v>
      </c>
      <c r="B971" t="s">
        <v>1166</v>
      </c>
      <c r="C971" s="39" t="s">
        <v>914</v>
      </c>
      <c r="D971" t="s">
        <v>4244</v>
      </c>
      <c r="F971" s="56"/>
    </row>
    <row r="972" spans="1:6" ht="15">
      <c r="A972" s="51">
        <v>289818</v>
      </c>
      <c r="B972" t="s">
        <v>126</v>
      </c>
      <c r="C972" s="39" t="s">
        <v>914</v>
      </c>
      <c r="D972" t="s">
        <v>4244</v>
      </c>
      <c r="F972" s="56"/>
    </row>
    <row r="973" spans="1:6" ht="15">
      <c r="A973" s="51">
        <v>289819</v>
      </c>
      <c r="B973" t="s">
        <v>128</v>
      </c>
      <c r="C973" s="39" t="s">
        <v>914</v>
      </c>
      <c r="D973">
        <v>7</v>
      </c>
      <c r="F973" s="56"/>
    </row>
    <row r="974" spans="1:6" ht="15">
      <c r="A974" s="51">
        <v>289820</v>
      </c>
      <c r="B974" t="s">
        <v>1167</v>
      </c>
      <c r="C974" s="39" t="s">
        <v>781</v>
      </c>
      <c r="D974" t="s">
        <v>4243</v>
      </c>
      <c r="F974" s="56"/>
    </row>
    <row r="975" spans="1:6" ht="15">
      <c r="A975" s="51">
        <v>289821</v>
      </c>
      <c r="B975" t="s">
        <v>1168</v>
      </c>
      <c r="C975" s="39" t="s">
        <v>781</v>
      </c>
      <c r="D975">
        <v>8</v>
      </c>
      <c r="F975" s="56"/>
    </row>
    <row r="976" spans="1:6" ht="15">
      <c r="A976" s="51">
        <v>289822</v>
      </c>
      <c r="B976" t="s">
        <v>358</v>
      </c>
      <c r="C976" s="39" t="s">
        <v>362</v>
      </c>
      <c r="D976" t="s">
        <v>4247</v>
      </c>
      <c r="F976" s="56"/>
    </row>
    <row r="977" spans="1:6" ht="15">
      <c r="A977" s="51">
        <v>289823</v>
      </c>
      <c r="B977" t="s">
        <v>360</v>
      </c>
      <c r="C977" s="39" t="s">
        <v>362</v>
      </c>
      <c r="D977" t="s">
        <v>4247</v>
      </c>
      <c r="F977" s="56"/>
    </row>
    <row r="978" spans="1:6" ht="15">
      <c r="A978" s="51">
        <v>289824</v>
      </c>
      <c r="B978" t="s">
        <v>1018</v>
      </c>
      <c r="C978" s="39" t="s">
        <v>626</v>
      </c>
      <c r="D978" t="s">
        <v>4243</v>
      </c>
      <c r="F978" s="56"/>
    </row>
    <row r="979" spans="1:6" ht="15">
      <c r="A979" s="51">
        <v>289825</v>
      </c>
      <c r="B979" t="s">
        <v>1019</v>
      </c>
      <c r="C979" s="39" t="s">
        <v>626</v>
      </c>
      <c r="D979" t="s">
        <v>4243</v>
      </c>
      <c r="F979" s="56"/>
    </row>
    <row r="980" spans="1:6" ht="15">
      <c r="A980" s="51">
        <v>289826</v>
      </c>
      <c r="B980" t="s">
        <v>1169</v>
      </c>
      <c r="C980" s="39" t="s">
        <v>626</v>
      </c>
      <c r="D980">
        <v>7</v>
      </c>
      <c r="F980" s="56"/>
    </row>
    <row r="981" spans="1:6" ht="15">
      <c r="A981" s="51">
        <v>289827</v>
      </c>
      <c r="B981" t="s">
        <v>1170</v>
      </c>
      <c r="C981" s="39" t="s">
        <v>138</v>
      </c>
      <c r="D981">
        <v>9</v>
      </c>
      <c r="F981" s="56"/>
    </row>
    <row r="982" spans="1:6" ht="15">
      <c r="A982" s="51">
        <v>289828</v>
      </c>
      <c r="B982" t="s">
        <v>1171</v>
      </c>
      <c r="C982" s="39" t="s">
        <v>664</v>
      </c>
      <c r="D982" t="s">
        <v>4243</v>
      </c>
      <c r="F982" s="56"/>
    </row>
    <row r="983" spans="1:6" ht="15">
      <c r="A983" s="51">
        <v>289829</v>
      </c>
      <c r="B983" t="s">
        <v>1172</v>
      </c>
      <c r="C983" s="39" t="s">
        <v>664</v>
      </c>
      <c r="D983" t="s">
        <v>4243</v>
      </c>
      <c r="F983" s="56"/>
    </row>
    <row r="984" spans="1:6" ht="15">
      <c r="A984" s="51">
        <v>289830</v>
      </c>
      <c r="B984" t="s">
        <v>1173</v>
      </c>
      <c r="C984" s="39" t="s">
        <v>664</v>
      </c>
      <c r="D984">
        <v>7</v>
      </c>
      <c r="F984" s="56"/>
    </row>
    <row r="985" spans="1:6" ht="15">
      <c r="A985" s="51">
        <v>289831</v>
      </c>
      <c r="B985" t="s">
        <v>1174</v>
      </c>
      <c r="C985" s="39" t="s">
        <v>664</v>
      </c>
      <c r="D985">
        <v>8</v>
      </c>
      <c r="F985" s="56"/>
    </row>
    <row r="986" spans="1:6" ht="15">
      <c r="A986" s="51">
        <v>289832</v>
      </c>
      <c r="B986" t="s">
        <v>364</v>
      </c>
      <c r="C986" s="39" t="s">
        <v>940</v>
      </c>
      <c r="D986" t="s">
        <v>4243</v>
      </c>
      <c r="F986" s="56"/>
    </row>
    <row r="987" spans="1:6" ht="15">
      <c r="A987" s="51">
        <v>289833</v>
      </c>
      <c r="B987" t="s">
        <v>365</v>
      </c>
      <c r="C987" s="39" t="s">
        <v>940</v>
      </c>
      <c r="D987">
        <v>7</v>
      </c>
      <c r="F987" s="56"/>
    </row>
    <row r="988" spans="1:6" ht="15">
      <c r="A988" s="51">
        <v>289834</v>
      </c>
      <c r="B988" t="s">
        <v>1175</v>
      </c>
      <c r="C988" s="39" t="s">
        <v>895</v>
      </c>
      <c r="D988" t="s">
        <v>4243</v>
      </c>
      <c r="F988" s="56"/>
    </row>
    <row r="989" spans="1:6" ht="15">
      <c r="A989" s="51">
        <v>289835</v>
      </c>
      <c r="B989" t="s">
        <v>372</v>
      </c>
      <c r="C989" s="39" t="s">
        <v>896</v>
      </c>
      <c r="D989">
        <v>8</v>
      </c>
      <c r="F989" s="56"/>
    </row>
    <row r="990" spans="1:6" ht="15">
      <c r="A990" s="51">
        <v>289836</v>
      </c>
      <c r="B990" t="s">
        <v>1176</v>
      </c>
      <c r="C990" s="39" t="s">
        <v>373</v>
      </c>
      <c r="D990" t="s">
        <v>4248</v>
      </c>
      <c r="F990" s="56"/>
    </row>
    <row r="991" spans="1:6" ht="15">
      <c r="A991" s="51">
        <v>289837</v>
      </c>
      <c r="B991" t="s">
        <v>1177</v>
      </c>
      <c r="C991" s="39" t="s">
        <v>1178</v>
      </c>
      <c r="D991">
        <v>7</v>
      </c>
      <c r="F991" s="56"/>
    </row>
    <row r="992" spans="1:6" ht="15">
      <c r="A992" s="51">
        <v>289838</v>
      </c>
      <c r="B992" t="s">
        <v>374</v>
      </c>
      <c r="C992" s="39" t="s">
        <v>1179</v>
      </c>
      <c r="D992" t="s">
        <v>4247</v>
      </c>
      <c r="F992" s="56"/>
    </row>
    <row r="993" spans="1:6" ht="15">
      <c r="A993" s="51">
        <v>289839</v>
      </c>
      <c r="B993" t="s">
        <v>150</v>
      </c>
      <c r="C993" s="39" t="s">
        <v>1179</v>
      </c>
      <c r="D993" t="s">
        <v>4247</v>
      </c>
      <c r="F993" s="56"/>
    </row>
    <row r="994" spans="1:6" ht="15">
      <c r="A994" s="51">
        <v>289840</v>
      </c>
      <c r="B994" t="s">
        <v>152</v>
      </c>
      <c r="C994" s="39" t="s">
        <v>1179</v>
      </c>
      <c r="D994" t="s">
        <v>4243</v>
      </c>
      <c r="F994" s="56"/>
    </row>
    <row r="995" spans="1:6" ht="15">
      <c r="A995" s="51">
        <v>289841</v>
      </c>
      <c r="B995" t="s">
        <v>1180</v>
      </c>
      <c r="C995" s="39" t="s">
        <v>829</v>
      </c>
      <c r="D995" t="s">
        <v>4244</v>
      </c>
      <c r="F995" s="56"/>
    </row>
    <row r="996" spans="1:6" ht="15">
      <c r="A996" s="51">
        <v>289842</v>
      </c>
      <c r="B996" t="s">
        <v>1181</v>
      </c>
      <c r="C996" s="39" t="s">
        <v>375</v>
      </c>
      <c r="D996" t="s">
        <v>4243</v>
      </c>
      <c r="F996" s="56"/>
    </row>
    <row r="997" spans="1:6" ht="15">
      <c r="A997" s="51">
        <v>289843</v>
      </c>
      <c r="B997" t="s">
        <v>156</v>
      </c>
      <c r="C997" s="39" t="s">
        <v>375</v>
      </c>
      <c r="D997" t="s">
        <v>4243</v>
      </c>
      <c r="F997" s="56"/>
    </row>
    <row r="998" spans="1:6" ht="15">
      <c r="A998" s="51">
        <v>289844</v>
      </c>
      <c r="B998" t="s">
        <v>158</v>
      </c>
      <c r="C998" s="39" t="s">
        <v>375</v>
      </c>
      <c r="D998">
        <v>7</v>
      </c>
      <c r="F998" s="56"/>
    </row>
    <row r="999" spans="1:6" ht="15">
      <c r="A999" s="51">
        <v>289845</v>
      </c>
      <c r="B999" t="s">
        <v>159</v>
      </c>
      <c r="C999" s="39" t="s">
        <v>375</v>
      </c>
      <c r="D999">
        <v>8</v>
      </c>
      <c r="F999" s="56"/>
    </row>
    <row r="1000" spans="1:6" ht="15">
      <c r="A1000" s="51">
        <v>289846</v>
      </c>
      <c r="B1000" t="s">
        <v>1182</v>
      </c>
      <c r="C1000" s="39" t="s">
        <v>689</v>
      </c>
      <c r="D1000">
        <v>7</v>
      </c>
      <c r="F1000" s="56"/>
    </row>
    <row r="1001" spans="1:6" ht="15">
      <c r="A1001" s="51">
        <v>289847</v>
      </c>
      <c r="B1001" t="s">
        <v>1183</v>
      </c>
      <c r="C1001" s="39" t="s">
        <v>714</v>
      </c>
      <c r="D1001">
        <v>8</v>
      </c>
      <c r="F1001" s="56"/>
    </row>
    <row r="1002" spans="1:6" ht="15">
      <c r="A1002" s="51">
        <v>289848</v>
      </c>
      <c r="B1002" t="s">
        <v>1184</v>
      </c>
      <c r="C1002" s="39" t="s">
        <v>955</v>
      </c>
      <c r="D1002">
        <v>7</v>
      </c>
      <c r="F1002" s="56"/>
    </row>
    <row r="1003" spans="1:6" ht="15">
      <c r="A1003" s="51">
        <v>289849</v>
      </c>
      <c r="B1003" t="s">
        <v>1063</v>
      </c>
      <c r="C1003" s="39" t="s">
        <v>924</v>
      </c>
      <c r="D1003" t="s">
        <v>4246</v>
      </c>
      <c r="F1003" s="56"/>
    </row>
    <row r="1004" spans="1:6" ht="15">
      <c r="A1004" s="51">
        <v>289850</v>
      </c>
      <c r="B1004" t="s">
        <v>1185</v>
      </c>
      <c r="C1004" s="39" t="s">
        <v>924</v>
      </c>
      <c r="D1004" t="s">
        <v>4243</v>
      </c>
      <c r="F1004" s="56"/>
    </row>
    <row r="1005" spans="1:6" ht="15">
      <c r="A1005" s="51">
        <v>289851</v>
      </c>
      <c r="B1005" t="s">
        <v>1186</v>
      </c>
      <c r="C1005" s="39" t="s">
        <v>192</v>
      </c>
      <c r="D1005" t="s">
        <v>4247</v>
      </c>
      <c r="F1005" s="56"/>
    </row>
    <row r="1006" spans="1:6" ht="15">
      <c r="A1006" s="51">
        <v>289852</v>
      </c>
      <c r="B1006" t="s">
        <v>1187</v>
      </c>
      <c r="C1006" s="39" t="s">
        <v>192</v>
      </c>
      <c r="D1006" t="s">
        <v>4243</v>
      </c>
      <c r="F1006" s="56"/>
    </row>
    <row r="1007" spans="1:6" ht="15">
      <c r="A1007" s="51">
        <v>289853</v>
      </c>
      <c r="B1007" t="s">
        <v>1188</v>
      </c>
      <c r="C1007" s="39" t="s">
        <v>192</v>
      </c>
      <c r="D1007">
        <v>7</v>
      </c>
      <c r="F1007" s="56"/>
    </row>
    <row r="1008" spans="1:6" ht="15">
      <c r="A1008" s="51">
        <v>289854</v>
      </c>
      <c r="B1008" t="s">
        <v>1189</v>
      </c>
      <c r="C1008" s="39" t="s">
        <v>402</v>
      </c>
      <c r="D1008" t="s">
        <v>4245</v>
      </c>
      <c r="F1008" s="56"/>
    </row>
    <row r="1009" spans="1:6" ht="15">
      <c r="A1009" s="51">
        <v>289855</v>
      </c>
      <c r="B1009" t="s">
        <v>1190</v>
      </c>
      <c r="C1009" s="39" t="s">
        <v>908</v>
      </c>
      <c r="D1009" t="s">
        <v>4244</v>
      </c>
      <c r="F1009" s="56"/>
    </row>
    <row r="1010" spans="1:6" ht="15">
      <c r="A1010" s="51">
        <v>289856</v>
      </c>
      <c r="B1010" t="s">
        <v>1191</v>
      </c>
      <c r="C1010" s="39" t="s">
        <v>561</v>
      </c>
      <c r="D1010" t="s">
        <v>4247</v>
      </c>
      <c r="F1010" s="56"/>
    </row>
    <row r="1011" spans="1:6" ht="15">
      <c r="A1011" s="51">
        <v>289857</v>
      </c>
      <c r="B1011" t="s">
        <v>1192</v>
      </c>
      <c r="C1011" s="39" t="s">
        <v>561</v>
      </c>
      <c r="D1011" t="s">
        <v>4247</v>
      </c>
      <c r="F1011" s="56"/>
    </row>
    <row r="1012" spans="1:6" ht="15">
      <c r="A1012" s="51">
        <v>289858</v>
      </c>
      <c r="B1012" t="s">
        <v>1087</v>
      </c>
      <c r="C1012" s="39" t="s">
        <v>678</v>
      </c>
      <c r="D1012">
        <v>7</v>
      </c>
      <c r="F1012" s="56"/>
    </row>
    <row r="1013" spans="1:6" ht="15">
      <c r="A1013" s="51">
        <v>289859</v>
      </c>
      <c r="B1013" t="s">
        <v>1088</v>
      </c>
      <c r="C1013" s="39" t="s">
        <v>647</v>
      </c>
      <c r="D1013" t="s">
        <v>4243</v>
      </c>
      <c r="F1013" s="56"/>
    </row>
    <row r="1014" spans="1:6" ht="15">
      <c r="A1014" s="51">
        <v>289860</v>
      </c>
      <c r="B1014" t="s">
        <v>1089</v>
      </c>
      <c r="C1014" s="39" t="s">
        <v>647</v>
      </c>
      <c r="D1014" t="s">
        <v>4243</v>
      </c>
      <c r="F1014" s="56"/>
    </row>
    <row r="1015" spans="1:6" ht="15">
      <c r="A1015" s="51">
        <v>289861</v>
      </c>
      <c r="B1015" t="s">
        <v>1090</v>
      </c>
      <c r="C1015" s="39" t="s">
        <v>647</v>
      </c>
      <c r="D1015">
        <v>7</v>
      </c>
      <c r="F1015" s="56"/>
    </row>
    <row r="1016" spans="1:6" ht="15">
      <c r="A1016" s="51">
        <v>289862</v>
      </c>
      <c r="B1016" t="s">
        <v>1193</v>
      </c>
      <c r="C1016" s="39" t="s">
        <v>647</v>
      </c>
      <c r="D1016">
        <v>8</v>
      </c>
      <c r="F1016" s="56"/>
    </row>
    <row r="1017" spans="1:6" ht="15">
      <c r="A1017" s="51">
        <v>289863</v>
      </c>
      <c r="B1017" t="s">
        <v>223</v>
      </c>
      <c r="C1017" s="39" t="s">
        <v>224</v>
      </c>
      <c r="D1017" t="s">
        <v>4243</v>
      </c>
      <c r="F1017" s="56"/>
    </row>
    <row r="1018" spans="1:6" ht="15">
      <c r="A1018" s="51">
        <v>289864</v>
      </c>
      <c r="B1018" t="s">
        <v>967</v>
      </c>
      <c r="C1018" s="39" t="s">
        <v>228</v>
      </c>
      <c r="D1018">
        <v>9</v>
      </c>
      <c r="F1018" s="56"/>
    </row>
    <row r="1019" spans="1:6" ht="15">
      <c r="A1019" s="51">
        <v>289865</v>
      </c>
      <c r="B1019" t="s">
        <v>1194</v>
      </c>
      <c r="C1019" s="39" t="s">
        <v>1195</v>
      </c>
      <c r="D1019" t="s">
        <v>4247</v>
      </c>
      <c r="F1019" s="56"/>
    </row>
    <row r="1020" spans="1:6" ht="15">
      <c r="A1020" s="51">
        <v>289866</v>
      </c>
      <c r="B1020" t="s">
        <v>1196</v>
      </c>
      <c r="C1020" s="39" t="s">
        <v>231</v>
      </c>
      <c r="D1020" t="s">
        <v>4244</v>
      </c>
      <c r="F1020" s="56"/>
    </row>
    <row r="1021" spans="1:6" ht="15">
      <c r="A1021" s="51">
        <v>289867</v>
      </c>
      <c r="B1021" t="s">
        <v>1197</v>
      </c>
      <c r="C1021" s="39" t="s">
        <v>231</v>
      </c>
      <c r="D1021" t="s">
        <v>4244</v>
      </c>
      <c r="F1021" s="56"/>
    </row>
    <row r="1022" spans="1:6" ht="15">
      <c r="A1022" s="51">
        <v>289868</v>
      </c>
      <c r="B1022" t="s">
        <v>1198</v>
      </c>
      <c r="C1022" s="39" t="s">
        <v>231</v>
      </c>
      <c r="D1022" t="s">
        <v>4244</v>
      </c>
      <c r="F1022" s="56"/>
    </row>
    <row r="1023" spans="1:6" ht="15">
      <c r="A1023" s="51">
        <v>289869</v>
      </c>
      <c r="B1023" t="s">
        <v>1199</v>
      </c>
      <c r="C1023" s="39" t="s">
        <v>233</v>
      </c>
      <c r="D1023" t="s">
        <v>4244</v>
      </c>
      <c r="F1023" s="56"/>
    </row>
    <row r="1024" spans="1:6" ht="15">
      <c r="A1024" s="51">
        <v>289870</v>
      </c>
      <c r="B1024" t="s">
        <v>1200</v>
      </c>
      <c r="C1024" s="39" t="s">
        <v>235</v>
      </c>
      <c r="D1024" t="s">
        <v>4244</v>
      </c>
      <c r="F1024" s="56"/>
    </row>
    <row r="1025" spans="1:6" ht="15">
      <c r="A1025" s="51">
        <v>289871</v>
      </c>
      <c r="B1025" t="s">
        <v>1201</v>
      </c>
      <c r="C1025" s="39" t="s">
        <v>931</v>
      </c>
      <c r="D1025">
        <v>9</v>
      </c>
      <c r="F1025" s="56"/>
    </row>
    <row r="1026" spans="1:6" ht="15">
      <c r="A1026" s="51">
        <v>289872</v>
      </c>
      <c r="B1026" t="s">
        <v>240</v>
      </c>
      <c r="C1026" s="39" t="s">
        <v>241</v>
      </c>
      <c r="D1026" t="s">
        <v>4249</v>
      </c>
      <c r="F1026" s="56"/>
    </row>
    <row r="1027" spans="1:6" ht="15">
      <c r="A1027" s="51">
        <v>289873</v>
      </c>
      <c r="B1027" t="s">
        <v>1202</v>
      </c>
      <c r="C1027" s="39" t="s">
        <v>603</v>
      </c>
      <c r="D1027" t="s">
        <v>4247</v>
      </c>
      <c r="F1027" s="56"/>
    </row>
    <row r="1028" spans="1:6" ht="15">
      <c r="A1028" s="51">
        <v>289874</v>
      </c>
      <c r="B1028" t="s">
        <v>1115</v>
      </c>
      <c r="C1028" s="39" t="s">
        <v>603</v>
      </c>
      <c r="D1028" t="s">
        <v>4243</v>
      </c>
      <c r="F1028" s="56"/>
    </row>
    <row r="1029" spans="1:6" ht="15">
      <c r="A1029" s="51">
        <v>289875</v>
      </c>
      <c r="B1029" t="s">
        <v>1116</v>
      </c>
      <c r="C1029" s="39" t="s">
        <v>603</v>
      </c>
      <c r="D1029">
        <v>7</v>
      </c>
      <c r="F1029" s="56"/>
    </row>
    <row r="1030" spans="1:6" ht="15">
      <c r="A1030" s="51">
        <v>289876</v>
      </c>
      <c r="B1030" t="s">
        <v>1203</v>
      </c>
      <c r="C1030" s="39" t="s">
        <v>603</v>
      </c>
      <c r="D1030">
        <v>8</v>
      </c>
      <c r="F1030" s="56"/>
    </row>
    <row r="1031" spans="1:6" ht="15">
      <c r="A1031" s="51">
        <v>289877</v>
      </c>
      <c r="B1031" t="s">
        <v>1204</v>
      </c>
      <c r="C1031" s="39" t="s">
        <v>603</v>
      </c>
      <c r="D1031">
        <v>9</v>
      </c>
      <c r="F1031" s="56"/>
    </row>
    <row r="1032" spans="1:6" ht="15">
      <c r="A1032" s="51">
        <v>289878</v>
      </c>
      <c r="B1032" t="s">
        <v>1205</v>
      </c>
      <c r="C1032" s="39" t="s">
        <v>243</v>
      </c>
      <c r="D1032" t="s">
        <v>4245</v>
      </c>
      <c r="F1032" s="56"/>
    </row>
    <row r="1033" spans="1:6" ht="15">
      <c r="A1033" s="51">
        <v>289879</v>
      </c>
      <c r="B1033" t="s">
        <v>1122</v>
      </c>
      <c r="C1033" s="39" t="s">
        <v>243</v>
      </c>
      <c r="D1033" t="s">
        <v>4247</v>
      </c>
      <c r="F1033" s="56"/>
    </row>
    <row r="1034" spans="1:6" ht="15">
      <c r="A1034" s="51">
        <v>289880</v>
      </c>
      <c r="B1034" t="s">
        <v>1206</v>
      </c>
      <c r="C1034" s="39" t="s">
        <v>906</v>
      </c>
      <c r="D1034" t="s">
        <v>4247</v>
      </c>
      <c r="F1034" s="56"/>
    </row>
    <row r="1035" spans="1:6" ht="15">
      <c r="A1035" s="51">
        <v>289881</v>
      </c>
      <c r="B1035" t="s">
        <v>432</v>
      </c>
      <c r="C1035" s="39" t="s">
        <v>433</v>
      </c>
      <c r="D1035" t="s">
        <v>4245</v>
      </c>
      <c r="F1035" s="56"/>
    </row>
    <row r="1036" spans="1:6" ht="15">
      <c r="A1036" s="51">
        <v>289882</v>
      </c>
      <c r="B1036" t="s">
        <v>882</v>
      </c>
      <c r="C1036" s="39" t="s">
        <v>437</v>
      </c>
      <c r="D1036" t="s">
        <v>4248</v>
      </c>
      <c r="F1036" s="56"/>
    </row>
    <row r="1037" spans="1:6" ht="15">
      <c r="A1037" s="51">
        <v>289883</v>
      </c>
      <c r="B1037" t="s">
        <v>1207</v>
      </c>
      <c r="C1037" s="39" t="s">
        <v>249</v>
      </c>
      <c r="D1037" t="s">
        <v>4247</v>
      </c>
      <c r="F1037" s="56"/>
    </row>
    <row r="1038" spans="1:6" ht="15">
      <c r="A1038" s="51">
        <v>289884</v>
      </c>
      <c r="B1038" t="s">
        <v>1208</v>
      </c>
      <c r="C1038" s="39" t="s">
        <v>249</v>
      </c>
      <c r="D1038" t="s">
        <v>4243</v>
      </c>
      <c r="F1038" s="56"/>
    </row>
    <row r="1039" spans="1:6" ht="15">
      <c r="A1039" s="51">
        <v>289885</v>
      </c>
      <c r="B1039" t="s">
        <v>1209</v>
      </c>
      <c r="C1039" s="39" t="s">
        <v>249</v>
      </c>
      <c r="D1039">
        <v>7</v>
      </c>
      <c r="F1039" s="56"/>
    </row>
    <row r="1040" spans="1:6" ht="15">
      <c r="A1040" s="51">
        <v>289886</v>
      </c>
      <c r="B1040" t="s">
        <v>1210</v>
      </c>
      <c r="C1040" s="39" t="s">
        <v>249</v>
      </c>
      <c r="D1040">
        <v>8</v>
      </c>
      <c r="F1040" s="56"/>
    </row>
    <row r="1041" spans="1:6" ht="15">
      <c r="A1041" s="51">
        <v>289887</v>
      </c>
      <c r="B1041" t="s">
        <v>1211</v>
      </c>
      <c r="C1041" s="39" t="s">
        <v>249</v>
      </c>
      <c r="D1041">
        <v>8</v>
      </c>
      <c r="F1041" s="56"/>
    </row>
    <row r="1042" spans="1:6" ht="15">
      <c r="A1042" s="51">
        <v>289888</v>
      </c>
      <c r="B1042" t="s">
        <v>257</v>
      </c>
      <c r="C1042" s="39" t="s">
        <v>258</v>
      </c>
      <c r="D1042">
        <v>9</v>
      </c>
      <c r="F1042" s="56"/>
    </row>
    <row r="1043" spans="1:6" ht="15">
      <c r="A1043" s="51">
        <v>289889</v>
      </c>
      <c r="B1043" t="s">
        <v>259</v>
      </c>
      <c r="C1043" s="39" t="s">
        <v>258</v>
      </c>
      <c r="D1043">
        <v>9</v>
      </c>
      <c r="F1043" s="56"/>
    </row>
    <row r="1044" spans="1:6" ht="15">
      <c r="A1044" s="51">
        <v>289890</v>
      </c>
      <c r="B1044" t="s">
        <v>260</v>
      </c>
      <c r="C1044" s="39" t="s">
        <v>261</v>
      </c>
      <c r="D1044" t="s">
        <v>4248</v>
      </c>
      <c r="F1044" s="56"/>
    </row>
    <row r="1045" spans="1:6" ht="15">
      <c r="A1045" s="51">
        <v>289891</v>
      </c>
      <c r="B1045" t="s">
        <v>262</v>
      </c>
      <c r="C1045" s="39" t="s">
        <v>261</v>
      </c>
      <c r="D1045" t="s">
        <v>4245</v>
      </c>
      <c r="F1045" s="56"/>
    </row>
    <row r="1046" spans="1:6" ht="15">
      <c r="A1046" s="51">
        <v>289892</v>
      </c>
      <c r="B1046" t="s">
        <v>447</v>
      </c>
      <c r="C1046" s="39" t="s">
        <v>261</v>
      </c>
      <c r="D1046" t="s">
        <v>4244</v>
      </c>
      <c r="F1046" s="56"/>
    </row>
    <row r="1047" spans="1:6" ht="15">
      <c r="A1047" s="51">
        <v>289893</v>
      </c>
      <c r="B1047" t="s">
        <v>449</v>
      </c>
      <c r="C1047" s="39" t="s">
        <v>450</v>
      </c>
      <c r="D1047">
        <v>9</v>
      </c>
      <c r="F1047" s="56"/>
    </row>
    <row r="1048" spans="1:6" ht="15">
      <c r="A1048" s="51">
        <v>289894</v>
      </c>
      <c r="B1048" t="s">
        <v>265</v>
      </c>
      <c r="C1048" s="39" t="s">
        <v>264</v>
      </c>
      <c r="D1048" t="s">
        <v>4245</v>
      </c>
      <c r="F1048" s="56"/>
    </row>
    <row r="1049" spans="1:6" ht="15">
      <c r="A1049" s="51">
        <v>289895</v>
      </c>
      <c r="B1049" t="s">
        <v>72</v>
      </c>
      <c r="C1049" s="39" t="s">
        <v>264</v>
      </c>
      <c r="D1049" t="s">
        <v>4244</v>
      </c>
      <c r="F1049" s="56"/>
    </row>
    <row r="1050" spans="1:6" ht="15">
      <c r="A1050" s="51">
        <v>289896</v>
      </c>
      <c r="B1050" t="s">
        <v>266</v>
      </c>
      <c r="C1050" s="39" t="s">
        <v>264</v>
      </c>
      <c r="D1050" t="s">
        <v>4243</v>
      </c>
      <c r="F1050" s="56"/>
    </row>
    <row r="1051" spans="1:6" ht="15">
      <c r="A1051" s="51">
        <v>289897</v>
      </c>
      <c r="B1051" t="s">
        <v>73</v>
      </c>
      <c r="C1051" s="39" t="s">
        <v>264</v>
      </c>
      <c r="D1051">
        <v>8</v>
      </c>
      <c r="F1051" s="56"/>
    </row>
    <row r="1052" spans="1:6" ht="15">
      <c r="A1052" s="51">
        <v>289898</v>
      </c>
      <c r="B1052" t="s">
        <v>267</v>
      </c>
      <c r="C1052" s="39" t="s">
        <v>264</v>
      </c>
      <c r="D1052">
        <v>9</v>
      </c>
      <c r="F1052" s="56"/>
    </row>
    <row r="1053" spans="1:6" ht="15">
      <c r="A1053" s="51">
        <v>289899</v>
      </c>
      <c r="B1053" t="s">
        <v>1212</v>
      </c>
      <c r="C1053" s="39" t="s">
        <v>264</v>
      </c>
      <c r="D1053" t="s">
        <v>4244</v>
      </c>
      <c r="F1053" s="56"/>
    </row>
    <row r="1054" spans="1:6" ht="15">
      <c r="A1054" s="51">
        <v>289900</v>
      </c>
      <c r="B1054" t="s">
        <v>273</v>
      </c>
      <c r="C1054" s="39" t="s">
        <v>274</v>
      </c>
      <c r="D1054" t="s">
        <v>4243</v>
      </c>
      <c r="F1054" s="56"/>
    </row>
    <row r="1055" spans="1:6" ht="15">
      <c r="A1055" s="51">
        <v>289901</v>
      </c>
      <c r="B1055" t="s">
        <v>74</v>
      </c>
      <c r="C1055" s="39" t="s">
        <v>274</v>
      </c>
      <c r="D1055" t="s">
        <v>4243</v>
      </c>
      <c r="F1055" s="56"/>
    </row>
    <row r="1056" spans="1:6" ht="15">
      <c r="A1056" s="51">
        <v>289902</v>
      </c>
      <c r="B1056" t="s">
        <v>75</v>
      </c>
      <c r="C1056" s="39" t="s">
        <v>274</v>
      </c>
      <c r="D1056">
        <v>7</v>
      </c>
      <c r="F1056" s="56"/>
    </row>
    <row r="1057" spans="1:6" ht="15">
      <c r="A1057" s="51">
        <v>289905</v>
      </c>
      <c r="B1057" t="s">
        <v>455</v>
      </c>
      <c r="C1057" s="39" t="s">
        <v>276</v>
      </c>
      <c r="D1057" t="s">
        <v>4244</v>
      </c>
      <c r="F1057" s="56"/>
    </row>
    <row r="1058" spans="1:6" ht="15">
      <c r="A1058" s="51">
        <v>289906</v>
      </c>
      <c r="B1058" t="s">
        <v>1213</v>
      </c>
      <c r="C1058" s="39" t="s">
        <v>283</v>
      </c>
      <c r="D1058">
        <v>8</v>
      </c>
      <c r="F1058" s="56"/>
    </row>
    <row r="1059" spans="1:6" ht="15">
      <c r="A1059" s="51">
        <v>289907</v>
      </c>
      <c r="B1059" t="s">
        <v>1214</v>
      </c>
      <c r="C1059" s="39" t="s">
        <v>835</v>
      </c>
      <c r="D1059">
        <v>9</v>
      </c>
      <c r="F1059" s="56"/>
    </row>
    <row r="1060" spans="1:6" ht="15">
      <c r="A1060" s="51">
        <v>289908</v>
      </c>
      <c r="B1060" t="s">
        <v>975</v>
      </c>
      <c r="C1060" s="39" t="s">
        <v>324</v>
      </c>
      <c r="D1060" t="s">
        <v>4243</v>
      </c>
      <c r="F1060" s="56"/>
    </row>
    <row r="1061" spans="1:6" ht="15">
      <c r="A1061" s="51">
        <v>289909</v>
      </c>
      <c r="B1061" t="s">
        <v>89</v>
      </c>
      <c r="C1061" s="39" t="s">
        <v>90</v>
      </c>
      <c r="D1061">
        <v>7</v>
      </c>
      <c r="F1061" s="56"/>
    </row>
    <row r="1062" spans="1:6" ht="15">
      <c r="A1062" s="51">
        <v>289910</v>
      </c>
      <c r="B1062" t="s">
        <v>340</v>
      </c>
      <c r="C1062" s="39" t="s">
        <v>108</v>
      </c>
      <c r="D1062" t="s">
        <v>4245</v>
      </c>
      <c r="F1062" s="56"/>
    </row>
    <row r="1063" spans="1:6" ht="15">
      <c r="A1063" s="51">
        <v>289912</v>
      </c>
      <c r="B1063" t="s">
        <v>109</v>
      </c>
      <c r="C1063" s="39" t="s">
        <v>651</v>
      </c>
      <c r="D1063">
        <v>7</v>
      </c>
      <c r="F1063" s="56"/>
    </row>
    <row r="1064" spans="1:6" ht="15">
      <c r="A1064" s="51">
        <v>289913</v>
      </c>
      <c r="B1064" t="s">
        <v>111</v>
      </c>
      <c r="C1064" s="39" t="s">
        <v>651</v>
      </c>
      <c r="D1064">
        <v>7</v>
      </c>
      <c r="F1064" s="56"/>
    </row>
    <row r="1065" spans="1:6" ht="15">
      <c r="A1065" s="51">
        <v>289914</v>
      </c>
      <c r="B1065" t="s">
        <v>112</v>
      </c>
      <c r="C1065" s="39" t="s">
        <v>651</v>
      </c>
      <c r="D1065">
        <v>8</v>
      </c>
      <c r="F1065" s="56"/>
    </row>
    <row r="1066" spans="1:6" ht="15">
      <c r="A1066" s="51">
        <v>289915</v>
      </c>
      <c r="B1066" t="s">
        <v>348</v>
      </c>
      <c r="C1066" s="39" t="s">
        <v>542</v>
      </c>
      <c r="D1066" t="s">
        <v>4245</v>
      </c>
      <c r="F1066" s="56"/>
    </row>
    <row r="1067" spans="1:6" ht="15">
      <c r="A1067" s="51">
        <v>289916</v>
      </c>
      <c r="B1067" t="s">
        <v>350</v>
      </c>
      <c r="C1067" s="39" t="s">
        <v>542</v>
      </c>
      <c r="D1067" t="s">
        <v>4246</v>
      </c>
      <c r="F1067" s="56"/>
    </row>
    <row r="1068" spans="1:6" ht="15">
      <c r="A1068" s="51">
        <v>289918</v>
      </c>
      <c r="B1068" t="s">
        <v>1177</v>
      </c>
      <c r="C1068" s="39" t="s">
        <v>1215</v>
      </c>
      <c r="D1068" t="s">
        <v>4244</v>
      </c>
      <c r="F1068" s="56"/>
    </row>
    <row r="1069" spans="1:6" ht="15">
      <c r="A1069" s="51">
        <v>289919</v>
      </c>
      <c r="B1069" t="s">
        <v>376</v>
      </c>
      <c r="C1069" s="39" t="s">
        <v>157</v>
      </c>
      <c r="D1069" t="s">
        <v>4245</v>
      </c>
      <c r="F1069" s="56"/>
    </row>
    <row r="1070" spans="1:6" ht="15">
      <c r="A1070" s="51">
        <v>289920</v>
      </c>
      <c r="B1070" t="s">
        <v>377</v>
      </c>
      <c r="C1070" s="39" t="s">
        <v>157</v>
      </c>
      <c r="D1070" t="s">
        <v>4245</v>
      </c>
      <c r="F1070" s="56"/>
    </row>
    <row r="1071" spans="1:6" ht="15">
      <c r="A1071" s="51">
        <v>289921</v>
      </c>
      <c r="B1071" t="s">
        <v>378</v>
      </c>
      <c r="C1071" s="39" t="s">
        <v>157</v>
      </c>
      <c r="D1071" t="s">
        <v>4244</v>
      </c>
      <c r="F1071" s="56"/>
    </row>
    <row r="1072" spans="1:6" ht="15">
      <c r="A1072" s="51">
        <v>289922</v>
      </c>
      <c r="B1072" t="s">
        <v>1216</v>
      </c>
      <c r="C1072" s="39" t="s">
        <v>157</v>
      </c>
      <c r="D1072" t="s">
        <v>4243</v>
      </c>
      <c r="F1072" s="56"/>
    </row>
    <row r="1073" spans="1:6" ht="15">
      <c r="A1073" s="51">
        <v>289923</v>
      </c>
      <c r="B1073" t="s">
        <v>154</v>
      </c>
      <c r="C1073" s="39" t="s">
        <v>157</v>
      </c>
      <c r="D1073">
        <v>9</v>
      </c>
      <c r="F1073" s="56"/>
    </row>
    <row r="1074" spans="1:6" ht="15">
      <c r="A1074" s="51">
        <v>289924</v>
      </c>
      <c r="B1074" t="s">
        <v>1217</v>
      </c>
      <c r="C1074" s="39" t="s">
        <v>380</v>
      </c>
      <c r="D1074" t="s">
        <v>4246</v>
      </c>
      <c r="F1074" s="56"/>
    </row>
    <row r="1075" spans="1:6" ht="15">
      <c r="A1075" s="51">
        <v>289925</v>
      </c>
      <c r="B1075" t="s">
        <v>1218</v>
      </c>
      <c r="C1075" s="39" t="s">
        <v>380</v>
      </c>
      <c r="D1075">
        <v>7</v>
      </c>
      <c r="F1075" s="56"/>
    </row>
    <row r="1076" spans="1:6" ht="15">
      <c r="A1076" s="51">
        <v>289926</v>
      </c>
      <c r="B1076" t="s">
        <v>1219</v>
      </c>
      <c r="C1076" s="39" t="s">
        <v>380</v>
      </c>
      <c r="D1076">
        <v>9</v>
      </c>
      <c r="F1076" s="56"/>
    </row>
    <row r="1077" spans="1:6" ht="15">
      <c r="A1077" s="51">
        <v>289927</v>
      </c>
      <c r="B1077" t="s">
        <v>1220</v>
      </c>
      <c r="C1077" s="39" t="s">
        <v>166</v>
      </c>
      <c r="D1077" t="s">
        <v>4245</v>
      </c>
      <c r="F1077" s="56"/>
    </row>
    <row r="1078" spans="1:6" ht="15">
      <c r="A1078" s="51">
        <v>289928</v>
      </c>
      <c r="B1078" t="s">
        <v>1221</v>
      </c>
      <c r="C1078" s="39" t="s">
        <v>166</v>
      </c>
      <c r="D1078" t="s">
        <v>4244</v>
      </c>
      <c r="F1078" s="56"/>
    </row>
    <row r="1079" spans="1:6" ht="15">
      <c r="A1079" s="51">
        <v>289929</v>
      </c>
      <c r="B1079" t="s">
        <v>1222</v>
      </c>
      <c r="C1079" s="39" t="s">
        <v>166</v>
      </c>
      <c r="D1079" t="s">
        <v>4243</v>
      </c>
      <c r="F1079" s="56"/>
    </row>
    <row r="1080" spans="1:6" ht="15">
      <c r="A1080" s="51">
        <v>289930</v>
      </c>
      <c r="B1080" t="s">
        <v>1063</v>
      </c>
      <c r="C1080" s="39" t="s">
        <v>390</v>
      </c>
      <c r="D1080" t="s">
        <v>4247</v>
      </c>
      <c r="F1080" s="56"/>
    </row>
    <row r="1081" spans="1:6" ht="15">
      <c r="A1081" s="51">
        <v>289931</v>
      </c>
      <c r="B1081" t="s">
        <v>1185</v>
      </c>
      <c r="C1081" s="39" t="s">
        <v>390</v>
      </c>
      <c r="D1081" t="s">
        <v>4243</v>
      </c>
      <c r="F1081" s="56"/>
    </row>
    <row r="1082" spans="1:6" ht="15">
      <c r="A1082" s="51">
        <v>289932</v>
      </c>
      <c r="B1082" t="s">
        <v>1223</v>
      </c>
      <c r="C1082" s="39" t="s">
        <v>390</v>
      </c>
      <c r="D1082">
        <v>7</v>
      </c>
      <c r="F1082" s="56"/>
    </row>
    <row r="1083" spans="1:6" ht="15">
      <c r="A1083" s="51">
        <v>289933</v>
      </c>
      <c r="B1083" t="s">
        <v>857</v>
      </c>
      <c r="C1083" s="39" t="s">
        <v>180</v>
      </c>
      <c r="D1083">
        <v>8</v>
      </c>
      <c r="F1083" s="56"/>
    </row>
    <row r="1084" spans="1:6" ht="15">
      <c r="A1084" s="51">
        <v>289934</v>
      </c>
      <c r="B1084" t="s">
        <v>1224</v>
      </c>
      <c r="C1084" s="39" t="s">
        <v>180</v>
      </c>
      <c r="D1084">
        <v>9</v>
      </c>
      <c r="F1084" s="56"/>
    </row>
    <row r="1085" spans="1:6" ht="15">
      <c r="A1085" s="51">
        <v>289935</v>
      </c>
      <c r="B1085" t="s">
        <v>393</v>
      </c>
      <c r="C1085" s="39" t="s">
        <v>394</v>
      </c>
      <c r="D1085">
        <v>7</v>
      </c>
      <c r="F1085" s="56"/>
    </row>
    <row r="1086" spans="1:6" ht="15">
      <c r="A1086" s="51">
        <v>289936</v>
      </c>
      <c r="B1086" t="s">
        <v>1071</v>
      </c>
      <c r="C1086" s="39" t="s">
        <v>862</v>
      </c>
      <c r="D1086">
        <v>9</v>
      </c>
      <c r="F1086" s="56"/>
    </row>
    <row r="1087" spans="1:6" ht="15">
      <c r="A1087" s="51">
        <v>289937</v>
      </c>
      <c r="B1087" t="s">
        <v>1186</v>
      </c>
      <c r="C1087" s="39" t="s">
        <v>192</v>
      </c>
      <c r="D1087" t="s">
        <v>4247</v>
      </c>
      <c r="F1087" s="56"/>
    </row>
    <row r="1088" spans="1:6" ht="15">
      <c r="A1088" s="51">
        <v>289938</v>
      </c>
      <c r="B1088" t="s">
        <v>1187</v>
      </c>
      <c r="C1088" s="39" t="s">
        <v>192</v>
      </c>
      <c r="D1088" t="s">
        <v>4243</v>
      </c>
      <c r="F1088" s="56"/>
    </row>
    <row r="1089" spans="1:6" ht="15">
      <c r="A1089" s="51">
        <v>289939</v>
      </c>
      <c r="B1089" t="s">
        <v>1188</v>
      </c>
      <c r="C1089" s="39" t="s">
        <v>192</v>
      </c>
      <c r="D1089">
        <v>7</v>
      </c>
      <c r="F1089" s="56"/>
    </row>
    <row r="1090" spans="1:6" ht="15">
      <c r="A1090" s="51">
        <v>289940</v>
      </c>
      <c r="B1090" t="s">
        <v>1189</v>
      </c>
      <c r="C1090" s="39" t="s">
        <v>402</v>
      </c>
      <c r="D1090" t="s">
        <v>4245</v>
      </c>
      <c r="F1090" s="56"/>
    </row>
    <row r="1091" spans="1:6" ht="15">
      <c r="A1091" s="51">
        <v>289941</v>
      </c>
      <c r="B1091" t="s">
        <v>1225</v>
      </c>
      <c r="C1091" s="39" t="s">
        <v>1226</v>
      </c>
      <c r="D1091" t="s">
        <v>4243</v>
      </c>
      <c r="F1091" s="56"/>
    </row>
    <row r="1092" spans="1:6" ht="15">
      <c r="A1092" s="51">
        <v>289942</v>
      </c>
      <c r="B1092" t="s">
        <v>967</v>
      </c>
      <c r="C1092" s="39" t="s">
        <v>1227</v>
      </c>
      <c r="D1092">
        <v>8</v>
      </c>
      <c r="F1092" s="56"/>
    </row>
    <row r="1093" spans="1:6" ht="15">
      <c r="A1093" s="51">
        <v>289943</v>
      </c>
      <c r="B1093" t="s">
        <v>1228</v>
      </c>
      <c r="C1093" s="39" t="s">
        <v>1107</v>
      </c>
      <c r="D1093" t="s">
        <v>4245</v>
      </c>
      <c r="F1093" s="56"/>
    </row>
    <row r="1094" spans="1:6" ht="15">
      <c r="A1094" s="51">
        <v>289944</v>
      </c>
      <c r="B1094" t="s">
        <v>234</v>
      </c>
      <c r="C1094" s="39" t="s">
        <v>235</v>
      </c>
      <c r="D1094" t="s">
        <v>4244</v>
      </c>
      <c r="F1094" s="56"/>
    </row>
    <row r="1095" spans="1:6" ht="15">
      <c r="A1095" s="51">
        <v>289945</v>
      </c>
      <c r="B1095" t="s">
        <v>236</v>
      </c>
      <c r="C1095" s="39" t="s">
        <v>235</v>
      </c>
      <c r="D1095" t="s">
        <v>4244</v>
      </c>
      <c r="F1095" s="56"/>
    </row>
    <row r="1096" spans="1:6" ht="15">
      <c r="A1096" s="51">
        <v>289946</v>
      </c>
      <c r="B1096" t="s">
        <v>1229</v>
      </c>
      <c r="C1096" s="39" t="s">
        <v>437</v>
      </c>
      <c r="D1096" t="s">
        <v>4248</v>
      </c>
      <c r="F1096" s="56"/>
    </row>
    <row r="1097" spans="1:6" ht="15">
      <c r="A1097" s="51">
        <v>289947</v>
      </c>
      <c r="B1097" t="s">
        <v>882</v>
      </c>
      <c r="C1097" s="39" t="s">
        <v>437</v>
      </c>
      <c r="D1097" t="s">
        <v>4248</v>
      </c>
      <c r="F1097" s="56"/>
    </row>
    <row r="1098" spans="1:6" ht="15">
      <c r="A1098" s="51">
        <v>289948</v>
      </c>
      <c r="B1098" t="s">
        <v>1230</v>
      </c>
      <c r="C1098" s="39" t="s">
        <v>437</v>
      </c>
      <c r="D1098" t="s">
        <v>4248</v>
      </c>
      <c r="F1098" s="56"/>
    </row>
    <row r="1099" spans="1:6" ht="15">
      <c r="A1099" s="51">
        <v>289949</v>
      </c>
      <c r="B1099" t="s">
        <v>438</v>
      </c>
      <c r="C1099" s="39" t="s">
        <v>884</v>
      </c>
      <c r="D1099">
        <v>7</v>
      </c>
      <c r="F1099" s="56"/>
    </row>
    <row r="1100" spans="1:6" ht="15">
      <c r="A1100" s="51">
        <v>289950</v>
      </c>
      <c r="B1100" t="s">
        <v>260</v>
      </c>
      <c r="C1100" s="39" t="s">
        <v>261</v>
      </c>
      <c r="D1100" t="s">
        <v>4248</v>
      </c>
      <c r="F1100" s="56"/>
    </row>
    <row r="1101" spans="1:6" ht="15">
      <c r="A1101" s="51">
        <v>289951</v>
      </c>
      <c r="B1101" t="s">
        <v>265</v>
      </c>
      <c r="C1101" s="39" t="s">
        <v>264</v>
      </c>
      <c r="D1101" t="s">
        <v>4245</v>
      </c>
      <c r="F1101" s="56"/>
    </row>
    <row r="1102" spans="1:6" ht="15">
      <c r="A1102" s="51">
        <v>289952</v>
      </c>
      <c r="B1102" t="s">
        <v>72</v>
      </c>
      <c r="C1102" s="39" t="s">
        <v>264</v>
      </c>
      <c r="D1102" t="s">
        <v>4244</v>
      </c>
      <c r="F1102" s="56"/>
    </row>
    <row r="1103" spans="1:6" ht="15">
      <c r="A1103" s="51">
        <v>289953</v>
      </c>
      <c r="B1103" t="s">
        <v>266</v>
      </c>
      <c r="C1103" s="39" t="s">
        <v>264</v>
      </c>
      <c r="D1103" t="s">
        <v>4243</v>
      </c>
      <c r="F1103" s="56"/>
    </row>
    <row r="1104" spans="1:6" ht="15">
      <c r="A1104" s="51">
        <v>289954</v>
      </c>
      <c r="B1104" t="s">
        <v>73</v>
      </c>
      <c r="C1104" s="39" t="s">
        <v>264</v>
      </c>
      <c r="D1104">
        <v>9</v>
      </c>
      <c r="F1104" s="56"/>
    </row>
    <row r="1105" spans="1:6" ht="15">
      <c r="A1105" s="51">
        <v>289955</v>
      </c>
      <c r="B1105" t="s">
        <v>74</v>
      </c>
      <c r="C1105" s="39" t="s">
        <v>274</v>
      </c>
      <c r="D1105" t="s">
        <v>4243</v>
      </c>
      <c r="F1105" s="56"/>
    </row>
    <row r="1106" spans="1:6" ht="15">
      <c r="A1106" s="51">
        <v>289956</v>
      </c>
      <c r="B1106" t="s">
        <v>75</v>
      </c>
      <c r="C1106" s="39" t="s">
        <v>274</v>
      </c>
      <c r="D1106">
        <v>7</v>
      </c>
      <c r="F1106" s="56"/>
    </row>
    <row r="1107" spans="1:6" ht="15">
      <c r="A1107" s="51">
        <v>289957</v>
      </c>
      <c r="B1107" t="s">
        <v>886</v>
      </c>
      <c r="C1107" s="39" t="s">
        <v>274</v>
      </c>
      <c r="D1107">
        <v>8</v>
      </c>
      <c r="F1107" s="56"/>
    </row>
    <row r="1108" spans="1:6" ht="15">
      <c r="A1108" s="51">
        <v>289960</v>
      </c>
      <c r="B1108" t="s">
        <v>1133</v>
      </c>
      <c r="C1108" s="39" t="s">
        <v>550</v>
      </c>
      <c r="D1108" t="s">
        <v>4244</v>
      </c>
      <c r="F1108" s="56"/>
    </row>
    <row r="1109" spans="1:6" ht="15">
      <c r="A1109" s="51">
        <v>289961</v>
      </c>
      <c r="B1109" t="s">
        <v>1135</v>
      </c>
      <c r="C1109" s="39" t="s">
        <v>550</v>
      </c>
      <c r="D1109" t="s">
        <v>4244</v>
      </c>
      <c r="F1109" s="56"/>
    </row>
    <row r="1110" spans="1:6" ht="15">
      <c r="A1110" s="51">
        <v>289962</v>
      </c>
      <c r="B1110" t="s">
        <v>1231</v>
      </c>
      <c r="C1110" s="39" t="s">
        <v>898</v>
      </c>
      <c r="D1110" t="s">
        <v>4246</v>
      </c>
      <c r="F1110" s="56"/>
    </row>
    <row r="1111" spans="1:6" ht="15">
      <c r="A1111" s="51">
        <v>289963</v>
      </c>
      <c r="B1111" t="s">
        <v>284</v>
      </c>
      <c r="C1111" s="39" t="s">
        <v>898</v>
      </c>
      <c r="D1111" t="s">
        <v>4247</v>
      </c>
      <c r="F1111" s="56"/>
    </row>
    <row r="1112" spans="1:6" ht="15">
      <c r="A1112" s="51">
        <v>289964</v>
      </c>
      <c r="B1112" t="s">
        <v>87</v>
      </c>
      <c r="C1112" s="39" t="s">
        <v>88</v>
      </c>
      <c r="D1112">
        <v>8</v>
      </c>
      <c r="F1112" s="56"/>
    </row>
    <row r="1113" spans="1:6" ht="15">
      <c r="A1113" s="51">
        <v>289965</v>
      </c>
      <c r="B1113" t="s">
        <v>975</v>
      </c>
      <c r="C1113" s="39" t="s">
        <v>536</v>
      </c>
      <c r="D1113" t="s">
        <v>4246</v>
      </c>
      <c r="F1113" s="56"/>
    </row>
    <row r="1114" spans="1:6" ht="15">
      <c r="A1114" s="51">
        <v>289966</v>
      </c>
      <c r="B1114" t="s">
        <v>325</v>
      </c>
      <c r="C1114" s="39" t="s">
        <v>324</v>
      </c>
      <c r="D1114" t="s">
        <v>4243</v>
      </c>
      <c r="F1114" s="56"/>
    </row>
    <row r="1115" spans="1:6" ht="15">
      <c r="A1115" s="51">
        <v>289967</v>
      </c>
      <c r="B1115" t="s">
        <v>1232</v>
      </c>
      <c r="C1115" s="39" t="s">
        <v>324</v>
      </c>
      <c r="D1115">
        <v>7</v>
      </c>
      <c r="F1115" s="56"/>
    </row>
    <row r="1116" spans="1:6" ht="15">
      <c r="A1116" s="51">
        <v>289968</v>
      </c>
      <c r="B1116" t="s">
        <v>89</v>
      </c>
      <c r="C1116" s="39" t="s">
        <v>90</v>
      </c>
      <c r="D1116">
        <v>7</v>
      </c>
      <c r="F1116" s="56"/>
    </row>
    <row r="1117" spans="1:6" ht="15">
      <c r="A1117" s="51">
        <v>289969</v>
      </c>
      <c r="B1117" t="s">
        <v>1233</v>
      </c>
      <c r="C1117" s="39" t="s">
        <v>92</v>
      </c>
      <c r="D1117" t="s">
        <v>4246</v>
      </c>
      <c r="F1117" s="56"/>
    </row>
    <row r="1118" spans="1:6" ht="15">
      <c r="A1118" s="51">
        <v>289970</v>
      </c>
      <c r="B1118" t="s">
        <v>1234</v>
      </c>
      <c r="C1118" s="39" t="s">
        <v>92</v>
      </c>
      <c r="D1118" t="s">
        <v>4244</v>
      </c>
      <c r="F1118" s="56"/>
    </row>
    <row r="1119" spans="1:6" ht="15">
      <c r="A1119" s="51">
        <v>289971</v>
      </c>
      <c r="B1119" t="s">
        <v>1235</v>
      </c>
      <c r="C1119" s="39" t="s">
        <v>92</v>
      </c>
      <c r="D1119" t="s">
        <v>4243</v>
      </c>
      <c r="F1119" s="56"/>
    </row>
    <row r="1120" spans="1:6" ht="15">
      <c r="A1120" s="51">
        <v>289972</v>
      </c>
      <c r="B1120" t="s">
        <v>334</v>
      </c>
      <c r="C1120" s="39" t="s">
        <v>1236</v>
      </c>
      <c r="D1120" t="s">
        <v>4246</v>
      </c>
      <c r="F1120" s="56"/>
    </row>
    <row r="1121" spans="1:6" ht="15">
      <c r="A1121" s="51">
        <v>289973</v>
      </c>
      <c r="B1121" t="s">
        <v>1237</v>
      </c>
      <c r="C1121" s="39" t="s">
        <v>1236</v>
      </c>
      <c r="D1121" t="s">
        <v>4244</v>
      </c>
      <c r="F1121" s="56"/>
    </row>
    <row r="1122" spans="1:6" ht="15">
      <c r="A1122" s="51">
        <v>289974</v>
      </c>
      <c r="B1122" t="s">
        <v>1238</v>
      </c>
      <c r="C1122" s="39" t="s">
        <v>1236</v>
      </c>
      <c r="D1122">
        <v>8</v>
      </c>
      <c r="F1122" s="56"/>
    </row>
    <row r="1123" spans="1:6" ht="15">
      <c r="A1123" s="51">
        <v>289975</v>
      </c>
      <c r="B1123" t="s">
        <v>338</v>
      </c>
      <c r="C1123" s="39" t="s">
        <v>99</v>
      </c>
      <c r="D1123">
        <v>7</v>
      </c>
      <c r="F1123" s="56"/>
    </row>
    <row r="1124" spans="1:6" ht="15">
      <c r="A1124" s="51">
        <v>289976</v>
      </c>
      <c r="B1124" t="s">
        <v>1239</v>
      </c>
      <c r="C1124" s="39" t="s">
        <v>571</v>
      </c>
      <c r="D1124" t="s">
        <v>4247</v>
      </c>
      <c r="F1124" s="56"/>
    </row>
    <row r="1125" spans="1:6" ht="15">
      <c r="A1125" s="51">
        <v>289977</v>
      </c>
      <c r="B1125" t="s">
        <v>1240</v>
      </c>
      <c r="C1125" s="39" t="s">
        <v>571</v>
      </c>
      <c r="D1125" t="s">
        <v>4243</v>
      </c>
      <c r="F1125" s="56"/>
    </row>
    <row r="1126" spans="1:6" ht="15">
      <c r="A1126" s="51">
        <v>289978</v>
      </c>
      <c r="B1126" t="s">
        <v>100</v>
      </c>
      <c r="C1126" s="39" t="s">
        <v>104</v>
      </c>
      <c r="D1126" t="s">
        <v>4243</v>
      </c>
      <c r="F1126" s="56"/>
    </row>
    <row r="1127" spans="1:6" ht="15">
      <c r="A1127" s="51">
        <v>289979</v>
      </c>
      <c r="B1127" t="s">
        <v>1241</v>
      </c>
      <c r="C1127" s="39" t="s">
        <v>106</v>
      </c>
      <c r="D1127" t="s">
        <v>4245</v>
      </c>
      <c r="F1127" s="56"/>
    </row>
    <row r="1128" spans="1:6" ht="15">
      <c r="A1128" s="51">
        <v>289980</v>
      </c>
      <c r="B1128" t="s">
        <v>1150</v>
      </c>
      <c r="C1128" s="39" t="s">
        <v>106</v>
      </c>
      <c r="D1128" t="s">
        <v>4245</v>
      </c>
      <c r="F1128" s="56"/>
    </row>
    <row r="1129" spans="1:6" ht="15">
      <c r="A1129" s="51">
        <v>289981</v>
      </c>
      <c r="B1129" t="s">
        <v>109</v>
      </c>
      <c r="C1129" s="39" t="s">
        <v>108</v>
      </c>
      <c r="D1129" t="s">
        <v>4245</v>
      </c>
      <c r="F1129" s="56"/>
    </row>
    <row r="1130" spans="1:6" ht="15">
      <c r="A1130" s="51">
        <v>289982</v>
      </c>
      <c r="B1130" t="s">
        <v>111</v>
      </c>
      <c r="C1130" s="39" t="s">
        <v>108</v>
      </c>
      <c r="D1130" t="s">
        <v>4245</v>
      </c>
      <c r="F1130" s="56"/>
    </row>
    <row r="1131" spans="1:6" ht="15">
      <c r="A1131" s="51">
        <v>289983</v>
      </c>
      <c r="B1131" t="s">
        <v>112</v>
      </c>
      <c r="C1131" s="39" t="s">
        <v>108</v>
      </c>
      <c r="D1131" t="s">
        <v>4244</v>
      </c>
      <c r="F1131" s="56"/>
    </row>
    <row r="1132" spans="1:6" ht="15">
      <c r="A1132" s="51">
        <v>289984</v>
      </c>
      <c r="B1132" t="s">
        <v>113</v>
      </c>
      <c r="C1132" s="39" t="s">
        <v>108</v>
      </c>
      <c r="D1132" t="s">
        <v>4243</v>
      </c>
      <c r="F1132" s="56"/>
    </row>
    <row r="1133" spans="1:6" ht="15">
      <c r="A1133" s="51">
        <v>289985</v>
      </c>
      <c r="B1133" t="s">
        <v>844</v>
      </c>
      <c r="C1133" s="39" t="s">
        <v>108</v>
      </c>
      <c r="D1133">
        <v>8</v>
      </c>
      <c r="F1133" s="56"/>
    </row>
    <row r="1134" spans="1:6" ht="15">
      <c r="A1134" s="51">
        <v>289986</v>
      </c>
      <c r="B1134" t="s">
        <v>1242</v>
      </c>
      <c r="C1134" s="39" t="s">
        <v>108</v>
      </c>
      <c r="D1134" t="s">
        <v>4245</v>
      </c>
      <c r="F1134" s="56"/>
    </row>
    <row r="1135" spans="1:6" ht="15">
      <c r="A1135" s="51">
        <v>289987</v>
      </c>
      <c r="B1135" t="s">
        <v>344</v>
      </c>
      <c r="C1135" s="39" t="s">
        <v>108</v>
      </c>
      <c r="D1135" t="s">
        <v>4245</v>
      </c>
      <c r="F1135" s="56"/>
    </row>
    <row r="1136" spans="1:6" ht="15">
      <c r="A1136" s="51">
        <v>289988</v>
      </c>
      <c r="B1136" t="s">
        <v>1243</v>
      </c>
      <c r="C1136" s="39" t="s">
        <v>117</v>
      </c>
      <c r="D1136">
        <v>7</v>
      </c>
      <c r="F1136" s="56"/>
    </row>
    <row r="1137" spans="1:6" ht="15">
      <c r="A1137" s="51">
        <v>289989</v>
      </c>
      <c r="B1137" t="s">
        <v>1244</v>
      </c>
      <c r="C1137" s="39" t="s">
        <v>117</v>
      </c>
      <c r="D1137">
        <v>8</v>
      </c>
      <c r="F1137" s="56"/>
    </row>
    <row r="1138" spans="1:6" ht="15">
      <c r="A1138" s="51">
        <v>289990</v>
      </c>
      <c r="B1138" t="s">
        <v>141</v>
      </c>
      <c r="C1138" s="39" t="s">
        <v>1245</v>
      </c>
      <c r="D1138" t="s">
        <v>4243</v>
      </c>
      <c r="F1138" s="56"/>
    </row>
    <row r="1139" spans="1:6" ht="15">
      <c r="A1139" s="51">
        <v>289991</v>
      </c>
      <c r="B1139" t="s">
        <v>1246</v>
      </c>
      <c r="C1139" s="39" t="s">
        <v>1245</v>
      </c>
      <c r="D1139">
        <v>7</v>
      </c>
      <c r="F1139" s="56"/>
    </row>
    <row r="1140" spans="1:6" ht="15">
      <c r="A1140" s="51">
        <v>289992</v>
      </c>
      <c r="B1140" t="s">
        <v>372</v>
      </c>
      <c r="C1140" s="39" t="s">
        <v>373</v>
      </c>
      <c r="D1140" t="s">
        <v>4248</v>
      </c>
      <c r="F1140" s="56"/>
    </row>
    <row r="1141" spans="1:6" ht="15">
      <c r="A1141" s="51">
        <v>289993</v>
      </c>
      <c r="B1141" t="s">
        <v>143</v>
      </c>
      <c r="C1141" s="39" t="s">
        <v>373</v>
      </c>
      <c r="D1141" t="s">
        <v>4248</v>
      </c>
      <c r="F1141" s="56"/>
    </row>
    <row r="1142" spans="1:6" ht="15">
      <c r="A1142" s="51">
        <v>289994</v>
      </c>
      <c r="B1142" t="s">
        <v>376</v>
      </c>
      <c r="C1142" s="39" t="s">
        <v>157</v>
      </c>
      <c r="D1142" t="s">
        <v>4245</v>
      </c>
      <c r="F1142" s="56"/>
    </row>
    <row r="1143" spans="1:6" ht="15">
      <c r="A1143" s="51">
        <v>289995</v>
      </c>
      <c r="B1143" t="s">
        <v>377</v>
      </c>
      <c r="C1143" s="39" t="s">
        <v>157</v>
      </c>
      <c r="D1143" t="s">
        <v>4245</v>
      </c>
      <c r="F1143" s="56"/>
    </row>
    <row r="1144" spans="1:6" ht="15">
      <c r="A1144" s="51">
        <v>289996</v>
      </c>
      <c r="B1144" t="s">
        <v>378</v>
      </c>
      <c r="C1144" s="39" t="s">
        <v>157</v>
      </c>
      <c r="D1144" t="s">
        <v>4244</v>
      </c>
      <c r="F1144" s="56"/>
    </row>
    <row r="1145" spans="1:6" ht="15">
      <c r="A1145" s="51">
        <v>289997</v>
      </c>
      <c r="B1145" t="s">
        <v>1216</v>
      </c>
      <c r="C1145" s="39" t="s">
        <v>157</v>
      </c>
      <c r="D1145" t="s">
        <v>4243</v>
      </c>
      <c r="F1145" s="56"/>
    </row>
    <row r="1146" spans="1:6" ht="15">
      <c r="A1146" s="51">
        <v>289998</v>
      </c>
      <c r="B1146" t="s">
        <v>154</v>
      </c>
      <c r="C1146" s="39" t="s">
        <v>157</v>
      </c>
      <c r="D1146">
        <v>8</v>
      </c>
      <c r="F1146" s="56"/>
    </row>
    <row r="1147" spans="1:6" ht="15">
      <c r="A1147" s="51">
        <v>289999</v>
      </c>
      <c r="B1147" t="s">
        <v>1247</v>
      </c>
      <c r="C1147" s="39" t="s">
        <v>157</v>
      </c>
      <c r="D1147" t="s">
        <v>4245</v>
      </c>
      <c r="F1147" s="56"/>
    </row>
    <row r="1148" spans="1:6" ht="15">
      <c r="A1148" s="51">
        <v>290000</v>
      </c>
      <c r="B1148" t="s">
        <v>1248</v>
      </c>
      <c r="C1148" s="39" t="s">
        <v>157</v>
      </c>
      <c r="D1148" t="s">
        <v>4245</v>
      </c>
      <c r="F1148" s="56"/>
    </row>
    <row r="1149" spans="1:6" ht="15">
      <c r="A1149" s="51">
        <v>290001</v>
      </c>
      <c r="B1149" t="s">
        <v>1249</v>
      </c>
      <c r="C1149" s="39" t="s">
        <v>157</v>
      </c>
      <c r="D1149" t="s">
        <v>4244</v>
      </c>
      <c r="F1149" s="56"/>
    </row>
    <row r="1150" spans="1:6" ht="15">
      <c r="A1150" s="51">
        <v>290002</v>
      </c>
      <c r="B1150" t="s">
        <v>160</v>
      </c>
      <c r="C1150" s="39" t="s">
        <v>161</v>
      </c>
      <c r="D1150" t="s">
        <v>4246</v>
      </c>
      <c r="F1150" s="56"/>
    </row>
    <row r="1151" spans="1:6" ht="15">
      <c r="A1151" s="51">
        <v>290003</v>
      </c>
      <c r="B1151" t="s">
        <v>162</v>
      </c>
      <c r="C1151" s="39" t="s">
        <v>161</v>
      </c>
      <c r="D1151" t="s">
        <v>4243</v>
      </c>
      <c r="F1151" s="56"/>
    </row>
    <row r="1152" spans="1:6" ht="15">
      <c r="A1152" s="51">
        <v>290004</v>
      </c>
      <c r="B1152" t="s">
        <v>163</v>
      </c>
      <c r="C1152" s="39" t="s">
        <v>161</v>
      </c>
      <c r="D1152">
        <v>7</v>
      </c>
      <c r="F1152" s="56"/>
    </row>
    <row r="1153" spans="1:6" ht="15">
      <c r="A1153" s="51">
        <v>290005</v>
      </c>
      <c r="B1153" t="s">
        <v>164</v>
      </c>
      <c r="C1153" s="39" t="s">
        <v>161</v>
      </c>
      <c r="D1153">
        <v>8</v>
      </c>
      <c r="F1153" s="56"/>
    </row>
    <row r="1154" spans="1:6" ht="15">
      <c r="A1154" s="51">
        <v>290006</v>
      </c>
      <c r="B1154" t="s">
        <v>1063</v>
      </c>
      <c r="C1154" s="39" t="s">
        <v>166</v>
      </c>
      <c r="D1154" t="s">
        <v>4245</v>
      </c>
      <c r="F1154" s="56"/>
    </row>
    <row r="1155" spans="1:6" ht="15">
      <c r="A1155" s="51">
        <v>290007</v>
      </c>
      <c r="B1155" t="s">
        <v>1185</v>
      </c>
      <c r="C1155" s="39" t="s">
        <v>166</v>
      </c>
      <c r="D1155" t="s">
        <v>4244</v>
      </c>
      <c r="F1155" s="56"/>
    </row>
    <row r="1156" spans="1:6" ht="15">
      <c r="A1156" s="51">
        <v>290008</v>
      </c>
      <c r="B1156" t="s">
        <v>1223</v>
      </c>
      <c r="C1156" s="39" t="s">
        <v>166</v>
      </c>
      <c r="D1156" t="s">
        <v>4243</v>
      </c>
      <c r="F1156" s="56"/>
    </row>
    <row r="1157" spans="1:6" ht="15">
      <c r="A1157" s="51">
        <v>290009</v>
      </c>
      <c r="B1157" t="s">
        <v>179</v>
      </c>
      <c r="C1157" s="39" t="s">
        <v>390</v>
      </c>
      <c r="D1157" t="s">
        <v>4247</v>
      </c>
      <c r="F1157" s="56"/>
    </row>
    <row r="1158" spans="1:6" ht="15">
      <c r="A1158" s="51">
        <v>290010</v>
      </c>
      <c r="B1158" t="s">
        <v>391</v>
      </c>
      <c r="C1158" s="39" t="s">
        <v>390</v>
      </c>
      <c r="D1158" t="s">
        <v>4243</v>
      </c>
      <c r="F1158" s="56"/>
    </row>
    <row r="1159" spans="1:6" ht="15">
      <c r="A1159" s="51">
        <v>290011</v>
      </c>
      <c r="B1159" t="s">
        <v>68</v>
      </c>
      <c r="C1159" s="39" t="s">
        <v>858</v>
      </c>
      <c r="D1159">
        <v>8</v>
      </c>
      <c r="F1159" s="56"/>
    </row>
    <row r="1160" spans="1:6" ht="15">
      <c r="A1160" s="51">
        <v>290012</v>
      </c>
      <c r="B1160" t="s">
        <v>859</v>
      </c>
      <c r="C1160" s="39" t="s">
        <v>858</v>
      </c>
      <c r="D1160">
        <v>9</v>
      </c>
      <c r="F1160" s="56"/>
    </row>
    <row r="1161" spans="1:6" ht="15">
      <c r="A1161" s="51">
        <v>290013</v>
      </c>
      <c r="B1161" t="s">
        <v>186</v>
      </c>
      <c r="C1161" s="39" t="s">
        <v>192</v>
      </c>
      <c r="D1161" t="s">
        <v>4247</v>
      </c>
      <c r="F1161" s="56"/>
    </row>
    <row r="1162" spans="1:6" ht="15">
      <c r="A1162" s="51">
        <v>290014</v>
      </c>
      <c r="B1162" t="s">
        <v>187</v>
      </c>
      <c r="C1162" s="39" t="s">
        <v>192</v>
      </c>
      <c r="D1162" t="s">
        <v>4243</v>
      </c>
      <c r="F1162" s="56"/>
    </row>
    <row r="1163" spans="1:6" ht="15">
      <c r="A1163" s="51">
        <v>290015</v>
      </c>
      <c r="B1163" t="s">
        <v>1250</v>
      </c>
      <c r="C1163" s="39" t="s">
        <v>192</v>
      </c>
      <c r="D1163">
        <v>7</v>
      </c>
      <c r="F1163" s="56"/>
    </row>
    <row r="1164" spans="1:6" ht="15">
      <c r="A1164" s="51">
        <v>290016</v>
      </c>
      <c r="B1164" t="s">
        <v>398</v>
      </c>
      <c r="C1164" s="39" t="s">
        <v>1251</v>
      </c>
      <c r="D1164">
        <v>8</v>
      </c>
      <c r="F1164" s="56"/>
    </row>
    <row r="1165" spans="1:6" ht="15">
      <c r="A1165" s="51">
        <v>290017</v>
      </c>
      <c r="B1165" t="s">
        <v>188</v>
      </c>
      <c r="C1165" s="39" t="s">
        <v>1252</v>
      </c>
      <c r="D1165">
        <v>8</v>
      </c>
      <c r="F1165" s="56"/>
    </row>
    <row r="1166" spans="1:6" ht="15">
      <c r="A1166" s="51">
        <v>290018</v>
      </c>
      <c r="B1166" t="s">
        <v>190</v>
      </c>
      <c r="C1166" s="39" t="s">
        <v>1252</v>
      </c>
      <c r="D1166">
        <v>8</v>
      </c>
      <c r="F1166" s="56"/>
    </row>
    <row r="1167" spans="1:6" ht="15">
      <c r="A1167" s="51">
        <v>290019</v>
      </c>
      <c r="B1167" t="s">
        <v>1253</v>
      </c>
      <c r="C1167" s="39" t="s">
        <v>200</v>
      </c>
      <c r="D1167" t="s">
        <v>4243</v>
      </c>
      <c r="F1167" s="56"/>
    </row>
    <row r="1168" spans="1:6" ht="15">
      <c r="A1168" s="51">
        <v>290020</v>
      </c>
      <c r="B1168" t="s">
        <v>199</v>
      </c>
      <c r="C1168" s="39" t="s">
        <v>200</v>
      </c>
      <c r="D1168" t="s">
        <v>4243</v>
      </c>
      <c r="F1168" s="56"/>
    </row>
    <row r="1169" spans="1:6" ht="15">
      <c r="A1169" s="51">
        <v>290021</v>
      </c>
      <c r="B1169" t="s">
        <v>201</v>
      </c>
      <c r="C1169" s="39" t="s">
        <v>200</v>
      </c>
      <c r="D1169">
        <v>7</v>
      </c>
      <c r="F1169" s="56"/>
    </row>
    <row r="1170" spans="1:6" ht="15">
      <c r="A1170" s="51">
        <v>290022</v>
      </c>
      <c r="B1170" t="s">
        <v>1254</v>
      </c>
      <c r="C1170" s="39" t="s">
        <v>417</v>
      </c>
      <c r="D1170" t="s">
        <v>4247</v>
      </c>
      <c r="F1170" s="56"/>
    </row>
    <row r="1171" spans="1:6" ht="15">
      <c r="A1171" s="51">
        <v>290023</v>
      </c>
      <c r="B1171" t="s">
        <v>1255</v>
      </c>
      <c r="C1171" s="39" t="s">
        <v>417</v>
      </c>
      <c r="D1171" t="s">
        <v>4243</v>
      </c>
      <c r="F1171" s="56"/>
    </row>
    <row r="1172" spans="1:6" ht="15">
      <c r="A1172" s="51">
        <v>290024</v>
      </c>
      <c r="B1172" t="s">
        <v>1256</v>
      </c>
      <c r="C1172" s="39" t="s">
        <v>218</v>
      </c>
      <c r="D1172">
        <v>8</v>
      </c>
      <c r="F1172" s="56"/>
    </row>
    <row r="1173" spans="1:6" ht="15">
      <c r="A1173" s="51">
        <v>290025</v>
      </c>
      <c r="B1173" t="s">
        <v>1257</v>
      </c>
      <c r="C1173" s="39" t="s">
        <v>218</v>
      </c>
      <c r="D1173">
        <v>8</v>
      </c>
      <c r="F1173" s="56"/>
    </row>
    <row r="1174" spans="1:6" ht="15">
      <c r="A1174" s="51">
        <v>290026</v>
      </c>
      <c r="B1174" t="s">
        <v>1258</v>
      </c>
      <c r="C1174" s="39" t="s">
        <v>218</v>
      </c>
      <c r="D1174">
        <v>8</v>
      </c>
      <c r="F1174" s="56"/>
    </row>
    <row r="1175" spans="1:6" ht="15">
      <c r="A1175" s="51">
        <v>290027</v>
      </c>
      <c r="B1175" t="s">
        <v>1228</v>
      </c>
      <c r="C1175" s="39" t="s">
        <v>1107</v>
      </c>
      <c r="D1175" t="s">
        <v>4245</v>
      </c>
      <c r="F1175" s="56"/>
    </row>
    <row r="1176" spans="1:6" ht="15">
      <c r="A1176" s="51">
        <v>290028</v>
      </c>
      <c r="B1176" t="s">
        <v>1259</v>
      </c>
      <c r="C1176" s="39" t="s">
        <v>1107</v>
      </c>
      <c r="D1176" t="s">
        <v>4245</v>
      </c>
      <c r="F1176" s="56"/>
    </row>
    <row r="1177" spans="1:6" ht="15">
      <c r="A1177" s="51">
        <v>290029</v>
      </c>
      <c r="B1177" t="s">
        <v>227</v>
      </c>
      <c r="C1177" s="39" t="s">
        <v>228</v>
      </c>
      <c r="D1177">
        <v>9</v>
      </c>
      <c r="F1177" s="56"/>
    </row>
    <row r="1178" spans="1:6" ht="15">
      <c r="A1178" s="51">
        <v>290030</v>
      </c>
      <c r="B1178" t="s">
        <v>229</v>
      </c>
      <c r="C1178" s="39" t="s">
        <v>228</v>
      </c>
      <c r="D1178">
        <v>9</v>
      </c>
      <c r="F1178" s="56"/>
    </row>
    <row r="1179" spans="1:6" ht="15">
      <c r="A1179" s="51">
        <v>290031</v>
      </c>
      <c r="B1179" t="s">
        <v>230</v>
      </c>
      <c r="C1179" s="39" t="s">
        <v>231</v>
      </c>
      <c r="D1179" t="s">
        <v>4244</v>
      </c>
      <c r="F1179" s="56"/>
    </row>
    <row r="1180" spans="1:6" ht="15">
      <c r="A1180" s="51">
        <v>290032</v>
      </c>
      <c r="B1180" t="s">
        <v>232</v>
      </c>
      <c r="C1180" s="39" t="s">
        <v>233</v>
      </c>
      <c r="D1180" t="s">
        <v>4244</v>
      </c>
      <c r="F1180" s="56"/>
    </row>
    <row r="1181" spans="1:6" ht="15">
      <c r="A1181" s="51">
        <v>290033</v>
      </c>
      <c r="B1181" t="s">
        <v>236</v>
      </c>
      <c r="C1181" s="39" t="s">
        <v>238</v>
      </c>
      <c r="D1181" t="s">
        <v>4247</v>
      </c>
      <c r="F1181" s="56"/>
    </row>
    <row r="1182" spans="1:6" ht="15">
      <c r="A1182" s="51">
        <v>290034</v>
      </c>
      <c r="B1182" t="s">
        <v>1260</v>
      </c>
      <c r="C1182" s="39" t="s">
        <v>238</v>
      </c>
      <c r="D1182" t="s">
        <v>4243</v>
      </c>
      <c r="F1182" s="56"/>
    </row>
    <row r="1183" spans="1:6" ht="15">
      <c r="A1183" s="51">
        <v>290035</v>
      </c>
      <c r="B1183" t="s">
        <v>240</v>
      </c>
      <c r="C1183" s="39" t="s">
        <v>241</v>
      </c>
      <c r="D1183" t="s">
        <v>4249</v>
      </c>
      <c r="F1183" s="56"/>
    </row>
    <row r="1184" spans="1:6" ht="15">
      <c r="A1184" s="51">
        <v>290036</v>
      </c>
      <c r="B1184" t="s">
        <v>242</v>
      </c>
      <c r="C1184" s="39" t="s">
        <v>243</v>
      </c>
      <c r="D1184" t="s">
        <v>4245</v>
      </c>
      <c r="F1184" s="56"/>
    </row>
    <row r="1185" spans="1:6" ht="15">
      <c r="A1185" s="51">
        <v>290037</v>
      </c>
      <c r="B1185" t="s">
        <v>245</v>
      </c>
      <c r="C1185" s="39" t="s">
        <v>243</v>
      </c>
      <c r="D1185" t="s">
        <v>4247</v>
      </c>
      <c r="F1185" s="56"/>
    </row>
    <row r="1186" spans="1:6" ht="15">
      <c r="A1186" s="51">
        <v>290038</v>
      </c>
      <c r="B1186" t="s">
        <v>432</v>
      </c>
      <c r="C1186" s="39" t="s">
        <v>433</v>
      </c>
      <c r="D1186" t="s">
        <v>4245</v>
      </c>
      <c r="F1186" s="56"/>
    </row>
    <row r="1187" spans="1:6" ht="15">
      <c r="A1187" s="51">
        <v>290039</v>
      </c>
      <c r="B1187" t="s">
        <v>1230</v>
      </c>
      <c r="C1187" s="39" t="s">
        <v>433</v>
      </c>
      <c r="D1187" t="s">
        <v>4244</v>
      </c>
      <c r="F1187" s="56"/>
    </row>
    <row r="1188" spans="1:6" ht="15">
      <c r="A1188" s="51">
        <v>290040</v>
      </c>
      <c r="B1188" t="s">
        <v>1261</v>
      </c>
      <c r="C1188" s="39" t="s">
        <v>1262</v>
      </c>
      <c r="D1188" t="s">
        <v>4245</v>
      </c>
      <c r="F1188" s="56"/>
    </row>
    <row r="1189" spans="1:6" ht="15">
      <c r="A1189" s="51">
        <v>290041</v>
      </c>
      <c r="B1189" t="s">
        <v>1263</v>
      </c>
      <c r="C1189" s="39" t="s">
        <v>884</v>
      </c>
      <c r="D1189">
        <v>7</v>
      </c>
      <c r="F1189" s="56"/>
    </row>
    <row r="1190" spans="1:6" ht="15">
      <c r="A1190" s="51">
        <v>290042</v>
      </c>
      <c r="B1190" t="s">
        <v>257</v>
      </c>
      <c r="C1190" s="39" t="s">
        <v>1264</v>
      </c>
      <c r="D1190">
        <v>9</v>
      </c>
      <c r="F1190" s="56"/>
    </row>
    <row r="1191" spans="1:6" ht="15">
      <c r="A1191" s="51">
        <v>290043</v>
      </c>
      <c r="B1191" t="s">
        <v>259</v>
      </c>
      <c r="C1191" s="39" t="s">
        <v>258</v>
      </c>
      <c r="D1191">
        <v>9</v>
      </c>
      <c r="F1191" s="56"/>
    </row>
    <row r="1192" spans="1:6" ht="15">
      <c r="A1192" s="51">
        <v>290044</v>
      </c>
      <c r="B1192" t="s">
        <v>260</v>
      </c>
      <c r="C1192" s="39" t="s">
        <v>261</v>
      </c>
      <c r="D1192" t="s">
        <v>4248</v>
      </c>
      <c r="F1192" s="56"/>
    </row>
    <row r="1193" spans="1:6" ht="15">
      <c r="A1193" s="51">
        <v>290045</v>
      </c>
      <c r="B1193" t="s">
        <v>262</v>
      </c>
      <c r="C1193" s="39" t="s">
        <v>261</v>
      </c>
      <c r="D1193" t="s">
        <v>4245</v>
      </c>
      <c r="F1193" s="56"/>
    </row>
    <row r="1194" spans="1:6" ht="15">
      <c r="A1194" s="51">
        <v>290046</v>
      </c>
      <c r="B1194" t="s">
        <v>265</v>
      </c>
      <c r="C1194" s="39" t="s">
        <v>264</v>
      </c>
      <c r="D1194" t="s">
        <v>4245</v>
      </c>
      <c r="F1194" s="56"/>
    </row>
    <row r="1195" spans="1:6" ht="15">
      <c r="A1195" s="51">
        <v>290047</v>
      </c>
      <c r="B1195" t="s">
        <v>72</v>
      </c>
      <c r="C1195" s="39" t="s">
        <v>264</v>
      </c>
      <c r="D1195" t="s">
        <v>4244</v>
      </c>
      <c r="F1195" s="56"/>
    </row>
    <row r="1196" spans="1:6" ht="15">
      <c r="A1196" s="51">
        <v>290048</v>
      </c>
      <c r="B1196" t="s">
        <v>266</v>
      </c>
      <c r="C1196" s="39" t="s">
        <v>264</v>
      </c>
      <c r="D1196" t="s">
        <v>4243</v>
      </c>
      <c r="F1196" s="56"/>
    </row>
    <row r="1197" spans="1:6" ht="15">
      <c r="A1197" s="51">
        <v>290049</v>
      </c>
      <c r="B1197" t="s">
        <v>73</v>
      </c>
      <c r="C1197" s="39" t="s">
        <v>264</v>
      </c>
      <c r="D1197">
        <v>8</v>
      </c>
      <c r="F1197" s="56"/>
    </row>
    <row r="1198" spans="1:6" ht="15">
      <c r="A1198" s="51">
        <v>290050</v>
      </c>
      <c r="B1198" t="s">
        <v>267</v>
      </c>
      <c r="C1198" s="39" t="s">
        <v>264</v>
      </c>
      <c r="D1198">
        <v>9</v>
      </c>
      <c r="F1198" s="56"/>
    </row>
    <row r="1199" spans="1:6" ht="15">
      <c r="A1199" s="51">
        <v>290051</v>
      </c>
      <c r="B1199" t="s">
        <v>273</v>
      </c>
      <c r="C1199" s="39" t="s">
        <v>274</v>
      </c>
      <c r="D1199" t="s">
        <v>4243</v>
      </c>
      <c r="F1199" s="56"/>
    </row>
    <row r="1200" spans="1:6" ht="15">
      <c r="A1200" s="51">
        <v>290052</v>
      </c>
      <c r="B1200" t="s">
        <v>74</v>
      </c>
      <c r="C1200" s="39" t="s">
        <v>274</v>
      </c>
      <c r="D1200" t="s">
        <v>4243</v>
      </c>
      <c r="F1200" s="56"/>
    </row>
    <row r="1201" spans="1:6" ht="15">
      <c r="A1201" s="51">
        <v>290053</v>
      </c>
      <c r="B1201" t="s">
        <v>75</v>
      </c>
      <c r="C1201" s="39" t="s">
        <v>274</v>
      </c>
      <c r="D1201">
        <v>7</v>
      </c>
      <c r="F1201" s="56"/>
    </row>
    <row r="1202" spans="1:6" ht="15">
      <c r="A1202" s="51">
        <v>290054</v>
      </c>
      <c r="B1202" t="s">
        <v>1265</v>
      </c>
      <c r="C1202" s="39" t="s">
        <v>615</v>
      </c>
      <c r="D1202">
        <v>8</v>
      </c>
      <c r="F1202" s="56"/>
    </row>
    <row r="1203" spans="1:6" ht="15">
      <c r="A1203" s="51">
        <v>290056</v>
      </c>
      <c r="B1203" t="s">
        <v>455</v>
      </c>
      <c r="C1203" s="39" t="s">
        <v>283</v>
      </c>
      <c r="D1203">
        <v>8</v>
      </c>
      <c r="F1203" s="56"/>
    </row>
    <row r="1204" spans="1:6" ht="15">
      <c r="A1204" s="51">
        <v>290057</v>
      </c>
      <c r="B1204" t="s">
        <v>279</v>
      </c>
      <c r="C1204" s="39" t="s">
        <v>285</v>
      </c>
      <c r="D1204" t="s">
        <v>4247</v>
      </c>
      <c r="F1204" s="56"/>
    </row>
    <row r="1205" spans="1:6" ht="15">
      <c r="A1205" s="51">
        <v>290058</v>
      </c>
      <c r="B1205" t="s">
        <v>280</v>
      </c>
      <c r="C1205" s="39" t="s">
        <v>285</v>
      </c>
      <c r="D1205" t="s">
        <v>4243</v>
      </c>
      <c r="F1205" s="56"/>
    </row>
    <row r="1206" spans="1:6" ht="15">
      <c r="A1206" s="51">
        <v>3118055</v>
      </c>
      <c r="B1206" t="s">
        <v>1266</v>
      </c>
      <c r="C1206" s="39" t="s">
        <v>1267</v>
      </c>
      <c r="D1206" t="s">
        <v>4249</v>
      </c>
      <c r="F1206" s="56"/>
    </row>
    <row r="1207" spans="1:6" ht="15">
      <c r="A1207" s="51">
        <v>290060</v>
      </c>
      <c r="B1207">
        <v>15</v>
      </c>
      <c r="C1207" s="39" t="s">
        <v>1268</v>
      </c>
      <c r="D1207" t="s">
        <v>4243</v>
      </c>
      <c r="F1207" s="56"/>
    </row>
    <row r="1208" spans="1:6" ht="15">
      <c r="A1208" s="51">
        <v>290061</v>
      </c>
      <c r="B1208">
        <v>17</v>
      </c>
      <c r="C1208" s="39" t="s">
        <v>1269</v>
      </c>
      <c r="D1208">
        <v>8</v>
      </c>
      <c r="F1208" s="56"/>
    </row>
    <row r="1209" spans="1:6" ht="15">
      <c r="A1209" s="51">
        <v>3118056</v>
      </c>
      <c r="B1209" t="s">
        <v>1270</v>
      </c>
      <c r="C1209" s="39" t="s">
        <v>1271</v>
      </c>
      <c r="D1209">
        <v>8</v>
      </c>
      <c r="F1209" s="56"/>
    </row>
    <row r="1210" spans="1:6" ht="15">
      <c r="A1210" s="51">
        <v>290062</v>
      </c>
      <c r="B1210">
        <v>367</v>
      </c>
      <c r="C1210" s="39" t="s">
        <v>1272</v>
      </c>
      <c r="D1210">
        <v>8</v>
      </c>
      <c r="F1210" s="56"/>
    </row>
    <row r="1211" spans="1:6" ht="15">
      <c r="A1211" s="51">
        <v>290063</v>
      </c>
      <c r="B1211" t="s">
        <v>1273</v>
      </c>
      <c r="C1211" s="39" t="s">
        <v>1274</v>
      </c>
      <c r="D1211">
        <v>7</v>
      </c>
      <c r="F1211" s="56"/>
    </row>
    <row r="1212" spans="1:6" ht="15">
      <c r="A1212" s="51">
        <v>290064</v>
      </c>
      <c r="B1212" t="s">
        <v>1275</v>
      </c>
      <c r="C1212" s="39" t="s">
        <v>1274</v>
      </c>
      <c r="D1212">
        <v>9</v>
      </c>
      <c r="F1212" s="56"/>
    </row>
    <row r="1213" spans="1:6" ht="15">
      <c r="A1213" s="51">
        <v>3118057</v>
      </c>
      <c r="B1213" t="s">
        <v>1276</v>
      </c>
      <c r="C1213" s="39" t="s">
        <v>1277</v>
      </c>
      <c r="D1213">
        <v>8</v>
      </c>
      <c r="F1213" s="56"/>
    </row>
    <row r="1214" spans="1:6" ht="15">
      <c r="A1214" s="51">
        <v>3118058</v>
      </c>
      <c r="B1214" t="s">
        <v>1278</v>
      </c>
      <c r="C1214" s="39" t="s">
        <v>1279</v>
      </c>
      <c r="D1214">
        <v>9</v>
      </c>
      <c r="F1214" s="56"/>
    </row>
    <row r="1215" spans="1:6" ht="15">
      <c r="A1215" s="51">
        <v>290065</v>
      </c>
      <c r="B1215" t="s">
        <v>1280</v>
      </c>
      <c r="C1215" s="39" t="s">
        <v>1281</v>
      </c>
      <c r="D1215">
        <v>9</v>
      </c>
      <c r="F1215" s="56"/>
    </row>
    <row r="1216" spans="1:6" ht="15">
      <c r="A1216" s="51">
        <v>290066</v>
      </c>
      <c r="B1216" t="s">
        <v>1282</v>
      </c>
      <c r="C1216" s="39" t="s">
        <v>1281</v>
      </c>
      <c r="D1216">
        <v>9</v>
      </c>
      <c r="F1216" s="56"/>
    </row>
    <row r="1217" spans="1:6" ht="15">
      <c r="A1217" s="51">
        <v>290067</v>
      </c>
      <c r="B1217" t="s">
        <v>1283</v>
      </c>
      <c r="C1217" s="39" t="s">
        <v>1284</v>
      </c>
      <c r="D1217">
        <v>9</v>
      </c>
      <c r="F1217" s="56"/>
    </row>
    <row r="1218" spans="1:6" ht="15">
      <c r="A1218" s="51">
        <v>290068</v>
      </c>
      <c r="B1218" t="s">
        <v>1285</v>
      </c>
      <c r="C1218" s="39" t="s">
        <v>1286</v>
      </c>
      <c r="D1218">
        <v>9</v>
      </c>
      <c r="F1218" s="56"/>
    </row>
    <row r="1219" spans="1:6" ht="15">
      <c r="A1219" s="51">
        <v>290069</v>
      </c>
      <c r="B1219" t="s">
        <v>1287</v>
      </c>
      <c r="C1219" s="39" t="s">
        <v>1288</v>
      </c>
      <c r="D1219">
        <v>8</v>
      </c>
      <c r="F1219" s="56"/>
    </row>
    <row r="1220" spans="1:6" ht="15">
      <c r="A1220" s="51">
        <v>290070</v>
      </c>
      <c r="B1220" t="s">
        <v>1289</v>
      </c>
      <c r="C1220" s="39" t="s">
        <v>1290</v>
      </c>
      <c r="D1220">
        <v>9</v>
      </c>
      <c r="F1220" s="56"/>
    </row>
    <row r="1221" spans="1:6" ht="15">
      <c r="A1221" s="51">
        <v>290071</v>
      </c>
      <c r="B1221" t="s">
        <v>1291</v>
      </c>
      <c r="C1221" s="39" t="s">
        <v>1290</v>
      </c>
      <c r="D1221">
        <v>9</v>
      </c>
      <c r="F1221" s="56"/>
    </row>
    <row r="1222" spans="1:6" ht="15">
      <c r="A1222" s="51">
        <v>290072</v>
      </c>
      <c r="B1222" t="s">
        <v>1292</v>
      </c>
      <c r="C1222" s="39" t="s">
        <v>1293</v>
      </c>
      <c r="D1222">
        <v>9</v>
      </c>
      <c r="F1222" s="56"/>
    </row>
    <row r="1223" spans="1:6" ht="15">
      <c r="A1223" s="51">
        <v>3118059</v>
      </c>
      <c r="B1223" t="s">
        <v>1294</v>
      </c>
      <c r="C1223" s="39" t="s">
        <v>1295</v>
      </c>
      <c r="D1223">
        <v>9</v>
      </c>
      <c r="F1223" s="56"/>
    </row>
    <row r="1224" spans="1:6" ht="15">
      <c r="A1224" s="51">
        <v>290073</v>
      </c>
      <c r="B1224" t="s">
        <v>1296</v>
      </c>
      <c r="C1224" s="39" t="s">
        <v>1297</v>
      </c>
      <c r="D1224">
        <v>9</v>
      </c>
      <c r="F1224" s="56"/>
    </row>
    <row r="1225" spans="1:6" ht="15">
      <c r="A1225" s="51">
        <v>290074</v>
      </c>
      <c r="B1225" t="s">
        <v>1298</v>
      </c>
      <c r="C1225" s="39" t="s">
        <v>1299</v>
      </c>
      <c r="D1225">
        <v>9</v>
      </c>
      <c r="F1225" s="56"/>
    </row>
    <row r="1226" spans="1:6" ht="15">
      <c r="A1226" s="51">
        <v>290075</v>
      </c>
      <c r="B1226" t="s">
        <v>1300</v>
      </c>
      <c r="C1226" s="39" t="s">
        <v>1301</v>
      </c>
      <c r="D1226">
        <v>9</v>
      </c>
      <c r="F1226" s="56"/>
    </row>
    <row r="1227" spans="1:6" ht="15">
      <c r="A1227" s="51">
        <v>290076</v>
      </c>
      <c r="B1227" t="s">
        <v>1302</v>
      </c>
      <c r="C1227" s="39" t="s">
        <v>1301</v>
      </c>
      <c r="D1227">
        <v>9</v>
      </c>
      <c r="F1227" s="56"/>
    </row>
    <row r="1228" spans="1:6" ht="15">
      <c r="A1228" s="51">
        <v>290077</v>
      </c>
      <c r="B1228" t="s">
        <v>1303</v>
      </c>
      <c r="C1228" s="39" t="s">
        <v>1304</v>
      </c>
      <c r="D1228">
        <v>9</v>
      </c>
      <c r="F1228" s="56"/>
    </row>
    <row r="1229" spans="1:6" ht="15">
      <c r="A1229" s="51">
        <v>290078</v>
      </c>
      <c r="B1229" t="s">
        <v>1305</v>
      </c>
      <c r="C1229" s="39" t="s">
        <v>1306</v>
      </c>
      <c r="D1229">
        <v>9</v>
      </c>
      <c r="F1229" s="56"/>
    </row>
    <row r="1230" spans="1:6" ht="15">
      <c r="A1230" s="51">
        <v>290079</v>
      </c>
      <c r="B1230" t="s">
        <v>1307</v>
      </c>
      <c r="C1230" s="39" t="s">
        <v>1308</v>
      </c>
      <c r="D1230">
        <v>9</v>
      </c>
      <c r="F1230" s="56"/>
    </row>
    <row r="1231" spans="1:6" ht="15">
      <c r="A1231" s="51">
        <v>290080</v>
      </c>
      <c r="B1231" t="s">
        <v>1309</v>
      </c>
      <c r="C1231" s="39" t="s">
        <v>1308</v>
      </c>
      <c r="D1231">
        <v>9</v>
      </c>
      <c r="F1231" s="56"/>
    </row>
    <row r="1232" spans="1:6" ht="15">
      <c r="A1232" s="51">
        <v>290081</v>
      </c>
      <c r="B1232" t="s">
        <v>1310</v>
      </c>
      <c r="C1232" s="39" t="s">
        <v>1308</v>
      </c>
      <c r="D1232">
        <v>9</v>
      </c>
      <c r="F1232" s="56"/>
    </row>
    <row r="1233" spans="1:6" ht="15">
      <c r="A1233" s="51">
        <v>290082</v>
      </c>
      <c r="B1233" t="s">
        <v>1311</v>
      </c>
      <c r="C1233" s="39" t="s">
        <v>1312</v>
      </c>
      <c r="D1233">
        <v>9</v>
      </c>
      <c r="F1233" s="56"/>
    </row>
    <row r="1234" spans="1:6" ht="15">
      <c r="A1234" s="51">
        <v>290083</v>
      </c>
      <c r="B1234" t="s">
        <v>1313</v>
      </c>
      <c r="C1234" s="39" t="s">
        <v>1314</v>
      </c>
      <c r="D1234">
        <v>9</v>
      </c>
      <c r="F1234" s="56"/>
    </row>
    <row r="1235" spans="1:6" ht="15">
      <c r="A1235" s="51">
        <v>290084</v>
      </c>
      <c r="B1235" t="s">
        <v>1315</v>
      </c>
      <c r="C1235" s="39" t="s">
        <v>1316</v>
      </c>
      <c r="D1235">
        <v>9</v>
      </c>
      <c r="F1235" s="56"/>
    </row>
    <row r="1236" spans="1:6" ht="15">
      <c r="A1236" s="51">
        <v>290085</v>
      </c>
      <c r="B1236" t="s">
        <v>1317</v>
      </c>
      <c r="C1236" s="39" t="s">
        <v>1318</v>
      </c>
      <c r="D1236">
        <v>9</v>
      </c>
      <c r="F1236" s="56"/>
    </row>
    <row r="1237" spans="1:6" ht="15">
      <c r="A1237" s="51">
        <v>290086</v>
      </c>
      <c r="B1237" t="s">
        <v>1319</v>
      </c>
      <c r="C1237" s="39" t="s">
        <v>1320</v>
      </c>
      <c r="D1237">
        <v>9</v>
      </c>
      <c r="F1237" s="56"/>
    </row>
    <row r="1238" spans="1:6" ht="15">
      <c r="A1238" s="51">
        <v>290087</v>
      </c>
      <c r="B1238" t="s">
        <v>1321</v>
      </c>
      <c r="C1238" s="39" t="s">
        <v>1320</v>
      </c>
      <c r="D1238">
        <v>9</v>
      </c>
      <c r="F1238" s="56"/>
    </row>
    <row r="1239" spans="1:6" ht="15">
      <c r="A1239" s="51">
        <v>290088</v>
      </c>
      <c r="B1239" t="s">
        <v>1322</v>
      </c>
      <c r="C1239" s="39" t="s">
        <v>1320</v>
      </c>
      <c r="D1239">
        <v>9</v>
      </c>
      <c r="F1239" s="56"/>
    </row>
    <row r="1240" spans="1:6" ht="15">
      <c r="A1240" s="51">
        <v>290089</v>
      </c>
      <c r="B1240" t="s">
        <v>1323</v>
      </c>
      <c r="C1240" s="39" t="s">
        <v>1324</v>
      </c>
      <c r="D1240">
        <v>9</v>
      </c>
      <c r="F1240" s="56"/>
    </row>
    <row r="1241" spans="1:6" ht="15">
      <c r="A1241" s="51">
        <v>3118062</v>
      </c>
      <c r="B1241" t="s">
        <v>1325</v>
      </c>
      <c r="C1241" s="39" t="s">
        <v>1326</v>
      </c>
      <c r="D1241">
        <v>9</v>
      </c>
      <c r="F1241" s="56"/>
    </row>
    <row r="1242" spans="1:6" ht="15">
      <c r="A1242" s="51">
        <v>290090</v>
      </c>
      <c r="B1242" t="s">
        <v>1327</v>
      </c>
      <c r="C1242" s="39" t="s">
        <v>1328</v>
      </c>
      <c r="D1242">
        <v>9</v>
      </c>
      <c r="F1242" s="56"/>
    </row>
    <row r="1243" spans="1:6" ht="15">
      <c r="A1243" s="51">
        <v>3118064</v>
      </c>
      <c r="B1243" t="s">
        <v>1329</v>
      </c>
      <c r="C1243" s="39" t="s">
        <v>1330</v>
      </c>
      <c r="D1243">
        <v>9</v>
      </c>
      <c r="F1243" s="56"/>
    </row>
    <row r="1244" spans="1:6" ht="15">
      <c r="A1244" s="51">
        <v>290091</v>
      </c>
      <c r="B1244" t="s">
        <v>1331</v>
      </c>
      <c r="C1244" s="39" t="s">
        <v>1332</v>
      </c>
      <c r="D1244">
        <v>9</v>
      </c>
      <c r="F1244" s="56"/>
    </row>
    <row r="1245" spans="1:6" ht="15">
      <c r="A1245" s="51">
        <v>290092</v>
      </c>
      <c r="B1245" t="s">
        <v>1333</v>
      </c>
      <c r="C1245" s="39" t="s">
        <v>1334</v>
      </c>
      <c r="D1245">
        <v>9</v>
      </c>
      <c r="F1245" s="56"/>
    </row>
    <row r="1246" spans="1:6" ht="15">
      <c r="A1246" s="51">
        <v>290093</v>
      </c>
      <c r="B1246" t="s">
        <v>1335</v>
      </c>
      <c r="C1246" s="39" t="s">
        <v>1336</v>
      </c>
      <c r="D1246">
        <v>9</v>
      </c>
      <c r="F1246" s="56"/>
    </row>
    <row r="1247" spans="1:6" ht="15">
      <c r="A1247" s="51">
        <v>290094</v>
      </c>
      <c r="B1247" t="s">
        <v>1337</v>
      </c>
      <c r="C1247" s="39" t="s">
        <v>1338</v>
      </c>
      <c r="D1247" t="s">
        <v>4244</v>
      </c>
      <c r="F1247" s="56"/>
    </row>
    <row r="1248" spans="1:6" ht="15">
      <c r="A1248" s="51">
        <v>290095</v>
      </c>
      <c r="B1248" t="s">
        <v>1339</v>
      </c>
      <c r="C1248" s="39" t="s">
        <v>1338</v>
      </c>
      <c r="D1248" t="s">
        <v>4244</v>
      </c>
      <c r="F1248" s="56"/>
    </row>
    <row r="1249" spans="1:6" ht="15">
      <c r="A1249" s="51">
        <v>290096</v>
      </c>
      <c r="B1249" t="s">
        <v>1340</v>
      </c>
      <c r="C1249" s="39" t="s">
        <v>1338</v>
      </c>
      <c r="D1249" t="s">
        <v>4244</v>
      </c>
      <c r="F1249" s="56"/>
    </row>
    <row r="1250" spans="1:6" ht="15">
      <c r="A1250" s="51">
        <v>290097</v>
      </c>
      <c r="B1250" t="s">
        <v>1341</v>
      </c>
      <c r="C1250" s="39" t="s">
        <v>1338</v>
      </c>
      <c r="D1250">
        <v>8</v>
      </c>
      <c r="F1250" s="56"/>
    </row>
    <row r="1251" spans="1:6" ht="15">
      <c r="A1251" s="51">
        <v>290098</v>
      </c>
      <c r="B1251" t="s">
        <v>1342</v>
      </c>
      <c r="C1251" s="39" t="s">
        <v>1343</v>
      </c>
      <c r="D1251">
        <v>7</v>
      </c>
      <c r="F1251" s="56"/>
    </row>
    <row r="1252" spans="1:6" ht="15">
      <c r="A1252" s="51">
        <v>290099</v>
      </c>
      <c r="B1252" t="s">
        <v>1344</v>
      </c>
      <c r="C1252" s="39" t="s">
        <v>1343</v>
      </c>
      <c r="D1252">
        <v>8</v>
      </c>
      <c r="F1252" s="56"/>
    </row>
    <row r="1253" spans="1:6" ht="15">
      <c r="A1253" s="51">
        <v>290100</v>
      </c>
      <c r="B1253" t="s">
        <v>1345</v>
      </c>
      <c r="C1253" s="39" t="s">
        <v>1346</v>
      </c>
      <c r="D1253">
        <v>7</v>
      </c>
      <c r="F1253" s="56"/>
    </row>
    <row r="1254" spans="1:6" ht="15">
      <c r="A1254" s="51">
        <v>290134</v>
      </c>
      <c r="B1254" t="s">
        <v>1162</v>
      </c>
      <c r="C1254" s="39" t="s">
        <v>1347</v>
      </c>
      <c r="D1254">
        <v>8</v>
      </c>
      <c r="F1254" s="56"/>
    </row>
    <row r="1255" spans="1:6" ht="15">
      <c r="A1255" s="51">
        <v>290101</v>
      </c>
      <c r="B1255" t="s">
        <v>1348</v>
      </c>
      <c r="C1255" s="39" t="s">
        <v>1346</v>
      </c>
      <c r="D1255">
        <v>7</v>
      </c>
      <c r="F1255" s="56"/>
    </row>
    <row r="1256" spans="1:6" ht="15">
      <c r="A1256" s="51">
        <v>290102</v>
      </c>
      <c r="B1256" t="s">
        <v>1349</v>
      </c>
      <c r="C1256" s="39" t="s">
        <v>1350</v>
      </c>
      <c r="D1256" t="s">
        <v>1595</v>
      </c>
      <c r="F1256" s="56"/>
    </row>
    <row r="1257" spans="1:6" ht="15">
      <c r="A1257" s="51">
        <v>290103</v>
      </c>
      <c r="B1257" t="s">
        <v>977</v>
      </c>
      <c r="C1257" s="39" t="s">
        <v>1350</v>
      </c>
      <c r="D1257" t="s">
        <v>468</v>
      </c>
      <c r="F1257" s="56"/>
    </row>
    <row r="1258" spans="1:6" ht="15">
      <c r="A1258" s="51">
        <v>290104</v>
      </c>
      <c r="B1258" t="s">
        <v>1351</v>
      </c>
      <c r="C1258" s="39" t="s">
        <v>1352</v>
      </c>
      <c r="D1258" t="s">
        <v>469</v>
      </c>
      <c r="F1258" s="56"/>
    </row>
    <row r="1259" spans="1:6" ht="15">
      <c r="A1259" s="51">
        <v>290105</v>
      </c>
      <c r="B1259" t="s">
        <v>982</v>
      </c>
      <c r="C1259" s="39" t="s">
        <v>1352</v>
      </c>
      <c r="D1259" t="s">
        <v>469</v>
      </c>
      <c r="F1259" s="56"/>
    </row>
    <row r="1260" spans="1:6" ht="15">
      <c r="A1260" s="51">
        <v>290106</v>
      </c>
      <c r="B1260" t="s">
        <v>1353</v>
      </c>
      <c r="C1260" s="39" t="s">
        <v>1301</v>
      </c>
      <c r="D1260" t="s">
        <v>4244</v>
      </c>
      <c r="F1260" s="56"/>
    </row>
    <row r="1261" spans="1:6" ht="15">
      <c r="A1261" s="51">
        <v>290107</v>
      </c>
      <c r="B1261" t="s">
        <v>1354</v>
      </c>
      <c r="C1261" s="39" t="s">
        <v>1301</v>
      </c>
      <c r="D1261">
        <v>7</v>
      </c>
      <c r="F1261" s="56"/>
    </row>
    <row r="1262" spans="1:6" ht="15">
      <c r="A1262" s="51">
        <v>290108</v>
      </c>
      <c r="B1262" t="s">
        <v>311</v>
      </c>
      <c r="C1262" s="39" t="s">
        <v>1301</v>
      </c>
      <c r="D1262">
        <v>8</v>
      </c>
      <c r="F1262" s="56"/>
    </row>
    <row r="1263" spans="1:6" ht="15">
      <c r="A1263" s="51">
        <v>290109</v>
      </c>
      <c r="B1263" t="s">
        <v>1355</v>
      </c>
      <c r="C1263" s="39" t="s">
        <v>1301</v>
      </c>
      <c r="D1263">
        <v>8</v>
      </c>
      <c r="F1263" s="56"/>
    </row>
    <row r="1264" spans="1:6" ht="15">
      <c r="A1264" s="51">
        <v>290110</v>
      </c>
      <c r="B1264" t="s">
        <v>1356</v>
      </c>
      <c r="C1264" s="39" t="s">
        <v>1299</v>
      </c>
      <c r="D1264">
        <v>8</v>
      </c>
      <c r="F1264" s="56"/>
    </row>
    <row r="1265" spans="1:6" ht="15">
      <c r="A1265" s="51">
        <v>290111</v>
      </c>
      <c r="B1265" t="s">
        <v>1357</v>
      </c>
      <c r="C1265" s="39" t="s">
        <v>1299</v>
      </c>
      <c r="D1265">
        <v>8</v>
      </c>
      <c r="F1265" s="56"/>
    </row>
    <row r="1266" spans="1:6" ht="15">
      <c r="A1266" s="51">
        <v>290112</v>
      </c>
      <c r="B1266" t="s">
        <v>95</v>
      </c>
      <c r="C1266" s="39" t="s">
        <v>312</v>
      </c>
      <c r="D1266">
        <v>8</v>
      </c>
      <c r="F1266" s="56"/>
    </row>
    <row r="1267" spans="1:6" ht="15">
      <c r="A1267" s="51">
        <v>290113</v>
      </c>
      <c r="B1267" t="s">
        <v>97</v>
      </c>
      <c r="C1267" s="39" t="s">
        <v>312</v>
      </c>
      <c r="D1267">
        <v>8</v>
      </c>
      <c r="F1267" s="56"/>
    </row>
    <row r="1268" spans="1:6" ht="15">
      <c r="A1268" s="51">
        <v>290114</v>
      </c>
      <c r="B1268" t="s">
        <v>1358</v>
      </c>
      <c r="C1268" s="39" t="s">
        <v>1359</v>
      </c>
      <c r="D1268" t="s">
        <v>4243</v>
      </c>
      <c r="F1268" s="56"/>
    </row>
    <row r="1269" spans="1:6" ht="15">
      <c r="A1269" s="51">
        <v>290115</v>
      </c>
      <c r="B1269" t="s">
        <v>1146</v>
      </c>
      <c r="C1269" s="39" t="s">
        <v>1360</v>
      </c>
      <c r="D1269" t="s">
        <v>4246</v>
      </c>
      <c r="F1269" s="56"/>
    </row>
    <row r="1270" spans="1:6" ht="15">
      <c r="A1270" s="51">
        <v>290116</v>
      </c>
      <c r="B1270" t="s">
        <v>1361</v>
      </c>
      <c r="C1270" s="39" t="s">
        <v>1360</v>
      </c>
      <c r="D1270" t="s">
        <v>4244</v>
      </c>
      <c r="F1270" s="56"/>
    </row>
    <row r="1271" spans="1:6" ht="15">
      <c r="A1271" s="51">
        <v>290117</v>
      </c>
      <c r="B1271" t="s">
        <v>1149</v>
      </c>
      <c r="C1271" s="39" t="s">
        <v>1360</v>
      </c>
      <c r="D1271">
        <v>8</v>
      </c>
      <c r="F1271" s="56"/>
    </row>
    <row r="1272" spans="1:6" ht="15">
      <c r="A1272" s="51">
        <v>290118</v>
      </c>
      <c r="B1272" t="s">
        <v>1362</v>
      </c>
      <c r="C1272" s="39" t="s">
        <v>1360</v>
      </c>
      <c r="D1272">
        <v>8</v>
      </c>
      <c r="F1272" s="56"/>
    </row>
    <row r="1273" spans="1:6" ht="15">
      <c r="A1273" s="51">
        <v>290119</v>
      </c>
      <c r="B1273" t="s">
        <v>334</v>
      </c>
      <c r="C1273" s="39" t="s">
        <v>1363</v>
      </c>
      <c r="D1273" t="s">
        <v>4245</v>
      </c>
      <c r="F1273" s="56"/>
    </row>
    <row r="1274" spans="1:6" ht="15">
      <c r="A1274" s="51">
        <v>290120</v>
      </c>
      <c r="B1274" t="s">
        <v>1364</v>
      </c>
      <c r="C1274" s="39" t="s">
        <v>1365</v>
      </c>
      <c r="D1274" t="s">
        <v>4243</v>
      </c>
      <c r="F1274" s="56"/>
    </row>
    <row r="1275" spans="1:6" ht="15">
      <c r="A1275" s="51">
        <v>290121</v>
      </c>
      <c r="B1275" t="s">
        <v>1366</v>
      </c>
      <c r="C1275" s="39" t="s">
        <v>1367</v>
      </c>
      <c r="D1275" t="s">
        <v>4244</v>
      </c>
      <c r="F1275" s="56"/>
    </row>
    <row r="1276" spans="1:6" ht="15">
      <c r="A1276" s="51">
        <v>290122</v>
      </c>
      <c r="B1276" t="s">
        <v>341</v>
      </c>
      <c r="C1276" s="39" t="s">
        <v>1367</v>
      </c>
      <c r="D1276" t="s">
        <v>4243</v>
      </c>
      <c r="F1276" s="56"/>
    </row>
    <row r="1277" spans="1:6" ht="15">
      <c r="A1277" s="51">
        <v>290123</v>
      </c>
      <c r="B1277" t="s">
        <v>343</v>
      </c>
      <c r="C1277" s="39" t="s">
        <v>1367</v>
      </c>
      <c r="D1277">
        <v>7</v>
      </c>
      <c r="F1277" s="56"/>
    </row>
    <row r="1278" spans="1:6" ht="15">
      <c r="A1278" s="51">
        <v>290124</v>
      </c>
      <c r="B1278" t="s">
        <v>1154</v>
      </c>
      <c r="C1278" s="39" t="s">
        <v>1368</v>
      </c>
      <c r="D1278">
        <v>9</v>
      </c>
      <c r="F1278" s="56"/>
    </row>
    <row r="1279" spans="1:6" ht="15">
      <c r="A1279" s="51">
        <v>290125</v>
      </c>
      <c r="B1279" t="s">
        <v>1369</v>
      </c>
      <c r="C1279" s="39" t="s">
        <v>1370</v>
      </c>
      <c r="D1279" t="s">
        <v>4243</v>
      </c>
      <c r="F1279" s="56"/>
    </row>
    <row r="1280" spans="1:6" ht="15">
      <c r="A1280" s="51">
        <v>290126</v>
      </c>
      <c r="B1280" t="s">
        <v>1371</v>
      </c>
      <c r="C1280" s="39" t="s">
        <v>1372</v>
      </c>
      <c r="D1280">
        <v>8</v>
      </c>
      <c r="F1280" s="56"/>
    </row>
    <row r="1281" spans="1:6" ht="15">
      <c r="A1281" s="51">
        <v>290127</v>
      </c>
      <c r="B1281" t="s">
        <v>1005</v>
      </c>
      <c r="C1281" s="39" t="s">
        <v>1373</v>
      </c>
      <c r="D1281" t="s">
        <v>4244</v>
      </c>
      <c r="F1281" s="56"/>
    </row>
    <row r="1282" spans="1:6" ht="15">
      <c r="A1282" s="51">
        <v>290128</v>
      </c>
      <c r="B1282" t="s">
        <v>1006</v>
      </c>
      <c r="C1282" s="39" t="s">
        <v>1373</v>
      </c>
      <c r="D1282" t="s">
        <v>4243</v>
      </c>
      <c r="F1282" s="56"/>
    </row>
    <row r="1283" spans="1:6" ht="15">
      <c r="A1283" s="51">
        <v>290129</v>
      </c>
      <c r="B1283" t="s">
        <v>1158</v>
      </c>
      <c r="C1283" s="39" t="s">
        <v>1373</v>
      </c>
      <c r="D1283">
        <v>8</v>
      </c>
      <c r="F1283" s="56"/>
    </row>
    <row r="1284" spans="1:6" ht="15">
      <c r="A1284" s="51">
        <v>290130</v>
      </c>
      <c r="B1284" t="s">
        <v>1159</v>
      </c>
      <c r="C1284" s="39" t="s">
        <v>1373</v>
      </c>
      <c r="D1284">
        <v>8</v>
      </c>
      <c r="F1284" s="56"/>
    </row>
    <row r="1285" spans="1:6" ht="15">
      <c r="A1285" s="51">
        <v>290131</v>
      </c>
      <c r="B1285" t="s">
        <v>348</v>
      </c>
      <c r="C1285" s="39" t="s">
        <v>1347</v>
      </c>
      <c r="D1285" t="s">
        <v>4243</v>
      </c>
      <c r="F1285" s="56"/>
    </row>
    <row r="1286" spans="1:6" ht="15">
      <c r="A1286" s="51">
        <v>290132</v>
      </c>
      <c r="B1286" t="s">
        <v>350</v>
      </c>
      <c r="C1286" s="39" t="s">
        <v>1347</v>
      </c>
      <c r="D1286" t="s">
        <v>4243</v>
      </c>
      <c r="F1286" s="56"/>
    </row>
    <row r="1287" spans="1:6" ht="15">
      <c r="A1287" s="51">
        <v>290133</v>
      </c>
      <c r="B1287" t="s">
        <v>351</v>
      </c>
      <c r="C1287" s="39" t="s">
        <v>1347</v>
      </c>
      <c r="D1287">
        <v>8</v>
      </c>
      <c r="F1287" s="56"/>
    </row>
    <row r="1288" spans="1:6" ht="15">
      <c r="A1288" s="51">
        <v>290135</v>
      </c>
      <c r="B1288" t="s">
        <v>1374</v>
      </c>
      <c r="C1288" s="39" t="s">
        <v>1347</v>
      </c>
      <c r="D1288">
        <v>8</v>
      </c>
      <c r="F1288" s="56"/>
    </row>
    <row r="1289" spans="1:6" ht="15">
      <c r="A1289" s="51">
        <v>290136</v>
      </c>
      <c r="B1289" t="s">
        <v>1375</v>
      </c>
      <c r="C1289" s="39" t="s">
        <v>1376</v>
      </c>
      <c r="D1289">
        <v>7</v>
      </c>
      <c r="F1289" s="56"/>
    </row>
    <row r="1290" spans="1:6" ht="15">
      <c r="A1290" s="51">
        <v>290137</v>
      </c>
      <c r="B1290" t="s">
        <v>1377</v>
      </c>
      <c r="C1290" s="39" t="s">
        <v>1378</v>
      </c>
      <c r="D1290" t="s">
        <v>4243</v>
      </c>
      <c r="F1290" s="56"/>
    </row>
    <row r="1291" spans="1:6" ht="15">
      <c r="A1291" s="51">
        <v>290138</v>
      </c>
      <c r="B1291" t="s">
        <v>354</v>
      </c>
      <c r="C1291" s="39" t="s">
        <v>1379</v>
      </c>
      <c r="D1291" t="s">
        <v>4246</v>
      </c>
      <c r="F1291" s="56"/>
    </row>
    <row r="1292" spans="1:6" ht="15">
      <c r="A1292" s="51">
        <v>290139</v>
      </c>
      <c r="B1292" t="s">
        <v>1380</v>
      </c>
      <c r="C1292" s="39" t="s">
        <v>1381</v>
      </c>
      <c r="D1292" t="s">
        <v>4246</v>
      </c>
      <c r="F1292" s="56"/>
    </row>
    <row r="1293" spans="1:6" ht="15">
      <c r="A1293" s="51">
        <v>290140</v>
      </c>
      <c r="B1293" t="s">
        <v>1382</v>
      </c>
      <c r="C1293" s="39" t="s">
        <v>1381</v>
      </c>
      <c r="D1293" t="s">
        <v>4246</v>
      </c>
      <c r="F1293" s="56"/>
    </row>
    <row r="1294" spans="1:6" ht="15">
      <c r="A1294" s="51">
        <v>290141</v>
      </c>
      <c r="B1294" t="s">
        <v>1383</v>
      </c>
      <c r="C1294" s="39" t="s">
        <v>1381</v>
      </c>
      <c r="D1294" t="s">
        <v>4247</v>
      </c>
      <c r="F1294" s="56"/>
    </row>
    <row r="1295" spans="1:6" ht="15">
      <c r="A1295" s="51">
        <v>290142</v>
      </c>
      <c r="B1295" t="s">
        <v>1384</v>
      </c>
      <c r="C1295" s="39" t="s">
        <v>1385</v>
      </c>
      <c r="D1295" t="s">
        <v>4243</v>
      </c>
      <c r="F1295" s="56"/>
    </row>
    <row r="1296" spans="1:6" ht="15">
      <c r="A1296" s="51">
        <v>290143</v>
      </c>
      <c r="B1296" t="s">
        <v>1163</v>
      </c>
      <c r="C1296" s="39" t="s">
        <v>1385</v>
      </c>
      <c r="D1296" t="s">
        <v>4243</v>
      </c>
      <c r="F1296" s="56"/>
    </row>
    <row r="1297" spans="1:6" ht="15">
      <c r="A1297" s="51">
        <v>290144</v>
      </c>
      <c r="B1297" t="s">
        <v>1386</v>
      </c>
      <c r="C1297" s="39" t="s">
        <v>1385</v>
      </c>
      <c r="D1297">
        <v>8</v>
      </c>
      <c r="F1297" s="56"/>
    </row>
    <row r="1298" spans="1:6" ht="15">
      <c r="A1298" s="51">
        <v>290145</v>
      </c>
      <c r="B1298" t="s">
        <v>1387</v>
      </c>
      <c r="C1298" s="39" t="s">
        <v>1388</v>
      </c>
      <c r="D1298" t="s">
        <v>4247</v>
      </c>
      <c r="F1298" s="56"/>
    </row>
    <row r="1299" spans="1:6" ht="15">
      <c r="A1299" s="51">
        <v>290146</v>
      </c>
      <c r="B1299" t="s">
        <v>1389</v>
      </c>
      <c r="C1299" s="39" t="s">
        <v>1388</v>
      </c>
      <c r="D1299" t="s">
        <v>4247</v>
      </c>
      <c r="F1299" s="56"/>
    </row>
    <row r="1300" spans="1:6" ht="15">
      <c r="A1300" s="51">
        <v>290147</v>
      </c>
      <c r="B1300" t="s">
        <v>1166</v>
      </c>
      <c r="C1300" s="39" t="s">
        <v>1390</v>
      </c>
      <c r="D1300" t="s">
        <v>4244</v>
      </c>
      <c r="F1300" s="56"/>
    </row>
    <row r="1301" spans="1:6" ht="15">
      <c r="A1301" s="51">
        <v>290148</v>
      </c>
      <c r="B1301" t="s">
        <v>126</v>
      </c>
      <c r="C1301" s="39" t="s">
        <v>1390</v>
      </c>
      <c r="D1301" t="s">
        <v>4244</v>
      </c>
      <c r="F1301" s="56"/>
    </row>
    <row r="1302" spans="1:6" ht="15">
      <c r="A1302" s="51">
        <v>290149</v>
      </c>
      <c r="B1302" t="s">
        <v>1391</v>
      </c>
      <c r="C1302" s="39" t="s">
        <v>1392</v>
      </c>
      <c r="D1302">
        <v>8</v>
      </c>
      <c r="F1302" s="56"/>
    </row>
    <row r="1303" spans="1:6" ht="15">
      <c r="A1303" s="51">
        <v>290150</v>
      </c>
      <c r="B1303" t="s">
        <v>133</v>
      </c>
      <c r="C1303" s="39" t="s">
        <v>1393</v>
      </c>
      <c r="D1303" t="s">
        <v>4247</v>
      </c>
      <c r="F1303" s="56"/>
    </row>
    <row r="1304" spans="1:6" ht="15">
      <c r="A1304" s="51">
        <v>290151</v>
      </c>
      <c r="B1304" t="s">
        <v>1394</v>
      </c>
      <c r="C1304" s="39" t="s">
        <v>1393</v>
      </c>
      <c r="D1304">
        <v>8</v>
      </c>
      <c r="F1304" s="56"/>
    </row>
    <row r="1305" spans="1:6" ht="15">
      <c r="A1305" s="51">
        <v>290152</v>
      </c>
      <c r="B1305" t="s">
        <v>1395</v>
      </c>
      <c r="C1305" s="39" t="s">
        <v>1396</v>
      </c>
      <c r="D1305">
        <v>7</v>
      </c>
      <c r="F1305" s="56"/>
    </row>
    <row r="1306" spans="1:6" ht="15">
      <c r="A1306" s="51">
        <v>290153</v>
      </c>
      <c r="B1306" t="s">
        <v>1397</v>
      </c>
      <c r="C1306" s="39" t="s">
        <v>1396</v>
      </c>
      <c r="D1306">
        <v>8</v>
      </c>
      <c r="F1306" s="56"/>
    </row>
    <row r="1307" spans="1:6" ht="15">
      <c r="A1307" s="51">
        <v>290154</v>
      </c>
      <c r="B1307" t="s">
        <v>1398</v>
      </c>
      <c r="C1307" s="39" t="s">
        <v>1396</v>
      </c>
      <c r="D1307">
        <v>8</v>
      </c>
      <c r="F1307" s="56"/>
    </row>
    <row r="1308" spans="1:6" ht="15">
      <c r="A1308" s="51">
        <v>290155</v>
      </c>
      <c r="B1308" t="s">
        <v>1399</v>
      </c>
      <c r="C1308" s="39" t="s">
        <v>1396</v>
      </c>
      <c r="D1308">
        <v>8</v>
      </c>
      <c r="F1308" s="56"/>
    </row>
    <row r="1309" spans="1:6" ht="15">
      <c r="A1309" s="51">
        <v>290156</v>
      </c>
      <c r="B1309" t="s">
        <v>1400</v>
      </c>
      <c r="C1309" s="39" t="s">
        <v>1396</v>
      </c>
      <c r="D1309">
        <v>8</v>
      </c>
      <c r="F1309" s="56"/>
    </row>
    <row r="1310" spans="1:6" ht="15">
      <c r="A1310" s="51">
        <v>290157</v>
      </c>
      <c r="B1310" t="s">
        <v>1172</v>
      </c>
      <c r="C1310" s="39" t="s">
        <v>1401</v>
      </c>
      <c r="D1310" t="s">
        <v>4246</v>
      </c>
      <c r="F1310" s="56"/>
    </row>
    <row r="1311" spans="1:6" ht="15">
      <c r="A1311" s="51">
        <v>290158</v>
      </c>
      <c r="B1311" t="s">
        <v>1402</v>
      </c>
      <c r="C1311" s="39" t="s">
        <v>138</v>
      </c>
      <c r="D1311">
        <v>9</v>
      </c>
      <c r="F1311" s="56"/>
    </row>
    <row r="1312" spans="1:6" ht="15">
      <c r="A1312" s="51">
        <v>290159</v>
      </c>
      <c r="B1312" t="s">
        <v>1403</v>
      </c>
      <c r="C1312" s="39" t="s">
        <v>1404</v>
      </c>
      <c r="D1312">
        <v>8</v>
      </c>
      <c r="F1312" s="56"/>
    </row>
    <row r="1313" spans="1:6" ht="15">
      <c r="A1313" s="51">
        <v>290160</v>
      </c>
      <c r="B1313" t="s">
        <v>1405</v>
      </c>
      <c r="C1313" s="39" t="s">
        <v>1406</v>
      </c>
      <c r="D1313">
        <v>8</v>
      </c>
      <c r="F1313" s="56"/>
    </row>
    <row r="1314" spans="1:6" ht="15">
      <c r="A1314" s="51">
        <v>290161</v>
      </c>
      <c r="B1314" t="s">
        <v>1407</v>
      </c>
      <c r="C1314" s="39" t="s">
        <v>1408</v>
      </c>
      <c r="D1314" t="s">
        <v>4247</v>
      </c>
      <c r="F1314" s="56"/>
    </row>
    <row r="1315" spans="1:6" ht="15">
      <c r="A1315" s="51">
        <v>290162</v>
      </c>
      <c r="B1315" t="s">
        <v>141</v>
      </c>
      <c r="C1315" s="39" t="s">
        <v>1408</v>
      </c>
      <c r="D1315" t="s">
        <v>4247</v>
      </c>
      <c r="F1315" s="56"/>
    </row>
    <row r="1316" spans="1:6" ht="15">
      <c r="A1316" s="51">
        <v>290163</v>
      </c>
      <c r="B1316" t="s">
        <v>1409</v>
      </c>
      <c r="C1316" s="39" t="s">
        <v>1410</v>
      </c>
      <c r="D1316" t="s">
        <v>1595</v>
      </c>
      <c r="F1316" s="56"/>
    </row>
    <row r="1317" spans="1:6" ht="15">
      <c r="A1317" s="51">
        <v>290164</v>
      </c>
      <c r="B1317" t="s">
        <v>1411</v>
      </c>
      <c r="C1317" s="39" t="s">
        <v>1410</v>
      </c>
      <c r="D1317">
        <v>8</v>
      </c>
      <c r="F1317" s="56"/>
    </row>
    <row r="1318" spans="1:6" ht="15">
      <c r="A1318" s="51">
        <v>290165</v>
      </c>
      <c r="B1318" t="s">
        <v>372</v>
      </c>
      <c r="C1318" s="39" t="s">
        <v>1412</v>
      </c>
      <c r="D1318" t="s">
        <v>4244</v>
      </c>
      <c r="F1318" s="56"/>
    </row>
    <row r="1319" spans="1:6" ht="15">
      <c r="A1319" s="51">
        <v>290166</v>
      </c>
      <c r="B1319" t="s">
        <v>149</v>
      </c>
      <c r="C1319" s="39" t="s">
        <v>1290</v>
      </c>
      <c r="D1319" t="s">
        <v>4244</v>
      </c>
      <c r="F1319" s="56"/>
    </row>
    <row r="1320" spans="1:6" ht="15">
      <c r="A1320" s="51">
        <v>290167</v>
      </c>
      <c r="B1320" t="s">
        <v>1413</v>
      </c>
      <c r="C1320" s="39" t="s">
        <v>1290</v>
      </c>
      <c r="D1320" t="s">
        <v>4243</v>
      </c>
      <c r="F1320" s="56"/>
    </row>
    <row r="1321" spans="1:6" ht="15">
      <c r="A1321" s="51">
        <v>290168</v>
      </c>
      <c r="B1321" t="s">
        <v>1414</v>
      </c>
      <c r="C1321" s="39" t="s">
        <v>1290</v>
      </c>
      <c r="D1321">
        <v>8</v>
      </c>
      <c r="F1321" s="56"/>
    </row>
    <row r="1322" spans="1:6" ht="15">
      <c r="A1322" s="51">
        <v>290169</v>
      </c>
      <c r="B1322" t="s">
        <v>1415</v>
      </c>
      <c r="C1322" s="39" t="s">
        <v>1290</v>
      </c>
      <c r="D1322">
        <v>8</v>
      </c>
      <c r="F1322" s="56"/>
    </row>
    <row r="1323" spans="1:6" ht="15">
      <c r="A1323" s="51">
        <v>290170</v>
      </c>
      <c r="B1323" t="s">
        <v>1416</v>
      </c>
      <c r="C1323" s="39" t="s">
        <v>1417</v>
      </c>
      <c r="D1323">
        <v>8</v>
      </c>
      <c r="F1323" s="56"/>
    </row>
    <row r="1324" spans="1:6" ht="15">
      <c r="A1324" s="51">
        <v>290171</v>
      </c>
      <c r="B1324" t="s">
        <v>1036</v>
      </c>
      <c r="C1324" s="39" t="s">
        <v>1418</v>
      </c>
      <c r="D1324" t="s">
        <v>4247</v>
      </c>
      <c r="F1324" s="56"/>
    </row>
    <row r="1325" spans="1:6" ht="15">
      <c r="A1325" s="51">
        <v>290172</v>
      </c>
      <c r="B1325" t="s">
        <v>1419</v>
      </c>
      <c r="C1325" s="39" t="s">
        <v>1418</v>
      </c>
      <c r="D1325">
        <v>8</v>
      </c>
      <c r="F1325" s="56"/>
    </row>
    <row r="1326" spans="1:6" ht="15">
      <c r="A1326" s="51">
        <v>290173</v>
      </c>
      <c r="B1326" t="s">
        <v>376</v>
      </c>
      <c r="C1326" s="39" t="s">
        <v>1420</v>
      </c>
      <c r="D1326" t="s">
        <v>468</v>
      </c>
      <c r="F1326" s="56"/>
    </row>
    <row r="1327" spans="1:6" ht="15">
      <c r="A1327" s="51">
        <v>290174</v>
      </c>
      <c r="B1327" t="s">
        <v>377</v>
      </c>
      <c r="C1327" s="39" t="s">
        <v>1420</v>
      </c>
      <c r="D1327" t="s">
        <v>468</v>
      </c>
      <c r="F1327" s="56"/>
    </row>
    <row r="1328" spans="1:6" ht="15">
      <c r="A1328" s="51">
        <v>290175</v>
      </c>
      <c r="B1328" t="s">
        <v>156</v>
      </c>
      <c r="C1328" s="39" t="s">
        <v>1420</v>
      </c>
      <c r="D1328">
        <v>8</v>
      </c>
      <c r="F1328" s="56"/>
    </row>
    <row r="1329" spans="1:6" ht="15">
      <c r="A1329" s="51">
        <v>290176</v>
      </c>
      <c r="B1329" t="s">
        <v>1421</v>
      </c>
      <c r="C1329" s="39" t="s">
        <v>1422</v>
      </c>
      <c r="D1329">
        <v>8</v>
      </c>
      <c r="F1329" s="56"/>
    </row>
    <row r="1330" spans="1:6" ht="15">
      <c r="A1330" s="51">
        <v>290177</v>
      </c>
      <c r="B1330" t="s">
        <v>1423</v>
      </c>
      <c r="C1330" s="39" t="s">
        <v>1424</v>
      </c>
      <c r="D1330" t="s">
        <v>4243</v>
      </c>
      <c r="F1330" s="56"/>
    </row>
    <row r="1331" spans="1:6" ht="15">
      <c r="A1331" s="51">
        <v>290178</v>
      </c>
      <c r="B1331" t="s">
        <v>1425</v>
      </c>
      <c r="C1331" s="39" t="s">
        <v>1426</v>
      </c>
      <c r="D1331" t="s">
        <v>4246</v>
      </c>
      <c r="F1331" s="56"/>
    </row>
    <row r="1332" spans="1:6" ht="15">
      <c r="A1332" s="51">
        <v>290179</v>
      </c>
      <c r="B1332" t="s">
        <v>1427</v>
      </c>
      <c r="C1332" s="39" t="s">
        <v>1426</v>
      </c>
      <c r="D1332">
        <v>8</v>
      </c>
      <c r="F1332" s="56"/>
    </row>
    <row r="1333" spans="1:6" ht="15">
      <c r="A1333" s="51">
        <v>290180</v>
      </c>
      <c r="B1333" t="s">
        <v>1428</v>
      </c>
      <c r="C1333" s="39" t="s">
        <v>1429</v>
      </c>
      <c r="D1333" t="s">
        <v>4244</v>
      </c>
      <c r="F1333" s="56"/>
    </row>
    <row r="1334" spans="1:6" ht="15">
      <c r="A1334" s="51">
        <v>290181</v>
      </c>
      <c r="B1334" t="s">
        <v>1430</v>
      </c>
      <c r="C1334" s="39" t="s">
        <v>1431</v>
      </c>
      <c r="D1334" t="s">
        <v>4246</v>
      </c>
      <c r="F1334" s="56"/>
    </row>
    <row r="1335" spans="1:6" ht="15">
      <c r="A1335" s="51">
        <v>290182</v>
      </c>
      <c r="B1335" t="s">
        <v>1053</v>
      </c>
      <c r="C1335" s="39" t="s">
        <v>1432</v>
      </c>
      <c r="D1335">
        <v>7</v>
      </c>
      <c r="F1335" s="56"/>
    </row>
    <row r="1336" spans="1:6" ht="15">
      <c r="A1336" s="51">
        <v>290183</v>
      </c>
      <c r="B1336" t="s">
        <v>1433</v>
      </c>
      <c r="C1336" s="39" t="s">
        <v>1434</v>
      </c>
      <c r="D1336">
        <v>9</v>
      </c>
      <c r="F1336" s="56"/>
    </row>
    <row r="1337" spans="1:6" ht="15">
      <c r="A1337" s="51">
        <v>290184</v>
      </c>
      <c r="B1337" t="s">
        <v>1435</v>
      </c>
      <c r="C1337" s="39" t="s">
        <v>1436</v>
      </c>
      <c r="D1337">
        <v>7</v>
      </c>
      <c r="F1337" s="56"/>
    </row>
    <row r="1338" spans="1:6" ht="15">
      <c r="A1338" s="51">
        <v>290185</v>
      </c>
      <c r="B1338" t="s">
        <v>182</v>
      </c>
      <c r="C1338" s="39" t="s">
        <v>1436</v>
      </c>
      <c r="D1338">
        <v>8</v>
      </c>
      <c r="F1338" s="56"/>
    </row>
    <row r="1339" spans="1:6" ht="15">
      <c r="A1339" s="51">
        <v>290186</v>
      </c>
      <c r="B1339" t="s">
        <v>186</v>
      </c>
      <c r="C1339" s="39" t="s">
        <v>1437</v>
      </c>
      <c r="D1339" t="s">
        <v>4245</v>
      </c>
      <c r="F1339" s="56"/>
    </row>
    <row r="1340" spans="1:6" ht="15">
      <c r="A1340" s="51">
        <v>290187</v>
      </c>
      <c r="B1340" t="s">
        <v>187</v>
      </c>
      <c r="C1340" s="39" t="s">
        <v>1437</v>
      </c>
      <c r="D1340" t="s">
        <v>4244</v>
      </c>
      <c r="F1340" s="56"/>
    </row>
    <row r="1341" spans="1:6" ht="15">
      <c r="A1341" s="51">
        <v>290188</v>
      </c>
      <c r="B1341" t="s">
        <v>1438</v>
      </c>
      <c r="C1341" s="39" t="s">
        <v>1439</v>
      </c>
      <c r="D1341" t="s">
        <v>4243</v>
      </c>
      <c r="F1341" s="56"/>
    </row>
    <row r="1342" spans="1:6" ht="15">
      <c r="A1342" s="51">
        <v>290189</v>
      </c>
      <c r="B1342" t="s">
        <v>69</v>
      </c>
      <c r="C1342" s="39" t="s">
        <v>1439</v>
      </c>
      <c r="D1342" t="s">
        <v>4243</v>
      </c>
      <c r="F1342" s="56"/>
    </row>
    <row r="1343" spans="1:6" ht="15">
      <c r="A1343" s="51">
        <v>290190</v>
      </c>
      <c r="B1343" t="s">
        <v>1440</v>
      </c>
      <c r="C1343" s="39" t="s">
        <v>1439</v>
      </c>
      <c r="D1343">
        <v>8</v>
      </c>
      <c r="F1343" s="56"/>
    </row>
    <row r="1344" spans="1:6" ht="15">
      <c r="A1344" s="51">
        <v>290191</v>
      </c>
      <c r="B1344" t="s">
        <v>401</v>
      </c>
      <c r="C1344" s="39" t="s">
        <v>1441</v>
      </c>
      <c r="D1344">
        <v>7</v>
      </c>
      <c r="F1344" s="56"/>
    </row>
    <row r="1345" spans="1:6" ht="15">
      <c r="A1345" s="51">
        <v>290192</v>
      </c>
      <c r="B1345" t="s">
        <v>1190</v>
      </c>
      <c r="C1345" s="39" t="s">
        <v>1442</v>
      </c>
      <c r="D1345" t="s">
        <v>4244</v>
      </c>
      <c r="F1345" s="56"/>
    </row>
    <row r="1346" spans="1:6" ht="15">
      <c r="A1346" s="51">
        <v>290193</v>
      </c>
      <c r="B1346" t="s">
        <v>1443</v>
      </c>
      <c r="C1346" s="39" t="s">
        <v>1444</v>
      </c>
      <c r="D1346">
        <v>8</v>
      </c>
      <c r="F1346" s="56"/>
    </row>
    <row r="1347" spans="1:6" ht="15">
      <c r="A1347" s="51">
        <v>290194</v>
      </c>
      <c r="B1347" t="s">
        <v>872</v>
      </c>
      <c r="C1347" s="39" t="s">
        <v>1445</v>
      </c>
      <c r="D1347" t="s">
        <v>4243</v>
      </c>
      <c r="F1347" s="56"/>
    </row>
    <row r="1348" spans="1:6" ht="15">
      <c r="A1348" s="51">
        <v>290195</v>
      </c>
      <c r="B1348" t="s">
        <v>873</v>
      </c>
      <c r="C1348" s="39" t="s">
        <v>1284</v>
      </c>
      <c r="D1348" t="s">
        <v>4246</v>
      </c>
      <c r="F1348" s="56"/>
    </row>
    <row r="1349" spans="1:6" ht="15">
      <c r="A1349" s="51">
        <v>290196</v>
      </c>
      <c r="B1349" t="s">
        <v>874</v>
      </c>
      <c r="C1349" s="39" t="s">
        <v>1284</v>
      </c>
      <c r="D1349" t="s">
        <v>4244</v>
      </c>
      <c r="F1349" s="56"/>
    </row>
    <row r="1350" spans="1:6" ht="15">
      <c r="A1350" s="51">
        <v>290197</v>
      </c>
      <c r="B1350" t="s">
        <v>1446</v>
      </c>
      <c r="C1350" s="39" t="s">
        <v>1284</v>
      </c>
      <c r="D1350">
        <v>8</v>
      </c>
      <c r="F1350" s="56"/>
    </row>
    <row r="1351" spans="1:6" ht="15">
      <c r="A1351" s="51">
        <v>290198</v>
      </c>
      <c r="B1351" t="s">
        <v>875</v>
      </c>
      <c r="C1351" s="39" t="s">
        <v>1284</v>
      </c>
      <c r="D1351">
        <v>8</v>
      </c>
      <c r="F1351" s="56"/>
    </row>
    <row r="1352" spans="1:6" ht="15">
      <c r="A1352" s="51">
        <v>290199</v>
      </c>
      <c r="B1352" t="s">
        <v>1447</v>
      </c>
      <c r="C1352" s="39" t="s">
        <v>1284</v>
      </c>
      <c r="D1352">
        <v>8</v>
      </c>
      <c r="F1352" s="56"/>
    </row>
    <row r="1353" spans="1:6" ht="15">
      <c r="A1353" s="51">
        <v>290200</v>
      </c>
      <c r="B1353" t="s">
        <v>1448</v>
      </c>
      <c r="C1353" s="39" t="s">
        <v>1449</v>
      </c>
      <c r="D1353" t="s">
        <v>4244</v>
      </c>
      <c r="F1353" s="56"/>
    </row>
    <row r="1354" spans="1:6" ht="15">
      <c r="A1354" s="51">
        <v>290201</v>
      </c>
      <c r="B1354" t="s">
        <v>1450</v>
      </c>
      <c r="C1354" s="39" t="s">
        <v>1449</v>
      </c>
      <c r="D1354" t="s">
        <v>4244</v>
      </c>
      <c r="F1354" s="56"/>
    </row>
    <row r="1355" spans="1:6" ht="15">
      <c r="A1355" s="51">
        <v>290202</v>
      </c>
      <c r="B1355" t="s">
        <v>1451</v>
      </c>
      <c r="C1355" s="39" t="s">
        <v>1452</v>
      </c>
      <c r="D1355" t="s">
        <v>4244</v>
      </c>
      <c r="F1355" s="56"/>
    </row>
    <row r="1356" spans="1:6" ht="15">
      <c r="A1356" s="51">
        <v>290203</v>
      </c>
      <c r="B1356" t="s">
        <v>1453</v>
      </c>
      <c r="C1356" s="39" t="s">
        <v>1452</v>
      </c>
      <c r="D1356" t="s">
        <v>4244</v>
      </c>
      <c r="F1356" s="56"/>
    </row>
    <row r="1357" spans="1:6" ht="15">
      <c r="A1357" s="51">
        <v>290204</v>
      </c>
      <c r="B1357" t="s">
        <v>1454</v>
      </c>
      <c r="C1357" s="39" t="s">
        <v>1455</v>
      </c>
      <c r="D1357">
        <v>8</v>
      </c>
      <c r="F1357" s="56"/>
    </row>
    <row r="1358" spans="1:6" ht="15">
      <c r="A1358" s="51">
        <v>290205</v>
      </c>
      <c r="B1358" t="s">
        <v>1456</v>
      </c>
      <c r="C1358" s="39" t="s">
        <v>1457</v>
      </c>
      <c r="D1358" t="s">
        <v>4244</v>
      </c>
      <c r="F1358" s="56"/>
    </row>
    <row r="1359" spans="1:6" ht="15">
      <c r="A1359" s="51">
        <v>290206</v>
      </c>
      <c r="B1359" t="s">
        <v>1458</v>
      </c>
      <c r="C1359" s="39" t="s">
        <v>1459</v>
      </c>
      <c r="D1359" t="s">
        <v>4244</v>
      </c>
      <c r="F1359" s="56"/>
    </row>
    <row r="1360" spans="1:6" ht="15">
      <c r="A1360" s="51">
        <v>290207</v>
      </c>
      <c r="B1360" t="s">
        <v>1460</v>
      </c>
      <c r="C1360" s="39" t="s">
        <v>1459</v>
      </c>
      <c r="D1360" t="s">
        <v>4244</v>
      </c>
      <c r="F1360" s="56"/>
    </row>
    <row r="1361" spans="1:6" ht="15">
      <c r="A1361" s="51">
        <v>290208</v>
      </c>
      <c r="B1361" t="s">
        <v>1461</v>
      </c>
      <c r="C1361" s="39" t="s">
        <v>1462</v>
      </c>
      <c r="D1361" t="s">
        <v>4247</v>
      </c>
      <c r="F1361" s="56"/>
    </row>
    <row r="1362" spans="1:6" ht="15">
      <c r="A1362" s="51">
        <v>290209</v>
      </c>
      <c r="B1362" t="s">
        <v>1463</v>
      </c>
      <c r="C1362" s="39" t="s">
        <v>1462</v>
      </c>
      <c r="D1362" t="s">
        <v>4247</v>
      </c>
      <c r="F1362" s="56"/>
    </row>
    <row r="1363" spans="1:6" ht="15">
      <c r="A1363" s="51">
        <v>290210</v>
      </c>
      <c r="B1363" t="s">
        <v>212</v>
      </c>
      <c r="C1363" s="39" t="s">
        <v>1464</v>
      </c>
      <c r="D1363" t="s">
        <v>4243</v>
      </c>
      <c r="F1363" s="56"/>
    </row>
    <row r="1364" spans="1:6" ht="15">
      <c r="A1364" s="51">
        <v>290211</v>
      </c>
      <c r="B1364" t="s">
        <v>1465</v>
      </c>
      <c r="C1364" s="39" t="s">
        <v>1466</v>
      </c>
      <c r="D1364">
        <v>7</v>
      </c>
      <c r="F1364" s="56"/>
    </row>
    <row r="1365" spans="1:6" ht="15">
      <c r="A1365" s="51">
        <v>290212</v>
      </c>
      <c r="B1365" t="s">
        <v>1467</v>
      </c>
      <c r="C1365" s="39" t="s">
        <v>1466</v>
      </c>
      <c r="D1365">
        <v>7</v>
      </c>
      <c r="F1365" s="56"/>
    </row>
    <row r="1366" spans="1:6" ht="15">
      <c r="A1366" s="51">
        <v>290213</v>
      </c>
      <c r="B1366" t="s">
        <v>1468</v>
      </c>
      <c r="C1366" s="39" t="s">
        <v>1466</v>
      </c>
      <c r="D1366">
        <v>8</v>
      </c>
      <c r="F1366" s="56"/>
    </row>
    <row r="1367" spans="1:6" ht="15">
      <c r="A1367" s="51">
        <v>290214</v>
      </c>
      <c r="B1367" t="s">
        <v>967</v>
      </c>
      <c r="C1367" s="39" t="s">
        <v>1469</v>
      </c>
      <c r="D1367">
        <v>8</v>
      </c>
      <c r="F1367" s="56"/>
    </row>
    <row r="1368" spans="1:6" ht="15">
      <c r="A1368" s="51">
        <v>290215</v>
      </c>
      <c r="B1368" t="s">
        <v>1470</v>
      </c>
      <c r="C1368" s="39" t="s">
        <v>1471</v>
      </c>
      <c r="D1368" t="s">
        <v>4243</v>
      </c>
      <c r="F1368" s="56"/>
    </row>
    <row r="1369" spans="1:6" ht="15">
      <c r="A1369" s="51">
        <v>290216</v>
      </c>
      <c r="B1369" t="s">
        <v>421</v>
      </c>
      <c r="C1369" s="39" t="s">
        <v>228</v>
      </c>
      <c r="D1369">
        <v>9</v>
      </c>
      <c r="F1369" s="56"/>
    </row>
    <row r="1370" spans="1:6" ht="15">
      <c r="A1370" s="51">
        <v>290217</v>
      </c>
      <c r="B1370" t="s">
        <v>1194</v>
      </c>
      <c r="C1370" s="39" t="s">
        <v>228</v>
      </c>
      <c r="D1370">
        <v>9</v>
      </c>
      <c r="F1370" s="56"/>
    </row>
    <row r="1371" spans="1:6" ht="15">
      <c r="A1371" s="51">
        <v>290218</v>
      </c>
      <c r="B1371" t="s">
        <v>1472</v>
      </c>
      <c r="C1371" s="39" t="s">
        <v>228</v>
      </c>
      <c r="D1371">
        <v>9</v>
      </c>
      <c r="F1371" s="56"/>
    </row>
    <row r="1372" spans="1:6" ht="15">
      <c r="A1372" s="51">
        <v>290219</v>
      </c>
      <c r="B1372" t="s">
        <v>1473</v>
      </c>
      <c r="C1372" s="39" t="s">
        <v>1474</v>
      </c>
      <c r="D1372" t="s">
        <v>4244</v>
      </c>
      <c r="F1372" s="56"/>
    </row>
    <row r="1373" spans="1:6" ht="15">
      <c r="A1373" s="51">
        <v>290220</v>
      </c>
      <c r="B1373" t="s">
        <v>1475</v>
      </c>
      <c r="C1373" s="39" t="s">
        <v>1474</v>
      </c>
      <c r="D1373" t="s">
        <v>4244</v>
      </c>
      <c r="F1373" s="56"/>
    </row>
    <row r="1374" spans="1:6" ht="15">
      <c r="A1374" s="51">
        <v>290221</v>
      </c>
      <c r="B1374" t="s">
        <v>1476</v>
      </c>
      <c r="C1374" s="39" t="s">
        <v>1474</v>
      </c>
      <c r="D1374" t="s">
        <v>4243</v>
      </c>
      <c r="F1374" s="56"/>
    </row>
    <row r="1375" spans="1:6" ht="15">
      <c r="A1375" s="51">
        <v>290222</v>
      </c>
      <c r="B1375" t="s">
        <v>1477</v>
      </c>
      <c r="C1375" s="39" t="s">
        <v>1478</v>
      </c>
      <c r="D1375">
        <v>9</v>
      </c>
      <c r="F1375" s="56"/>
    </row>
    <row r="1376" spans="1:6" ht="15">
      <c r="A1376" s="51">
        <v>290223</v>
      </c>
      <c r="B1376" t="s">
        <v>1479</v>
      </c>
      <c r="C1376" s="39" t="s">
        <v>1480</v>
      </c>
      <c r="D1376">
        <v>8</v>
      </c>
      <c r="F1376" s="56"/>
    </row>
    <row r="1377" spans="1:6" ht="15">
      <c r="A1377" s="51">
        <v>290224</v>
      </c>
      <c r="B1377" t="s">
        <v>1481</v>
      </c>
      <c r="C1377" s="39" t="s">
        <v>1482</v>
      </c>
      <c r="D1377" t="s">
        <v>4244</v>
      </c>
      <c r="F1377" s="56"/>
    </row>
    <row r="1378" spans="1:6" ht="15">
      <c r="A1378" s="51">
        <v>290225</v>
      </c>
      <c r="B1378" t="s">
        <v>1483</v>
      </c>
      <c r="C1378" s="39" t="s">
        <v>1484</v>
      </c>
      <c r="D1378">
        <v>8</v>
      </c>
      <c r="F1378" s="56"/>
    </row>
    <row r="1379" spans="1:6" ht="15">
      <c r="A1379" s="51">
        <v>290226</v>
      </c>
      <c r="B1379" t="s">
        <v>1485</v>
      </c>
      <c r="C1379" s="39" t="s">
        <v>1486</v>
      </c>
      <c r="D1379">
        <v>8</v>
      </c>
      <c r="F1379" s="56"/>
    </row>
    <row r="1380" spans="1:6" ht="15">
      <c r="A1380" s="51">
        <v>290227</v>
      </c>
      <c r="B1380" t="s">
        <v>1487</v>
      </c>
      <c r="C1380" s="39" t="s">
        <v>241</v>
      </c>
      <c r="D1380" t="s">
        <v>4249</v>
      </c>
      <c r="F1380" s="56"/>
    </row>
    <row r="1381" spans="1:6" ht="15">
      <c r="A1381" s="51">
        <v>290228</v>
      </c>
      <c r="B1381" t="s">
        <v>1202</v>
      </c>
      <c r="C1381" s="39" t="s">
        <v>1488</v>
      </c>
      <c r="D1381" t="s">
        <v>4246</v>
      </c>
      <c r="F1381" s="56"/>
    </row>
    <row r="1382" spans="1:6" ht="15">
      <c r="A1382" s="51">
        <v>290229</v>
      </c>
      <c r="B1382" t="s">
        <v>1115</v>
      </c>
      <c r="C1382" s="39" t="s">
        <v>1488</v>
      </c>
      <c r="D1382" t="s">
        <v>4243</v>
      </c>
      <c r="F1382" s="56"/>
    </row>
    <row r="1383" spans="1:6" ht="15">
      <c r="A1383" s="51">
        <v>290230</v>
      </c>
      <c r="B1383" t="s">
        <v>1489</v>
      </c>
      <c r="C1383" s="39" t="s">
        <v>1488</v>
      </c>
      <c r="D1383">
        <v>8</v>
      </c>
      <c r="F1383" s="56"/>
    </row>
    <row r="1384" spans="1:6" ht="15">
      <c r="A1384" s="51">
        <v>290231</v>
      </c>
      <c r="B1384" t="s">
        <v>1120</v>
      </c>
      <c r="C1384" s="39" t="s">
        <v>1490</v>
      </c>
      <c r="D1384" t="s">
        <v>4243</v>
      </c>
      <c r="F1384" s="56"/>
    </row>
    <row r="1385" spans="1:6" ht="15">
      <c r="A1385" s="51">
        <v>290232</v>
      </c>
      <c r="B1385" t="s">
        <v>1491</v>
      </c>
      <c r="C1385" s="39" t="s">
        <v>426</v>
      </c>
      <c r="D1385" t="s">
        <v>4247</v>
      </c>
      <c r="F1385" s="56"/>
    </row>
    <row r="1386" spans="1:6" ht="15">
      <c r="A1386" s="51">
        <v>290233</v>
      </c>
      <c r="B1386" t="s">
        <v>1492</v>
      </c>
      <c r="C1386" s="39" t="s">
        <v>1493</v>
      </c>
      <c r="D1386">
        <v>8</v>
      </c>
      <c r="F1386" s="56"/>
    </row>
    <row r="1387" spans="1:6" ht="15">
      <c r="A1387" s="51">
        <v>290234</v>
      </c>
      <c r="B1387" t="s">
        <v>1494</v>
      </c>
      <c r="C1387" s="39" t="s">
        <v>1495</v>
      </c>
      <c r="D1387" t="s">
        <v>4244</v>
      </c>
      <c r="F1387" s="56"/>
    </row>
    <row r="1388" spans="1:6" ht="15">
      <c r="A1388" s="51">
        <v>290235</v>
      </c>
      <c r="B1388" t="s">
        <v>1496</v>
      </c>
      <c r="C1388" s="39" t="s">
        <v>1495</v>
      </c>
      <c r="D1388">
        <v>8</v>
      </c>
      <c r="F1388" s="56"/>
    </row>
    <row r="1389" spans="1:6" ht="15">
      <c r="A1389" s="51">
        <v>290236</v>
      </c>
      <c r="B1389" t="s">
        <v>1497</v>
      </c>
      <c r="C1389" s="39" t="s">
        <v>1495</v>
      </c>
      <c r="D1389">
        <v>8</v>
      </c>
      <c r="F1389" s="56"/>
    </row>
    <row r="1390" spans="1:6" ht="15">
      <c r="A1390" s="51">
        <v>290237</v>
      </c>
      <c r="B1390" t="s">
        <v>1498</v>
      </c>
      <c r="C1390" s="39" t="s">
        <v>1499</v>
      </c>
      <c r="D1390">
        <v>8</v>
      </c>
      <c r="F1390" s="56"/>
    </row>
    <row r="1391" spans="1:6" ht="15">
      <c r="A1391" s="51">
        <v>290238</v>
      </c>
      <c r="B1391" t="s">
        <v>1500</v>
      </c>
      <c r="C1391" s="39" t="s">
        <v>1501</v>
      </c>
      <c r="D1391" t="s">
        <v>4244</v>
      </c>
      <c r="F1391" s="56"/>
    </row>
    <row r="1392" spans="1:6" ht="15">
      <c r="A1392" s="51">
        <v>290239</v>
      </c>
      <c r="B1392" t="s">
        <v>1502</v>
      </c>
      <c r="C1392" s="39" t="s">
        <v>1501</v>
      </c>
      <c r="D1392">
        <v>8</v>
      </c>
      <c r="F1392" s="56"/>
    </row>
    <row r="1393" spans="1:6" ht="15">
      <c r="A1393" s="51">
        <v>290240</v>
      </c>
      <c r="B1393" t="s">
        <v>1503</v>
      </c>
      <c r="C1393" s="39" t="s">
        <v>1504</v>
      </c>
      <c r="D1393" t="s">
        <v>4244</v>
      </c>
      <c r="F1393" s="56"/>
    </row>
    <row r="1394" spans="1:6" ht="15">
      <c r="A1394" s="51">
        <v>290241</v>
      </c>
      <c r="B1394" t="s">
        <v>1505</v>
      </c>
      <c r="C1394" s="39" t="s">
        <v>1506</v>
      </c>
      <c r="D1394">
        <v>8</v>
      </c>
      <c r="F1394" s="56"/>
    </row>
    <row r="1395" spans="1:6" ht="15">
      <c r="A1395" s="51">
        <v>290242</v>
      </c>
      <c r="B1395" t="s">
        <v>1507</v>
      </c>
      <c r="C1395" s="39" t="s">
        <v>1308</v>
      </c>
      <c r="D1395">
        <v>8</v>
      </c>
      <c r="F1395" s="56"/>
    </row>
    <row r="1396" spans="1:6" ht="15">
      <c r="A1396" s="51">
        <v>290243</v>
      </c>
      <c r="B1396" t="s">
        <v>1508</v>
      </c>
      <c r="C1396" s="39" t="s">
        <v>1308</v>
      </c>
      <c r="D1396">
        <v>8</v>
      </c>
      <c r="F1396" s="56"/>
    </row>
    <row r="1397" spans="1:6" ht="15">
      <c r="A1397" s="51">
        <v>290244</v>
      </c>
      <c r="B1397" t="s">
        <v>257</v>
      </c>
      <c r="C1397" s="39" t="s">
        <v>1509</v>
      </c>
      <c r="D1397">
        <v>9</v>
      </c>
      <c r="F1397" s="56"/>
    </row>
    <row r="1398" spans="1:6" ht="15">
      <c r="A1398" s="51">
        <v>290245</v>
      </c>
      <c r="B1398" t="s">
        <v>259</v>
      </c>
      <c r="C1398" s="39" t="s">
        <v>258</v>
      </c>
      <c r="D1398">
        <v>9</v>
      </c>
      <c r="F1398" s="56"/>
    </row>
    <row r="1399" spans="1:6" ht="15">
      <c r="A1399" s="51">
        <v>290246</v>
      </c>
      <c r="B1399" t="s">
        <v>441</v>
      </c>
      <c r="C1399" s="39" t="s">
        <v>258</v>
      </c>
      <c r="D1399">
        <v>9</v>
      </c>
      <c r="F1399" s="56"/>
    </row>
    <row r="1400" spans="1:6" ht="15">
      <c r="A1400" s="51">
        <v>290247</v>
      </c>
      <c r="B1400" t="s">
        <v>443</v>
      </c>
      <c r="C1400" s="39" t="s">
        <v>258</v>
      </c>
      <c r="D1400">
        <v>9</v>
      </c>
      <c r="F1400" s="56"/>
    </row>
    <row r="1401" spans="1:6" ht="15">
      <c r="A1401" s="51">
        <v>290248</v>
      </c>
      <c r="B1401" t="s">
        <v>444</v>
      </c>
      <c r="C1401" s="39" t="s">
        <v>258</v>
      </c>
      <c r="D1401">
        <v>9</v>
      </c>
      <c r="F1401" s="56"/>
    </row>
    <row r="1402" spans="1:6" ht="15">
      <c r="A1402" s="51">
        <v>290249</v>
      </c>
      <c r="B1402" t="s">
        <v>1510</v>
      </c>
      <c r="C1402" s="39" t="s">
        <v>450</v>
      </c>
      <c r="D1402">
        <v>9</v>
      </c>
      <c r="F1402" s="56"/>
    </row>
    <row r="1403" spans="1:6" ht="15">
      <c r="A1403" s="51">
        <v>290250</v>
      </c>
      <c r="B1403" t="s">
        <v>1511</v>
      </c>
      <c r="C1403" s="39" t="s">
        <v>1512</v>
      </c>
      <c r="D1403">
        <v>9</v>
      </c>
      <c r="F1403" s="56"/>
    </row>
    <row r="1404" spans="1:6" ht="15">
      <c r="A1404" s="51">
        <v>290251</v>
      </c>
      <c r="B1404" t="s">
        <v>1513</v>
      </c>
      <c r="C1404" s="39" t="s">
        <v>1512</v>
      </c>
      <c r="D1404">
        <v>9</v>
      </c>
      <c r="F1404" s="56"/>
    </row>
    <row r="1405" spans="1:6" ht="15">
      <c r="A1405" s="51">
        <v>290253</v>
      </c>
      <c r="B1405" t="s">
        <v>1514</v>
      </c>
      <c r="C1405" s="39" t="s">
        <v>1515</v>
      </c>
      <c r="D1405" t="s">
        <v>468</v>
      </c>
      <c r="F1405" s="56"/>
    </row>
    <row r="1406" spans="1:6" ht="15">
      <c r="A1406" s="51">
        <v>290254</v>
      </c>
      <c r="B1406" t="s">
        <v>1516</v>
      </c>
      <c r="C1406" s="39" t="s">
        <v>1517</v>
      </c>
      <c r="D1406">
        <v>7</v>
      </c>
      <c r="F1406" s="56"/>
    </row>
    <row r="1407" spans="1:6" ht="15">
      <c r="A1407" s="51">
        <v>290255</v>
      </c>
      <c r="B1407" t="s">
        <v>294</v>
      </c>
      <c r="C1407" s="39" t="s">
        <v>1518</v>
      </c>
      <c r="D1407">
        <v>8</v>
      </c>
      <c r="F1407" s="56"/>
    </row>
    <row r="1408" spans="1:6" ht="15">
      <c r="A1408" s="51">
        <v>290256</v>
      </c>
      <c r="B1408" t="s">
        <v>296</v>
      </c>
      <c r="C1408" s="39" t="s">
        <v>1518</v>
      </c>
      <c r="D1408">
        <v>8</v>
      </c>
      <c r="F1408" s="56"/>
    </row>
    <row r="1409" spans="1:6" ht="15">
      <c r="A1409" s="51">
        <v>290257</v>
      </c>
      <c r="B1409" t="s">
        <v>1519</v>
      </c>
      <c r="C1409" s="39" t="s">
        <v>1518</v>
      </c>
      <c r="D1409">
        <v>8</v>
      </c>
      <c r="F1409" s="56"/>
    </row>
    <row r="1410" spans="1:6" ht="15">
      <c r="A1410" s="51">
        <v>290258</v>
      </c>
      <c r="B1410" t="s">
        <v>1520</v>
      </c>
      <c r="C1410" s="39" t="s">
        <v>1521</v>
      </c>
      <c r="D1410" t="s">
        <v>4243</v>
      </c>
      <c r="F1410" s="56"/>
    </row>
    <row r="1411" spans="1:6" ht="15">
      <c r="A1411" s="51">
        <v>290303</v>
      </c>
      <c r="B1411" t="s">
        <v>87</v>
      </c>
      <c r="C1411" s="39" t="s">
        <v>88</v>
      </c>
      <c r="D1411">
        <v>8</v>
      </c>
      <c r="F1411" s="56"/>
    </row>
    <row r="1412" spans="1:6" ht="15">
      <c r="A1412" s="51">
        <v>290304</v>
      </c>
      <c r="B1412" t="s">
        <v>1522</v>
      </c>
      <c r="C1412" s="39" t="s">
        <v>1523</v>
      </c>
      <c r="D1412">
        <v>7</v>
      </c>
      <c r="F1412" s="56"/>
    </row>
    <row r="1413" spans="1:6" ht="15">
      <c r="A1413" s="51">
        <v>290305</v>
      </c>
      <c r="B1413" t="s">
        <v>994</v>
      </c>
      <c r="C1413" s="39" t="s">
        <v>1524</v>
      </c>
      <c r="D1413" t="s">
        <v>4245</v>
      </c>
      <c r="F1413" s="56"/>
    </row>
    <row r="1414" spans="1:6" ht="15">
      <c r="A1414" s="51">
        <v>290306</v>
      </c>
      <c r="B1414" t="s">
        <v>311</v>
      </c>
      <c r="C1414" s="39" t="s">
        <v>1524</v>
      </c>
      <c r="D1414" t="s">
        <v>4244</v>
      </c>
      <c r="F1414" s="56"/>
    </row>
    <row r="1415" spans="1:6" ht="15">
      <c r="A1415" s="51">
        <v>290307</v>
      </c>
      <c r="B1415" t="s">
        <v>1355</v>
      </c>
      <c r="C1415" s="39" t="s">
        <v>1524</v>
      </c>
      <c r="D1415" t="s">
        <v>4243</v>
      </c>
      <c r="F1415" s="56"/>
    </row>
    <row r="1416" spans="1:6" ht="15">
      <c r="A1416" s="51">
        <v>290308</v>
      </c>
      <c r="B1416" t="s">
        <v>1525</v>
      </c>
      <c r="C1416" s="39" t="s">
        <v>1524</v>
      </c>
      <c r="D1416">
        <v>8</v>
      </c>
      <c r="F1416" s="56"/>
    </row>
    <row r="1417" spans="1:6" ht="15">
      <c r="A1417" s="51">
        <v>290309</v>
      </c>
      <c r="B1417" t="s">
        <v>1526</v>
      </c>
      <c r="C1417" s="39" t="s">
        <v>329</v>
      </c>
      <c r="D1417">
        <v>7</v>
      </c>
      <c r="F1417" s="56"/>
    </row>
    <row r="1418" spans="1:6" ht="15">
      <c r="A1418" s="51">
        <v>290310</v>
      </c>
      <c r="B1418" t="s">
        <v>1527</v>
      </c>
      <c r="C1418" s="39" t="s">
        <v>1528</v>
      </c>
      <c r="D1418" t="s">
        <v>4245</v>
      </c>
      <c r="F1418" s="56"/>
    </row>
    <row r="1419" spans="1:6" ht="15">
      <c r="A1419" s="51">
        <v>290311</v>
      </c>
      <c r="B1419" t="s">
        <v>995</v>
      </c>
      <c r="C1419" s="39" t="s">
        <v>1528</v>
      </c>
      <c r="D1419" t="s">
        <v>4246</v>
      </c>
      <c r="F1419" s="56"/>
    </row>
    <row r="1420" spans="1:6" ht="15">
      <c r="A1420" s="51">
        <v>290312</v>
      </c>
      <c r="B1420" t="s">
        <v>1529</v>
      </c>
      <c r="C1420" s="39" t="s">
        <v>1528</v>
      </c>
      <c r="D1420" t="s">
        <v>4244</v>
      </c>
      <c r="F1420" s="56"/>
    </row>
    <row r="1421" spans="1:6" ht="15">
      <c r="A1421" s="51">
        <v>290313</v>
      </c>
      <c r="B1421" t="s">
        <v>1530</v>
      </c>
      <c r="C1421" s="39" t="s">
        <v>1528</v>
      </c>
      <c r="D1421" t="s">
        <v>4243</v>
      </c>
      <c r="F1421" s="56"/>
    </row>
    <row r="1422" spans="1:6" ht="15">
      <c r="A1422" s="51">
        <v>290314</v>
      </c>
      <c r="B1422" t="s">
        <v>1531</v>
      </c>
      <c r="C1422" s="39" t="s">
        <v>1528</v>
      </c>
      <c r="D1422" t="s">
        <v>4245</v>
      </c>
      <c r="F1422" s="56"/>
    </row>
    <row r="1423" spans="1:6" ht="15">
      <c r="A1423" s="51">
        <v>290315</v>
      </c>
      <c r="B1423" t="s">
        <v>1532</v>
      </c>
      <c r="C1423" s="39" t="s">
        <v>1528</v>
      </c>
      <c r="D1423" t="s">
        <v>4246</v>
      </c>
      <c r="F1423" s="56"/>
    </row>
    <row r="1424" spans="1:6" ht="15">
      <c r="A1424" s="51">
        <v>290316</v>
      </c>
      <c r="B1424" t="s">
        <v>338</v>
      </c>
      <c r="C1424" s="39" t="s">
        <v>99</v>
      </c>
      <c r="D1424">
        <v>7</v>
      </c>
      <c r="F1424" s="56"/>
    </row>
    <row r="1425" spans="1:6" ht="15">
      <c r="A1425" s="51">
        <v>290317</v>
      </c>
      <c r="B1425" t="s">
        <v>100</v>
      </c>
      <c r="C1425" s="39" t="s">
        <v>104</v>
      </c>
      <c r="D1425" t="s">
        <v>4243</v>
      </c>
      <c r="F1425" s="56"/>
    </row>
    <row r="1426" spans="1:6" ht="15">
      <c r="A1426" s="51">
        <v>290318</v>
      </c>
      <c r="B1426" t="s">
        <v>103</v>
      </c>
      <c r="C1426" s="39" t="s">
        <v>106</v>
      </c>
      <c r="D1426" t="s">
        <v>4245</v>
      </c>
      <c r="F1426" s="56"/>
    </row>
    <row r="1427" spans="1:6" ht="15">
      <c r="A1427" s="51">
        <v>290319</v>
      </c>
      <c r="B1427" t="s">
        <v>110</v>
      </c>
      <c r="C1427" s="39" t="s">
        <v>999</v>
      </c>
      <c r="D1427" t="s">
        <v>468</v>
      </c>
      <c r="F1427" s="56"/>
    </row>
    <row r="1428" spans="1:6" ht="15">
      <c r="A1428" s="51">
        <v>290320</v>
      </c>
      <c r="B1428" t="s">
        <v>1158</v>
      </c>
      <c r="C1428" s="39" t="s">
        <v>999</v>
      </c>
      <c r="D1428" t="s">
        <v>469</v>
      </c>
      <c r="F1428" s="56"/>
    </row>
    <row r="1429" spans="1:6" ht="15">
      <c r="A1429" s="51">
        <v>290321</v>
      </c>
      <c r="B1429" t="s">
        <v>1159</v>
      </c>
      <c r="C1429" s="39" t="s">
        <v>999</v>
      </c>
      <c r="D1429" t="s">
        <v>471</v>
      </c>
      <c r="F1429" s="56"/>
    </row>
    <row r="1430" spans="1:6" ht="15">
      <c r="A1430" s="51">
        <v>290322</v>
      </c>
      <c r="B1430" t="s">
        <v>348</v>
      </c>
      <c r="C1430" s="39" t="s">
        <v>542</v>
      </c>
      <c r="D1430" t="s">
        <v>4245</v>
      </c>
      <c r="F1430" s="56"/>
    </row>
    <row r="1431" spans="1:6" ht="15">
      <c r="A1431" s="51">
        <v>290323</v>
      </c>
      <c r="B1431" t="s">
        <v>350</v>
      </c>
      <c r="C1431" s="39" t="s">
        <v>542</v>
      </c>
      <c r="D1431" t="s">
        <v>4246</v>
      </c>
      <c r="F1431" s="56"/>
    </row>
    <row r="1432" spans="1:6" ht="15">
      <c r="A1432" s="51">
        <v>290324</v>
      </c>
      <c r="B1432" t="s">
        <v>351</v>
      </c>
      <c r="C1432" s="39" t="s">
        <v>542</v>
      </c>
      <c r="D1432" t="s">
        <v>4244</v>
      </c>
      <c r="F1432" s="56"/>
    </row>
    <row r="1433" spans="1:6" ht="15">
      <c r="A1433" s="51">
        <v>290325</v>
      </c>
      <c r="B1433" t="s">
        <v>358</v>
      </c>
      <c r="C1433" s="39" t="s">
        <v>359</v>
      </c>
      <c r="D1433" t="s">
        <v>4245</v>
      </c>
      <c r="F1433" s="56"/>
    </row>
    <row r="1434" spans="1:6" ht="15">
      <c r="A1434" s="51">
        <v>290326</v>
      </c>
      <c r="B1434" t="s">
        <v>360</v>
      </c>
      <c r="C1434" s="39" t="s">
        <v>359</v>
      </c>
      <c r="D1434" t="s">
        <v>4246</v>
      </c>
      <c r="F1434" s="56"/>
    </row>
    <row r="1435" spans="1:6" ht="15">
      <c r="A1435" s="51">
        <v>290327</v>
      </c>
      <c r="B1435" t="s">
        <v>1533</v>
      </c>
      <c r="C1435" s="39" t="s">
        <v>362</v>
      </c>
      <c r="D1435" t="s">
        <v>4247</v>
      </c>
      <c r="F1435" s="56"/>
    </row>
    <row r="1436" spans="1:6" ht="15">
      <c r="A1436" s="51">
        <v>290328</v>
      </c>
      <c r="B1436" t="s">
        <v>131</v>
      </c>
      <c r="C1436" s="39" t="s">
        <v>132</v>
      </c>
      <c r="D1436">
        <v>8</v>
      </c>
      <c r="F1436" s="56"/>
    </row>
    <row r="1437" spans="1:6" ht="15">
      <c r="A1437" s="51">
        <v>290329</v>
      </c>
      <c r="B1437" t="s">
        <v>1022</v>
      </c>
      <c r="C1437" s="39" t="s">
        <v>132</v>
      </c>
      <c r="D1437">
        <v>8</v>
      </c>
      <c r="F1437" s="56"/>
    </row>
    <row r="1438" spans="1:6" ht="15">
      <c r="A1438" s="51">
        <v>290330</v>
      </c>
      <c r="B1438" t="s">
        <v>1534</v>
      </c>
      <c r="C1438" s="39" t="s">
        <v>132</v>
      </c>
      <c r="D1438">
        <v>8</v>
      </c>
      <c r="F1438" s="56"/>
    </row>
    <row r="1439" spans="1:6" ht="15">
      <c r="A1439" s="51">
        <v>290331</v>
      </c>
      <c r="B1439" t="s">
        <v>1535</v>
      </c>
      <c r="C1439" s="39" t="s">
        <v>134</v>
      </c>
      <c r="D1439">
        <v>9</v>
      </c>
      <c r="F1439" s="56"/>
    </row>
    <row r="1440" spans="1:6" ht="15">
      <c r="A1440" s="51">
        <v>290332</v>
      </c>
      <c r="B1440" t="s">
        <v>1402</v>
      </c>
      <c r="C1440" s="39" t="s">
        <v>138</v>
      </c>
      <c r="D1440">
        <v>9</v>
      </c>
      <c r="F1440" s="56"/>
    </row>
    <row r="1441" spans="1:6" ht="15">
      <c r="A1441" s="51">
        <v>290333</v>
      </c>
      <c r="B1441" t="s">
        <v>1023</v>
      </c>
      <c r="C1441" s="39" t="s">
        <v>1024</v>
      </c>
      <c r="D1441" t="s">
        <v>4243</v>
      </c>
      <c r="F1441" s="56"/>
    </row>
    <row r="1442" spans="1:6" ht="15">
      <c r="A1442" s="51">
        <v>290334</v>
      </c>
      <c r="B1442" t="s">
        <v>1027</v>
      </c>
      <c r="C1442" s="39" t="s">
        <v>1536</v>
      </c>
      <c r="D1442" t="s">
        <v>4245</v>
      </c>
      <c r="F1442" s="56"/>
    </row>
    <row r="1443" spans="1:6" ht="15">
      <c r="A1443" s="51">
        <v>290335</v>
      </c>
      <c r="B1443" t="s">
        <v>1029</v>
      </c>
      <c r="C1443" s="39" t="s">
        <v>1536</v>
      </c>
      <c r="D1443" t="s">
        <v>4246</v>
      </c>
      <c r="F1443" s="56"/>
    </row>
    <row r="1444" spans="1:6" ht="15">
      <c r="A1444" s="51">
        <v>290336</v>
      </c>
      <c r="B1444" t="s">
        <v>1537</v>
      </c>
      <c r="C1444" s="39" t="s">
        <v>1536</v>
      </c>
      <c r="D1444" t="s">
        <v>4244</v>
      </c>
      <c r="F1444" s="56"/>
    </row>
    <row r="1445" spans="1:6" ht="15">
      <c r="A1445" s="51">
        <v>290337</v>
      </c>
      <c r="B1445" t="s">
        <v>372</v>
      </c>
      <c r="C1445" s="39" t="s">
        <v>896</v>
      </c>
      <c r="D1445">
        <v>8</v>
      </c>
      <c r="F1445" s="56"/>
    </row>
    <row r="1446" spans="1:6" ht="15">
      <c r="A1446" s="51">
        <v>290338</v>
      </c>
      <c r="B1446" t="s">
        <v>376</v>
      </c>
      <c r="C1446" s="39" t="s">
        <v>1538</v>
      </c>
      <c r="D1446" t="s">
        <v>4246</v>
      </c>
      <c r="F1446" s="56"/>
    </row>
    <row r="1447" spans="1:6" ht="15">
      <c r="A1447" s="51">
        <v>290339</v>
      </c>
      <c r="B1447" t="s">
        <v>377</v>
      </c>
      <c r="C1447" s="39" t="s">
        <v>1538</v>
      </c>
      <c r="D1447" t="s">
        <v>4247</v>
      </c>
      <c r="F1447" s="56"/>
    </row>
    <row r="1448" spans="1:6" ht="15">
      <c r="A1448" s="51">
        <v>290340</v>
      </c>
      <c r="B1448" t="s">
        <v>378</v>
      </c>
      <c r="C1448" s="39" t="s">
        <v>1538</v>
      </c>
      <c r="D1448" t="s">
        <v>4243</v>
      </c>
      <c r="F1448" s="56"/>
    </row>
    <row r="1449" spans="1:6" ht="15">
      <c r="A1449" s="51">
        <v>290341</v>
      </c>
      <c r="B1449" t="s">
        <v>1216</v>
      </c>
      <c r="C1449" s="39" t="s">
        <v>1538</v>
      </c>
      <c r="D1449">
        <v>7</v>
      </c>
      <c r="F1449" s="56"/>
    </row>
    <row r="1450" spans="1:6" ht="15">
      <c r="A1450" s="51">
        <v>290342</v>
      </c>
      <c r="B1450" t="s">
        <v>1539</v>
      </c>
      <c r="C1450" s="39" t="s">
        <v>1540</v>
      </c>
      <c r="D1450">
        <v>8</v>
      </c>
      <c r="F1450" s="56"/>
    </row>
    <row r="1451" spans="1:6" ht="15">
      <c r="A1451" s="51">
        <v>290343</v>
      </c>
      <c r="B1451" t="s">
        <v>1541</v>
      </c>
      <c r="C1451" s="39" t="s">
        <v>1542</v>
      </c>
      <c r="D1451" t="s">
        <v>4247</v>
      </c>
      <c r="F1451" s="56"/>
    </row>
    <row r="1452" spans="1:6" ht="15">
      <c r="A1452" s="51">
        <v>290344</v>
      </c>
      <c r="B1452" t="s">
        <v>1543</v>
      </c>
      <c r="C1452" s="39" t="s">
        <v>1542</v>
      </c>
      <c r="D1452" t="s">
        <v>4247</v>
      </c>
      <c r="F1452" s="56"/>
    </row>
    <row r="1453" spans="1:6" ht="15">
      <c r="A1453" s="51">
        <v>290345</v>
      </c>
      <c r="B1453" t="s">
        <v>1544</v>
      </c>
      <c r="C1453" s="39" t="s">
        <v>1542</v>
      </c>
      <c r="D1453" t="s">
        <v>4243</v>
      </c>
      <c r="F1453" s="56"/>
    </row>
    <row r="1454" spans="1:6" ht="15">
      <c r="A1454" s="51">
        <v>290346</v>
      </c>
      <c r="B1454" t="s">
        <v>1545</v>
      </c>
      <c r="C1454" s="39" t="s">
        <v>1542</v>
      </c>
      <c r="D1454">
        <v>7</v>
      </c>
      <c r="F1454" s="56"/>
    </row>
    <row r="1455" spans="1:6" ht="15">
      <c r="A1455" s="51">
        <v>290347</v>
      </c>
      <c r="B1455" t="s">
        <v>1546</v>
      </c>
      <c r="C1455" s="39" t="s">
        <v>1542</v>
      </c>
      <c r="D1455">
        <v>8</v>
      </c>
      <c r="F1455" s="56"/>
    </row>
    <row r="1456" spans="1:6" ht="15">
      <c r="A1456" s="51">
        <v>290348</v>
      </c>
      <c r="B1456" t="s">
        <v>1547</v>
      </c>
      <c r="C1456" s="39" t="s">
        <v>1429</v>
      </c>
      <c r="D1456" t="s">
        <v>4244</v>
      </c>
      <c r="F1456" s="56"/>
    </row>
    <row r="1457" spans="1:6" ht="15">
      <c r="A1457" s="51">
        <v>290349</v>
      </c>
      <c r="B1457" t="s">
        <v>1548</v>
      </c>
      <c r="C1457" s="39" t="s">
        <v>1429</v>
      </c>
      <c r="D1457" t="s">
        <v>4244</v>
      </c>
      <c r="F1457" s="56"/>
    </row>
    <row r="1458" spans="1:6" ht="15">
      <c r="A1458" s="51">
        <v>290350</v>
      </c>
      <c r="B1458" t="s">
        <v>1549</v>
      </c>
      <c r="C1458" s="39" t="s">
        <v>1550</v>
      </c>
      <c r="D1458" t="s">
        <v>4247</v>
      </c>
      <c r="F1458" s="56"/>
    </row>
    <row r="1459" spans="1:6" ht="15">
      <c r="A1459" s="51">
        <v>290351</v>
      </c>
      <c r="B1459" t="s">
        <v>1551</v>
      </c>
      <c r="C1459" s="39" t="s">
        <v>1550</v>
      </c>
      <c r="D1459" t="s">
        <v>4247</v>
      </c>
      <c r="F1459" s="56"/>
    </row>
    <row r="1460" spans="1:6" ht="15">
      <c r="A1460" s="51">
        <v>290352</v>
      </c>
      <c r="B1460" t="s">
        <v>1552</v>
      </c>
      <c r="C1460" s="39" t="s">
        <v>1550</v>
      </c>
      <c r="D1460" t="s">
        <v>4243</v>
      </c>
      <c r="F1460" s="56"/>
    </row>
    <row r="1461" spans="1:6" ht="15">
      <c r="A1461" s="51">
        <v>290353</v>
      </c>
      <c r="B1461" t="s">
        <v>1553</v>
      </c>
      <c r="C1461" s="39" t="s">
        <v>1550</v>
      </c>
      <c r="D1461">
        <v>7</v>
      </c>
      <c r="F1461" s="56"/>
    </row>
    <row r="1462" spans="1:6" ht="15">
      <c r="A1462" s="51">
        <v>290354</v>
      </c>
      <c r="B1462" t="s">
        <v>164</v>
      </c>
      <c r="C1462" s="39" t="s">
        <v>1554</v>
      </c>
      <c r="D1462">
        <v>8</v>
      </c>
      <c r="F1462" s="56"/>
    </row>
    <row r="1463" spans="1:6" ht="15">
      <c r="A1463" s="51">
        <v>290355</v>
      </c>
      <c r="B1463" t="s">
        <v>1555</v>
      </c>
      <c r="C1463" s="39" t="s">
        <v>1554</v>
      </c>
      <c r="D1463">
        <v>9</v>
      </c>
      <c r="F1463" s="56"/>
    </row>
    <row r="1464" spans="1:6" ht="15">
      <c r="A1464" s="51">
        <v>290356</v>
      </c>
      <c r="B1464" t="s">
        <v>1556</v>
      </c>
      <c r="C1464" s="39" t="s">
        <v>1557</v>
      </c>
      <c r="D1464">
        <v>8</v>
      </c>
      <c r="F1464" s="56"/>
    </row>
    <row r="1465" spans="1:6" ht="15">
      <c r="A1465" s="51">
        <v>290357</v>
      </c>
      <c r="B1465" t="s">
        <v>1558</v>
      </c>
      <c r="C1465" s="39" t="s">
        <v>1559</v>
      </c>
      <c r="D1465">
        <v>7</v>
      </c>
      <c r="F1465" s="56"/>
    </row>
    <row r="1466" spans="1:6" ht="15">
      <c r="A1466" s="51">
        <v>290358</v>
      </c>
      <c r="B1466" t="s">
        <v>1560</v>
      </c>
      <c r="C1466" s="39" t="s">
        <v>1561</v>
      </c>
      <c r="D1466" t="s">
        <v>4245</v>
      </c>
      <c r="F1466" s="56"/>
    </row>
    <row r="1467" spans="1:6" ht="15">
      <c r="A1467" s="51">
        <v>290359</v>
      </c>
      <c r="B1467" t="s">
        <v>1562</v>
      </c>
      <c r="C1467" s="39" t="s">
        <v>1563</v>
      </c>
      <c r="D1467">
        <v>8</v>
      </c>
      <c r="F1467" s="56"/>
    </row>
    <row r="1468" spans="1:6" ht="15">
      <c r="A1468" s="51">
        <v>290360</v>
      </c>
      <c r="B1468" t="s">
        <v>187</v>
      </c>
      <c r="C1468" s="39" t="s">
        <v>1564</v>
      </c>
      <c r="D1468">
        <v>8</v>
      </c>
      <c r="F1468" s="56"/>
    </row>
    <row r="1469" spans="1:6" ht="15">
      <c r="A1469" s="51">
        <v>290361</v>
      </c>
      <c r="B1469" t="s">
        <v>398</v>
      </c>
      <c r="C1469" s="39" t="s">
        <v>1564</v>
      </c>
      <c r="D1469">
        <v>8</v>
      </c>
      <c r="F1469" s="56"/>
    </row>
    <row r="1470" spans="1:6" ht="15">
      <c r="A1470" s="51">
        <v>290362</v>
      </c>
      <c r="B1470" t="s">
        <v>1565</v>
      </c>
      <c r="C1470" s="39" t="s">
        <v>189</v>
      </c>
      <c r="D1470" t="s">
        <v>4247</v>
      </c>
      <c r="F1470" s="56"/>
    </row>
    <row r="1471" spans="1:6" ht="15">
      <c r="A1471" s="51">
        <v>290363</v>
      </c>
      <c r="B1471" t="s">
        <v>196</v>
      </c>
      <c r="C1471" s="39" t="s">
        <v>189</v>
      </c>
      <c r="D1471" t="s">
        <v>4247</v>
      </c>
      <c r="F1471" s="56"/>
    </row>
    <row r="1472" spans="1:6" ht="15">
      <c r="A1472" s="51">
        <v>290364</v>
      </c>
      <c r="B1472" t="s">
        <v>868</v>
      </c>
      <c r="C1472" s="39" t="s">
        <v>189</v>
      </c>
      <c r="D1472" t="s">
        <v>4243</v>
      </c>
      <c r="F1472" s="56"/>
    </row>
    <row r="1473" spans="1:6" ht="15">
      <c r="A1473" s="51">
        <v>290365</v>
      </c>
      <c r="B1473" t="s">
        <v>870</v>
      </c>
      <c r="C1473" s="39" t="s">
        <v>189</v>
      </c>
      <c r="D1473">
        <v>7</v>
      </c>
      <c r="F1473" s="56"/>
    </row>
    <row r="1474" spans="1:6" ht="15">
      <c r="A1474" s="51">
        <v>290260</v>
      </c>
      <c r="B1474" t="s">
        <v>1566</v>
      </c>
      <c r="C1474" s="39" t="s">
        <v>1442</v>
      </c>
      <c r="D1474" t="s">
        <v>4244</v>
      </c>
      <c r="F1474" s="56"/>
    </row>
    <row r="1475" spans="1:6" ht="15">
      <c r="A1475" s="51">
        <v>290261</v>
      </c>
      <c r="B1475" t="s">
        <v>1567</v>
      </c>
      <c r="C1475" s="39" t="s">
        <v>1442</v>
      </c>
      <c r="D1475" t="s">
        <v>4244</v>
      </c>
      <c r="F1475" s="56"/>
    </row>
    <row r="1476" spans="1:6" ht="15">
      <c r="A1476" s="51">
        <v>290262</v>
      </c>
      <c r="B1476" t="s">
        <v>404</v>
      </c>
      <c r="C1476" s="39" t="s">
        <v>405</v>
      </c>
      <c r="D1476">
        <v>8</v>
      </c>
      <c r="F1476" s="56"/>
    </row>
    <row r="1477" spans="1:6" ht="15">
      <c r="A1477" s="51">
        <v>290263</v>
      </c>
      <c r="B1477" t="s">
        <v>1568</v>
      </c>
      <c r="C1477" s="39" t="s">
        <v>405</v>
      </c>
      <c r="D1477">
        <v>8</v>
      </c>
      <c r="F1477" s="56"/>
    </row>
    <row r="1478" spans="1:6" ht="15">
      <c r="A1478" s="51">
        <v>290264</v>
      </c>
      <c r="B1478" t="s">
        <v>1569</v>
      </c>
      <c r="C1478" s="39" t="s">
        <v>405</v>
      </c>
      <c r="D1478">
        <v>8</v>
      </c>
      <c r="F1478" s="56"/>
    </row>
    <row r="1479" spans="1:6" ht="15">
      <c r="A1479" s="51">
        <v>290265</v>
      </c>
      <c r="B1479" t="s">
        <v>1570</v>
      </c>
      <c r="C1479" s="39" t="s">
        <v>405</v>
      </c>
      <c r="D1479">
        <v>8</v>
      </c>
      <c r="F1479" s="56"/>
    </row>
    <row r="1480" spans="1:6" ht="15">
      <c r="A1480" s="51">
        <v>290271</v>
      </c>
      <c r="B1480" t="s">
        <v>1571</v>
      </c>
      <c r="C1480" s="39" t="s">
        <v>696</v>
      </c>
      <c r="D1480" t="s">
        <v>4243</v>
      </c>
      <c r="F1480" s="56"/>
    </row>
    <row r="1481" spans="1:6" ht="15">
      <c r="A1481" s="51">
        <v>290266</v>
      </c>
      <c r="B1481" t="s">
        <v>1191</v>
      </c>
      <c r="C1481" s="39" t="s">
        <v>561</v>
      </c>
      <c r="D1481" t="s">
        <v>4247</v>
      </c>
      <c r="F1481" s="56"/>
    </row>
    <row r="1482" spans="1:6" ht="15">
      <c r="A1482" s="51">
        <v>290267</v>
      </c>
      <c r="B1482" t="s">
        <v>1192</v>
      </c>
      <c r="C1482" s="39" t="s">
        <v>561</v>
      </c>
      <c r="D1482" t="s">
        <v>4247</v>
      </c>
      <c r="F1482" s="56"/>
    </row>
    <row r="1483" spans="1:6" ht="15">
      <c r="A1483" s="51">
        <v>290268</v>
      </c>
      <c r="B1483" t="s">
        <v>1572</v>
      </c>
      <c r="C1483" s="39" t="s">
        <v>1573</v>
      </c>
      <c r="D1483" t="s">
        <v>4248</v>
      </c>
      <c r="F1483" s="56"/>
    </row>
    <row r="1484" spans="1:6" ht="15">
      <c r="A1484" s="51">
        <v>290269</v>
      </c>
      <c r="B1484" t="s">
        <v>1094</v>
      </c>
      <c r="C1484" s="39" t="s">
        <v>1095</v>
      </c>
      <c r="D1484" t="s">
        <v>469</v>
      </c>
      <c r="F1484" s="56"/>
    </row>
    <row r="1485" spans="1:6" ht="15">
      <c r="A1485" s="51">
        <v>290270</v>
      </c>
      <c r="B1485" t="s">
        <v>1096</v>
      </c>
      <c r="C1485" s="39" t="s">
        <v>1095</v>
      </c>
      <c r="D1485" t="s">
        <v>469</v>
      </c>
      <c r="F1485" s="56"/>
    </row>
    <row r="1486" spans="1:6" ht="15">
      <c r="A1486" s="51">
        <v>290272</v>
      </c>
      <c r="B1486" t="s">
        <v>1574</v>
      </c>
      <c r="C1486" s="39" t="s">
        <v>228</v>
      </c>
      <c r="D1486">
        <v>9</v>
      </c>
      <c r="F1486" s="56"/>
    </row>
    <row r="1487" spans="1:6" ht="15">
      <c r="A1487" s="51">
        <v>290273</v>
      </c>
      <c r="B1487" t="s">
        <v>1575</v>
      </c>
      <c r="C1487" s="39" t="s">
        <v>228</v>
      </c>
      <c r="D1487">
        <v>9</v>
      </c>
      <c r="F1487" s="56"/>
    </row>
    <row r="1488" spans="1:6" ht="15">
      <c r="A1488" s="51">
        <v>290274</v>
      </c>
      <c r="B1488" t="s">
        <v>1475</v>
      </c>
      <c r="C1488" s="39" t="s">
        <v>1576</v>
      </c>
      <c r="D1488" t="s">
        <v>4246</v>
      </c>
      <c r="F1488" s="56"/>
    </row>
    <row r="1489" spans="1:6" ht="15">
      <c r="A1489" s="51">
        <v>290275</v>
      </c>
      <c r="B1489" t="s">
        <v>1476</v>
      </c>
      <c r="C1489" s="39" t="s">
        <v>1576</v>
      </c>
      <c r="D1489" t="s">
        <v>4244</v>
      </c>
      <c r="F1489" s="56"/>
    </row>
    <row r="1490" spans="1:6" ht="15">
      <c r="A1490" s="51">
        <v>290276</v>
      </c>
      <c r="B1490" t="s">
        <v>1577</v>
      </c>
      <c r="C1490" s="39" t="s">
        <v>1576</v>
      </c>
      <c r="D1490" t="s">
        <v>4243</v>
      </c>
      <c r="F1490" s="56"/>
    </row>
    <row r="1491" spans="1:6" ht="15">
      <c r="A1491" s="51">
        <v>290277</v>
      </c>
      <c r="B1491" t="s">
        <v>1578</v>
      </c>
      <c r="C1491" s="39" t="s">
        <v>1579</v>
      </c>
      <c r="D1491" t="s">
        <v>4243</v>
      </c>
      <c r="F1491" s="56"/>
    </row>
    <row r="1492" spans="1:6" ht="15">
      <c r="A1492" s="51">
        <v>290278</v>
      </c>
      <c r="B1492" t="s">
        <v>1580</v>
      </c>
      <c r="C1492" s="39" t="s">
        <v>1579</v>
      </c>
      <c r="D1492" t="s">
        <v>4243</v>
      </c>
      <c r="F1492" s="56"/>
    </row>
    <row r="1493" spans="1:6" ht="15">
      <c r="A1493" s="51">
        <v>290279</v>
      </c>
      <c r="B1493" t="s">
        <v>1581</v>
      </c>
      <c r="C1493" s="39" t="s">
        <v>1579</v>
      </c>
      <c r="D1493">
        <v>7</v>
      </c>
      <c r="F1493" s="56"/>
    </row>
    <row r="1494" spans="1:6" ht="15">
      <c r="A1494" s="51">
        <v>290280</v>
      </c>
      <c r="B1494" t="s">
        <v>230</v>
      </c>
      <c r="C1494" s="39" t="s">
        <v>231</v>
      </c>
      <c r="D1494" t="s">
        <v>4244</v>
      </c>
      <c r="F1494" s="56"/>
    </row>
    <row r="1495" spans="1:6" ht="15">
      <c r="A1495" s="51">
        <v>290281</v>
      </c>
      <c r="B1495" t="s">
        <v>240</v>
      </c>
      <c r="C1495" s="39" t="s">
        <v>241</v>
      </c>
      <c r="D1495" t="s">
        <v>4249</v>
      </c>
      <c r="F1495" s="56"/>
    </row>
    <row r="1496" spans="1:6" ht="15">
      <c r="A1496" s="51">
        <v>290282</v>
      </c>
      <c r="B1496" t="s">
        <v>242</v>
      </c>
      <c r="C1496" s="39" t="s">
        <v>243</v>
      </c>
      <c r="D1496" t="s">
        <v>4245</v>
      </c>
      <c r="F1496" s="56"/>
    </row>
    <row r="1497" spans="1:6" ht="15">
      <c r="A1497" s="51">
        <v>290283</v>
      </c>
      <c r="B1497" t="s">
        <v>245</v>
      </c>
      <c r="C1497" s="39" t="s">
        <v>243</v>
      </c>
      <c r="D1497" t="s">
        <v>4247</v>
      </c>
      <c r="F1497" s="56"/>
    </row>
    <row r="1498" spans="1:6" ht="15">
      <c r="A1498" s="51">
        <v>290284</v>
      </c>
      <c r="B1498" t="s">
        <v>425</v>
      </c>
      <c r="C1498" s="39" t="s">
        <v>426</v>
      </c>
      <c r="D1498" t="s">
        <v>4244</v>
      </c>
      <c r="F1498" s="56"/>
    </row>
    <row r="1499" spans="1:6" ht="15">
      <c r="A1499" s="51">
        <v>290285</v>
      </c>
      <c r="B1499" t="s">
        <v>1582</v>
      </c>
      <c r="C1499" s="39" t="s">
        <v>1583</v>
      </c>
      <c r="D1499" t="s">
        <v>4245</v>
      </c>
      <c r="F1499" s="56"/>
    </row>
    <row r="1500" spans="1:6" ht="15">
      <c r="A1500" s="51">
        <v>290286</v>
      </c>
      <c r="B1500" t="s">
        <v>1584</v>
      </c>
      <c r="C1500" s="39" t="s">
        <v>1583</v>
      </c>
      <c r="D1500" t="s">
        <v>4244</v>
      </c>
      <c r="F1500" s="56"/>
    </row>
    <row r="1501" spans="1:6" ht="15">
      <c r="A1501" s="51">
        <v>290287</v>
      </c>
      <c r="B1501" t="s">
        <v>1498</v>
      </c>
      <c r="C1501" s="39" t="s">
        <v>1583</v>
      </c>
      <c r="D1501" t="s">
        <v>4243</v>
      </c>
      <c r="F1501" s="56"/>
    </row>
    <row r="1502" spans="1:6" ht="15">
      <c r="A1502" s="51">
        <v>290288</v>
      </c>
      <c r="B1502" t="s">
        <v>1585</v>
      </c>
      <c r="C1502" s="39" t="s">
        <v>1583</v>
      </c>
      <c r="D1502">
        <v>8</v>
      </c>
      <c r="F1502" s="56"/>
    </row>
    <row r="1503" spans="1:6" ht="15">
      <c r="A1503" s="51">
        <v>290289</v>
      </c>
      <c r="B1503" t="s">
        <v>431</v>
      </c>
      <c r="C1503" s="39" t="s">
        <v>1586</v>
      </c>
      <c r="D1503" t="s">
        <v>4247</v>
      </c>
      <c r="F1503" s="56"/>
    </row>
    <row r="1504" spans="1:6" ht="15">
      <c r="A1504" s="51">
        <v>290290</v>
      </c>
      <c r="B1504" t="s">
        <v>1587</v>
      </c>
      <c r="C1504" s="39" t="s">
        <v>1586</v>
      </c>
      <c r="D1504" t="s">
        <v>4243</v>
      </c>
      <c r="F1504" s="56"/>
    </row>
    <row r="1505" spans="1:6" ht="15">
      <c r="A1505" s="51">
        <v>290291</v>
      </c>
      <c r="B1505" t="s">
        <v>1588</v>
      </c>
      <c r="C1505" s="39" t="s">
        <v>1586</v>
      </c>
      <c r="D1505">
        <v>8</v>
      </c>
      <c r="F1505" s="56"/>
    </row>
    <row r="1506" spans="1:6" ht="15">
      <c r="A1506" s="51">
        <v>290292</v>
      </c>
      <c r="B1506" t="s">
        <v>1206</v>
      </c>
      <c r="C1506" s="39" t="s">
        <v>1589</v>
      </c>
      <c r="D1506">
        <v>7</v>
      </c>
      <c r="F1506" s="56"/>
    </row>
    <row r="1507" spans="1:6" ht="15">
      <c r="A1507" s="51">
        <v>290293</v>
      </c>
      <c r="B1507" t="s">
        <v>1590</v>
      </c>
      <c r="C1507" s="39" t="s">
        <v>1591</v>
      </c>
      <c r="D1507">
        <v>9</v>
      </c>
      <c r="F1507" s="56"/>
    </row>
    <row r="1508" spans="1:6" ht="15">
      <c r="A1508" s="51">
        <v>290294</v>
      </c>
      <c r="B1508" t="s">
        <v>257</v>
      </c>
      <c r="C1508" s="39" t="s">
        <v>440</v>
      </c>
      <c r="D1508">
        <v>9</v>
      </c>
      <c r="F1508" s="56"/>
    </row>
    <row r="1509" spans="1:6" ht="15">
      <c r="A1509" s="51">
        <v>290295</v>
      </c>
      <c r="B1509" t="s">
        <v>259</v>
      </c>
      <c r="C1509" s="39" t="s">
        <v>258</v>
      </c>
      <c r="D1509">
        <v>9</v>
      </c>
      <c r="F1509" s="56"/>
    </row>
    <row r="1510" spans="1:6" ht="15">
      <c r="A1510" s="51">
        <v>290296</v>
      </c>
      <c r="B1510" t="s">
        <v>260</v>
      </c>
      <c r="C1510" s="39" t="s">
        <v>261</v>
      </c>
      <c r="D1510" t="s">
        <v>4248</v>
      </c>
      <c r="F1510" s="56"/>
    </row>
    <row r="1511" spans="1:6" ht="15">
      <c r="A1511" s="51">
        <v>290297</v>
      </c>
      <c r="B1511" t="s">
        <v>262</v>
      </c>
      <c r="C1511" s="39" t="s">
        <v>261</v>
      </c>
      <c r="D1511" t="s">
        <v>4245</v>
      </c>
      <c r="F1511" s="56"/>
    </row>
    <row r="1512" spans="1:6" ht="15">
      <c r="A1512" s="51">
        <v>290298</v>
      </c>
      <c r="B1512" t="s">
        <v>447</v>
      </c>
      <c r="C1512" s="39" t="s">
        <v>261</v>
      </c>
      <c r="D1512" t="s">
        <v>4244</v>
      </c>
      <c r="F1512" s="56"/>
    </row>
    <row r="1513" spans="1:6" ht="15">
      <c r="A1513" s="51">
        <v>290299</v>
      </c>
      <c r="B1513" t="s">
        <v>448</v>
      </c>
      <c r="C1513" s="39" t="s">
        <v>261</v>
      </c>
      <c r="D1513" t="s">
        <v>4243</v>
      </c>
      <c r="F1513" s="56"/>
    </row>
    <row r="1514" spans="1:6" ht="15">
      <c r="A1514" s="51">
        <v>290300</v>
      </c>
      <c r="B1514" t="s">
        <v>1592</v>
      </c>
      <c r="C1514" s="39" t="s">
        <v>1593</v>
      </c>
      <c r="D1514">
        <v>9</v>
      </c>
      <c r="F1514" s="56"/>
    </row>
    <row r="1515" spans="1:6" ht="15">
      <c r="A1515" s="51">
        <v>290302</v>
      </c>
      <c r="B1515" t="s">
        <v>455</v>
      </c>
      <c r="C1515" s="39" t="s">
        <v>1594</v>
      </c>
      <c r="D1515" t="s">
        <v>4243</v>
      </c>
      <c r="F1515" s="56"/>
    </row>
    <row r="1516" spans="1:6" ht="15">
      <c r="A1516" s="51">
        <v>2723104</v>
      </c>
      <c r="B1516" t="s">
        <v>466</v>
      </c>
      <c r="C1516" s="39" t="s">
        <v>307</v>
      </c>
      <c r="D1516">
        <v>9</v>
      </c>
      <c r="F1516" s="56"/>
    </row>
    <row r="1517" spans="1:6" ht="15">
      <c r="A1517" s="51">
        <v>2723068</v>
      </c>
      <c r="B1517" t="s">
        <v>1595</v>
      </c>
      <c r="C1517" s="39" t="s">
        <v>373</v>
      </c>
      <c r="D1517" t="s">
        <v>4248</v>
      </c>
      <c r="F1517" s="56"/>
    </row>
    <row r="1518" spans="1:6" ht="15">
      <c r="A1518" s="51">
        <v>2723099</v>
      </c>
      <c r="B1518" t="s">
        <v>1596</v>
      </c>
      <c r="C1518" s="39" t="s">
        <v>433</v>
      </c>
      <c r="D1518" t="s">
        <v>4245</v>
      </c>
      <c r="F1518" s="56"/>
    </row>
    <row r="1519" spans="1:6" ht="15">
      <c r="A1519" s="51">
        <v>2760834</v>
      </c>
      <c r="B1519" t="s">
        <v>469</v>
      </c>
      <c r="C1519" s="39" t="s">
        <v>283</v>
      </c>
      <c r="D1519">
        <v>8</v>
      </c>
      <c r="F1519" s="56"/>
    </row>
    <row r="1520" spans="1:6" ht="15">
      <c r="A1520" s="51">
        <v>2723115</v>
      </c>
      <c r="B1520" t="s">
        <v>471</v>
      </c>
      <c r="C1520" s="39" t="s">
        <v>1597</v>
      </c>
      <c r="D1520">
        <v>8</v>
      </c>
      <c r="F1520" s="56"/>
    </row>
    <row r="1521" spans="1:6" ht="15">
      <c r="A1521" s="51">
        <v>2760835</v>
      </c>
      <c r="B1521" t="s">
        <v>888</v>
      </c>
      <c r="C1521" s="39" t="s">
        <v>1598</v>
      </c>
      <c r="D1521" t="s">
        <v>4248</v>
      </c>
      <c r="F1521" s="56"/>
    </row>
    <row r="1522" spans="1:6" ht="15">
      <c r="A1522" s="51">
        <v>2723103</v>
      </c>
      <c r="B1522" t="s">
        <v>474</v>
      </c>
      <c r="C1522" s="39" t="s">
        <v>1262</v>
      </c>
      <c r="D1522" t="s">
        <v>4245</v>
      </c>
      <c r="F1522" s="56"/>
    </row>
    <row r="1523" spans="1:6" ht="15">
      <c r="A1523" s="51">
        <v>2723060</v>
      </c>
      <c r="B1523" t="s">
        <v>1266</v>
      </c>
      <c r="C1523" s="39" t="s">
        <v>1599</v>
      </c>
      <c r="D1523" t="s">
        <v>4246</v>
      </c>
      <c r="F1523" s="56"/>
    </row>
    <row r="1524" spans="1:6" ht="15">
      <c r="A1524" s="51">
        <v>2760836</v>
      </c>
      <c r="B1524" t="s">
        <v>1600</v>
      </c>
      <c r="C1524" s="39" t="s">
        <v>1601</v>
      </c>
      <c r="D1524" t="s">
        <v>4245</v>
      </c>
      <c r="F1524" s="56"/>
    </row>
    <row r="1525" spans="1:6" ht="15">
      <c r="A1525" s="51">
        <v>2723040</v>
      </c>
      <c r="B1525" t="s">
        <v>520</v>
      </c>
      <c r="C1525" s="39" t="s">
        <v>521</v>
      </c>
      <c r="D1525" t="s">
        <v>4248</v>
      </c>
      <c r="F1525" s="56"/>
    </row>
    <row r="1526" spans="1:6" ht="15">
      <c r="A1526" s="51">
        <v>2723047</v>
      </c>
      <c r="B1526" t="s">
        <v>524</v>
      </c>
      <c r="C1526" s="39" t="s">
        <v>108</v>
      </c>
      <c r="D1526" t="s">
        <v>4245</v>
      </c>
      <c r="F1526" s="56"/>
    </row>
    <row r="1527" spans="1:6" ht="15">
      <c r="A1527" s="51">
        <v>2723048</v>
      </c>
      <c r="B1527" t="s">
        <v>525</v>
      </c>
      <c r="C1527" s="39" t="s">
        <v>108</v>
      </c>
      <c r="D1527" t="s">
        <v>4245</v>
      </c>
      <c r="F1527" s="56"/>
    </row>
    <row r="1528" spans="1:6" ht="15">
      <c r="A1528" s="51">
        <v>2723049</v>
      </c>
      <c r="B1528" t="s">
        <v>526</v>
      </c>
      <c r="C1528" s="39" t="s">
        <v>108</v>
      </c>
      <c r="D1528" t="s">
        <v>4244</v>
      </c>
      <c r="F1528" s="56"/>
    </row>
    <row r="1529" spans="1:6" ht="15">
      <c r="A1529" s="51">
        <v>2723052</v>
      </c>
      <c r="B1529" t="s">
        <v>531</v>
      </c>
      <c r="C1529" s="39" t="s">
        <v>108</v>
      </c>
      <c r="D1529" t="s">
        <v>4245</v>
      </c>
      <c r="F1529" s="56"/>
    </row>
    <row r="1530" spans="1:6" ht="15">
      <c r="A1530" s="51">
        <v>2723095</v>
      </c>
      <c r="B1530" t="s">
        <v>534</v>
      </c>
      <c r="C1530" s="39" t="s">
        <v>243</v>
      </c>
      <c r="D1530" t="s">
        <v>4245</v>
      </c>
      <c r="F1530" s="56"/>
    </row>
    <row r="1531" spans="1:6" ht="15">
      <c r="A1531" s="51">
        <v>2760837</v>
      </c>
      <c r="B1531" t="s">
        <v>549</v>
      </c>
      <c r="C1531" s="39" t="s">
        <v>896</v>
      </c>
      <c r="D1531">
        <v>8</v>
      </c>
      <c r="F1531" s="56"/>
    </row>
    <row r="1532" spans="1:6" ht="15">
      <c r="A1532" s="51">
        <v>2723061</v>
      </c>
      <c r="B1532" t="s">
        <v>551</v>
      </c>
      <c r="C1532" s="39" t="s">
        <v>1024</v>
      </c>
      <c r="D1532" t="s">
        <v>4243</v>
      </c>
      <c r="F1532" s="56"/>
    </row>
    <row r="1533" spans="1:6" ht="15">
      <c r="A1533" s="51">
        <v>2760830</v>
      </c>
      <c r="B1533" t="s">
        <v>552</v>
      </c>
      <c r="C1533" s="39" t="s">
        <v>235</v>
      </c>
      <c r="D1533" t="s">
        <v>4243</v>
      </c>
      <c r="F1533" s="56"/>
    </row>
    <row r="1534" spans="1:6" ht="15">
      <c r="A1534" s="51">
        <v>2723091</v>
      </c>
      <c r="B1534" t="s">
        <v>553</v>
      </c>
      <c r="C1534" s="39" t="s">
        <v>235</v>
      </c>
      <c r="D1534" t="s">
        <v>4244</v>
      </c>
      <c r="F1534" s="56"/>
    </row>
    <row r="1535" spans="1:6" ht="15">
      <c r="A1535" s="51">
        <v>2723082</v>
      </c>
      <c r="B1535" t="s">
        <v>562</v>
      </c>
      <c r="C1535" s="39" t="s">
        <v>561</v>
      </c>
      <c r="D1535" t="s">
        <v>4247</v>
      </c>
      <c r="F1535" s="56"/>
    </row>
    <row r="1536" spans="1:6" ht="15">
      <c r="A1536" s="51">
        <v>2723046</v>
      </c>
      <c r="B1536" t="s">
        <v>565</v>
      </c>
      <c r="C1536" s="39" t="s">
        <v>99</v>
      </c>
      <c r="D1536">
        <v>7</v>
      </c>
      <c r="F1536" s="56"/>
    </row>
    <row r="1537" spans="1:6" ht="15">
      <c r="A1537" s="51">
        <v>2760833</v>
      </c>
      <c r="B1537" t="s">
        <v>566</v>
      </c>
      <c r="C1537" s="39" t="s">
        <v>99</v>
      </c>
      <c r="D1537">
        <v>7</v>
      </c>
      <c r="F1537" s="56"/>
    </row>
    <row r="1538" spans="1:6" ht="15">
      <c r="A1538" s="51">
        <v>2723093</v>
      </c>
      <c r="B1538" t="s">
        <v>567</v>
      </c>
      <c r="C1538" s="39" t="s">
        <v>233</v>
      </c>
      <c r="D1538" t="s">
        <v>4244</v>
      </c>
      <c r="F1538" s="56"/>
    </row>
    <row r="1539" spans="1:6" ht="15">
      <c r="A1539" s="51">
        <v>2723112</v>
      </c>
      <c r="B1539" t="s">
        <v>581</v>
      </c>
      <c r="C1539" s="39" t="s">
        <v>264</v>
      </c>
      <c r="D1539" t="s">
        <v>4244</v>
      </c>
      <c r="F1539" s="56"/>
    </row>
    <row r="1540" spans="1:6" ht="15">
      <c r="A1540" s="51">
        <v>2723111</v>
      </c>
      <c r="B1540" t="s">
        <v>582</v>
      </c>
      <c r="C1540" s="39" t="s">
        <v>264</v>
      </c>
      <c r="D1540" t="s">
        <v>4243</v>
      </c>
      <c r="F1540" s="56"/>
    </row>
    <row r="1541" spans="1:6" ht="15">
      <c r="A1541" s="51">
        <v>2723113</v>
      </c>
      <c r="B1541" t="s">
        <v>583</v>
      </c>
      <c r="C1541" s="39" t="s">
        <v>264</v>
      </c>
      <c r="D1541">
        <v>8</v>
      </c>
      <c r="F1541" s="56"/>
    </row>
    <row r="1542" spans="1:6" ht="15">
      <c r="A1542" s="51">
        <v>2760838</v>
      </c>
      <c r="B1542" t="s">
        <v>1602</v>
      </c>
      <c r="C1542" s="39" t="s">
        <v>1236</v>
      </c>
      <c r="D1542" t="s">
        <v>4246</v>
      </c>
      <c r="F1542" s="56"/>
    </row>
    <row r="1543" spans="1:6" ht="15">
      <c r="A1543" s="51">
        <v>2723106</v>
      </c>
      <c r="B1543" t="s">
        <v>585</v>
      </c>
      <c r="C1543" s="39" t="s">
        <v>1603</v>
      </c>
      <c r="D1543" t="s">
        <v>4244</v>
      </c>
      <c r="F1543" s="56"/>
    </row>
    <row r="1544" spans="1:6" ht="15">
      <c r="A1544" s="51">
        <v>2723107</v>
      </c>
      <c r="B1544" t="s">
        <v>1604</v>
      </c>
      <c r="C1544" s="39" t="s">
        <v>1603</v>
      </c>
      <c r="D1544" t="s">
        <v>4243</v>
      </c>
      <c r="F1544" s="56"/>
    </row>
    <row r="1545" spans="1:6" ht="15">
      <c r="A1545" s="51">
        <v>2723105</v>
      </c>
      <c r="B1545" t="s">
        <v>1605</v>
      </c>
      <c r="C1545" s="39" t="s">
        <v>1603</v>
      </c>
      <c r="D1545">
        <v>9</v>
      </c>
      <c r="F1545" s="56"/>
    </row>
    <row r="1546" spans="1:6" ht="15">
      <c r="A1546" s="51">
        <v>2723076</v>
      </c>
      <c r="B1546" t="s">
        <v>608</v>
      </c>
      <c r="C1546" s="39" t="s">
        <v>192</v>
      </c>
      <c r="D1546" t="s">
        <v>4247</v>
      </c>
      <c r="F1546" s="56"/>
    </row>
    <row r="1547" spans="1:6" ht="15">
      <c r="A1547" s="51">
        <v>2723078</v>
      </c>
      <c r="B1547" t="s">
        <v>609</v>
      </c>
      <c r="C1547" s="39" t="s">
        <v>192</v>
      </c>
      <c r="D1547" t="s">
        <v>4243</v>
      </c>
      <c r="F1547" s="56"/>
    </row>
    <row r="1548" spans="1:6" ht="15">
      <c r="A1548" s="51">
        <v>2723077</v>
      </c>
      <c r="B1548" t="s">
        <v>610</v>
      </c>
      <c r="C1548" s="39" t="s">
        <v>192</v>
      </c>
      <c r="D1548">
        <v>7</v>
      </c>
      <c r="F1548" s="56"/>
    </row>
    <row r="1549" spans="1:6" ht="15">
      <c r="A1549" s="51">
        <v>2723080</v>
      </c>
      <c r="B1549" t="s">
        <v>923</v>
      </c>
      <c r="C1549" s="39" t="s">
        <v>192</v>
      </c>
      <c r="D1549">
        <v>7</v>
      </c>
      <c r="F1549" s="56"/>
    </row>
    <row r="1550" spans="1:6" ht="15">
      <c r="A1550" s="51">
        <v>2723081</v>
      </c>
      <c r="B1550" t="s">
        <v>925</v>
      </c>
      <c r="C1550" s="39" t="s">
        <v>192</v>
      </c>
      <c r="D1550">
        <v>7</v>
      </c>
      <c r="F1550" s="56"/>
    </row>
    <row r="1551" spans="1:6" ht="15">
      <c r="A1551" s="51">
        <v>2723108</v>
      </c>
      <c r="B1551" t="s">
        <v>622</v>
      </c>
      <c r="C1551" s="39" t="s">
        <v>274</v>
      </c>
      <c r="D1551" t="s">
        <v>4243</v>
      </c>
      <c r="F1551" s="56"/>
    </row>
    <row r="1552" spans="1:6" ht="15">
      <c r="A1552" s="51">
        <v>2723109</v>
      </c>
      <c r="B1552" t="s">
        <v>623</v>
      </c>
      <c r="C1552" s="39" t="s">
        <v>274</v>
      </c>
      <c r="D1552">
        <v>7</v>
      </c>
      <c r="F1552" s="56"/>
    </row>
    <row r="1553" spans="1:6" ht="15">
      <c r="A1553" s="51">
        <v>2723110</v>
      </c>
      <c r="B1553" t="s">
        <v>624</v>
      </c>
      <c r="C1553" s="39" t="s">
        <v>274</v>
      </c>
      <c r="D1553">
        <v>8</v>
      </c>
      <c r="F1553" s="56"/>
    </row>
    <row r="1554" spans="1:6" ht="15">
      <c r="A1554" s="51">
        <v>2723062</v>
      </c>
      <c r="B1554" t="s">
        <v>627</v>
      </c>
      <c r="C1554" s="39" t="s">
        <v>626</v>
      </c>
      <c r="D1554" t="s">
        <v>4243</v>
      </c>
      <c r="F1554" s="56"/>
    </row>
    <row r="1555" spans="1:6" ht="15">
      <c r="A1555" s="51">
        <v>2723063</v>
      </c>
      <c r="B1555" t="s">
        <v>628</v>
      </c>
      <c r="C1555" s="39" t="s">
        <v>626</v>
      </c>
      <c r="D1555">
        <v>7</v>
      </c>
      <c r="F1555" s="56"/>
    </row>
    <row r="1556" spans="1:6" ht="15">
      <c r="A1556" s="51">
        <v>2723058</v>
      </c>
      <c r="B1556" t="s">
        <v>632</v>
      </c>
      <c r="C1556" s="39" t="s">
        <v>630</v>
      </c>
      <c r="D1556">
        <v>8</v>
      </c>
      <c r="F1556" s="56"/>
    </row>
    <row r="1557" spans="1:6" ht="15">
      <c r="A1557" s="51">
        <v>2760841</v>
      </c>
      <c r="B1557" t="s">
        <v>635</v>
      </c>
      <c r="C1557" s="39" t="s">
        <v>1606</v>
      </c>
      <c r="D1557">
        <v>9</v>
      </c>
      <c r="F1557" s="56"/>
    </row>
    <row r="1558" spans="1:6" ht="15">
      <c r="A1558" s="51">
        <v>2760831</v>
      </c>
      <c r="B1558" t="s">
        <v>643</v>
      </c>
      <c r="C1558" s="39" t="s">
        <v>884</v>
      </c>
      <c r="D1558">
        <v>7</v>
      </c>
      <c r="F1558" s="56"/>
    </row>
    <row r="1559" spans="1:6" ht="15">
      <c r="A1559" s="51">
        <v>2723039</v>
      </c>
      <c r="B1559" t="s">
        <v>645</v>
      </c>
      <c r="C1559" s="39" t="s">
        <v>88</v>
      </c>
      <c r="D1559">
        <v>8</v>
      </c>
      <c r="F1559" s="56"/>
    </row>
    <row r="1560" spans="1:6" ht="15">
      <c r="A1560" s="51">
        <v>2723102</v>
      </c>
      <c r="B1560" t="s">
        <v>648</v>
      </c>
      <c r="C1560" s="39" t="s">
        <v>884</v>
      </c>
      <c r="D1560">
        <v>7</v>
      </c>
      <c r="F1560" s="56"/>
    </row>
    <row r="1561" spans="1:6" ht="15">
      <c r="A1561" s="51">
        <v>2723050</v>
      </c>
      <c r="B1561" t="s">
        <v>650</v>
      </c>
      <c r="C1561" s="39" t="s">
        <v>651</v>
      </c>
      <c r="D1561">
        <v>7</v>
      </c>
      <c r="F1561" s="56"/>
    </row>
    <row r="1562" spans="1:6" ht="15">
      <c r="A1562" s="51">
        <v>2723051</v>
      </c>
      <c r="B1562" t="s">
        <v>652</v>
      </c>
      <c r="C1562" s="39" t="s">
        <v>651</v>
      </c>
      <c r="D1562">
        <v>7</v>
      </c>
      <c r="F1562" s="56"/>
    </row>
    <row r="1563" spans="1:6" ht="15">
      <c r="A1563" s="51">
        <v>2723057</v>
      </c>
      <c r="B1563" t="s">
        <v>658</v>
      </c>
      <c r="C1563" s="39" t="s">
        <v>197</v>
      </c>
      <c r="D1563" t="s">
        <v>4244</v>
      </c>
      <c r="F1563" s="56"/>
    </row>
    <row r="1564" spans="1:6" ht="15">
      <c r="A1564" s="51">
        <v>2723059</v>
      </c>
      <c r="B1564" t="s">
        <v>659</v>
      </c>
      <c r="C1564" s="39" t="s">
        <v>630</v>
      </c>
      <c r="D1564">
        <v>7</v>
      </c>
      <c r="F1564" s="56"/>
    </row>
    <row r="1565" spans="1:6" ht="15">
      <c r="A1565" s="51">
        <v>2723056</v>
      </c>
      <c r="B1565" t="s">
        <v>697</v>
      </c>
      <c r="C1565" s="39" t="s">
        <v>1607</v>
      </c>
      <c r="D1565" t="s">
        <v>4243</v>
      </c>
      <c r="F1565" s="56"/>
    </row>
    <row r="1566" spans="1:6" ht="15">
      <c r="A1566" s="51">
        <v>2723053</v>
      </c>
      <c r="B1566" t="s">
        <v>1608</v>
      </c>
      <c r="C1566" s="39" t="s">
        <v>120</v>
      </c>
      <c r="D1566" t="s">
        <v>4246</v>
      </c>
      <c r="F1566" s="56"/>
    </row>
    <row r="1567" spans="1:6" ht="15">
      <c r="A1567" s="51">
        <v>2723072</v>
      </c>
      <c r="B1567" t="s">
        <v>1609</v>
      </c>
      <c r="C1567" s="39" t="s">
        <v>166</v>
      </c>
      <c r="D1567" t="s">
        <v>4245</v>
      </c>
      <c r="F1567" s="56"/>
    </row>
    <row r="1568" spans="1:6" ht="15">
      <c r="A1568" s="51">
        <v>2723071</v>
      </c>
      <c r="B1568" t="s">
        <v>1610</v>
      </c>
      <c r="C1568" s="39" t="s">
        <v>166</v>
      </c>
      <c r="D1568" t="s">
        <v>4244</v>
      </c>
      <c r="F1568" s="56"/>
    </row>
    <row r="1569" spans="1:6" ht="15">
      <c r="A1569" s="51">
        <v>2723073</v>
      </c>
      <c r="B1569" t="s">
        <v>951</v>
      </c>
      <c r="C1569" s="39" t="s">
        <v>166</v>
      </c>
      <c r="D1569" t="s">
        <v>4243</v>
      </c>
      <c r="F1569" s="56"/>
    </row>
    <row r="1570" spans="1:6" ht="15">
      <c r="A1570" s="51">
        <v>2723087</v>
      </c>
      <c r="B1570" t="s">
        <v>1611</v>
      </c>
      <c r="C1570" s="39" t="s">
        <v>1098</v>
      </c>
      <c r="D1570" t="s">
        <v>466</v>
      </c>
      <c r="F1570" s="56"/>
    </row>
    <row r="1571" spans="1:6" ht="15">
      <c r="A1571" s="51">
        <v>2723088</v>
      </c>
      <c r="B1571" t="s">
        <v>749</v>
      </c>
      <c r="C1571" s="39" t="s">
        <v>1098</v>
      </c>
      <c r="D1571" t="s">
        <v>1595</v>
      </c>
      <c r="F1571" s="56"/>
    </row>
    <row r="1572" spans="1:6" ht="15">
      <c r="A1572" s="51">
        <v>2723090</v>
      </c>
      <c r="B1572" t="s">
        <v>750</v>
      </c>
      <c r="C1572" s="39" t="s">
        <v>1098</v>
      </c>
      <c r="D1572" t="s">
        <v>469</v>
      </c>
      <c r="F1572" s="56"/>
    </row>
    <row r="1573" spans="1:6" ht="15">
      <c r="A1573" s="51">
        <v>2723089</v>
      </c>
      <c r="B1573" t="s">
        <v>751</v>
      </c>
      <c r="C1573" s="39" t="s">
        <v>1098</v>
      </c>
      <c r="D1573" t="s">
        <v>471</v>
      </c>
      <c r="F1573" s="56"/>
    </row>
    <row r="1574" spans="1:6" ht="15">
      <c r="A1574" s="51">
        <v>2723074</v>
      </c>
      <c r="B1574" t="s">
        <v>754</v>
      </c>
      <c r="C1574" s="39" t="s">
        <v>170</v>
      </c>
      <c r="D1574" t="s">
        <v>4247</v>
      </c>
      <c r="F1574" s="56"/>
    </row>
    <row r="1575" spans="1:6" ht="15">
      <c r="A1575" s="51">
        <v>2723075</v>
      </c>
      <c r="B1575" t="s">
        <v>755</v>
      </c>
      <c r="C1575" s="39" t="s">
        <v>170</v>
      </c>
      <c r="D1575" t="s">
        <v>4243</v>
      </c>
      <c r="F1575" s="56"/>
    </row>
    <row r="1576" spans="1:6" ht="15">
      <c r="A1576" s="51">
        <v>2760839</v>
      </c>
      <c r="B1576" t="s">
        <v>756</v>
      </c>
      <c r="C1576" s="39" t="s">
        <v>170</v>
      </c>
      <c r="D1576" t="s">
        <v>4243</v>
      </c>
      <c r="F1576" s="56"/>
    </row>
    <row r="1577" spans="1:6" ht="15">
      <c r="A1577" s="51">
        <v>2723065</v>
      </c>
      <c r="B1577" t="s">
        <v>758</v>
      </c>
      <c r="C1577" s="39" t="s">
        <v>157</v>
      </c>
      <c r="D1577" t="s">
        <v>4245</v>
      </c>
      <c r="F1577" s="56"/>
    </row>
    <row r="1578" spans="1:6" ht="15">
      <c r="A1578" s="51">
        <v>2723066</v>
      </c>
      <c r="B1578" t="s">
        <v>759</v>
      </c>
      <c r="C1578" s="39" t="s">
        <v>157</v>
      </c>
      <c r="D1578" t="s">
        <v>4245</v>
      </c>
      <c r="F1578" s="56"/>
    </row>
    <row r="1579" spans="1:6" ht="15">
      <c r="A1579" s="51">
        <v>2723067</v>
      </c>
      <c r="B1579" t="s">
        <v>760</v>
      </c>
      <c r="C1579" s="39" t="s">
        <v>157</v>
      </c>
      <c r="D1579" t="s">
        <v>4244</v>
      </c>
      <c r="F1579" s="56"/>
    </row>
    <row r="1580" spans="1:6" ht="15">
      <c r="A1580" s="51">
        <v>2723064</v>
      </c>
      <c r="B1580" t="s">
        <v>761</v>
      </c>
      <c r="C1580" s="39" t="s">
        <v>157</v>
      </c>
      <c r="D1580" t="s">
        <v>4243</v>
      </c>
      <c r="F1580" s="56"/>
    </row>
    <row r="1581" spans="1:6" ht="15">
      <c r="A1581" s="51">
        <v>2723085</v>
      </c>
      <c r="B1581" t="s">
        <v>765</v>
      </c>
      <c r="C1581" s="39" t="s">
        <v>210</v>
      </c>
      <c r="D1581">
        <v>7</v>
      </c>
      <c r="F1581" s="56"/>
    </row>
    <row r="1582" spans="1:6" ht="15">
      <c r="A1582" s="51">
        <v>2723086</v>
      </c>
      <c r="B1582" t="s">
        <v>766</v>
      </c>
      <c r="C1582" s="39" t="s">
        <v>210</v>
      </c>
      <c r="D1582">
        <v>7</v>
      </c>
      <c r="F1582" s="56"/>
    </row>
    <row r="1583" spans="1:6" ht="15">
      <c r="A1583" s="51">
        <v>2760840</v>
      </c>
      <c r="B1583" t="s">
        <v>767</v>
      </c>
      <c r="C1583" s="39" t="s">
        <v>210</v>
      </c>
      <c r="D1583">
        <v>8</v>
      </c>
      <c r="F1583" s="56"/>
    </row>
    <row r="1584" spans="1:6" ht="15">
      <c r="A1584" s="51">
        <v>2723042</v>
      </c>
      <c r="B1584" t="s">
        <v>1612</v>
      </c>
      <c r="C1584" s="39" t="s">
        <v>1613</v>
      </c>
      <c r="D1584">
        <v>8</v>
      </c>
      <c r="F1584" s="56"/>
    </row>
    <row r="1585" spans="1:6" ht="15">
      <c r="A1585" s="51">
        <v>2723043</v>
      </c>
      <c r="B1585" t="s">
        <v>1614</v>
      </c>
      <c r="C1585" s="39" t="s">
        <v>92</v>
      </c>
      <c r="D1585" t="s">
        <v>4246</v>
      </c>
      <c r="F1585" s="56"/>
    </row>
    <row r="1586" spans="1:6" ht="15">
      <c r="A1586" s="51">
        <v>2723044</v>
      </c>
      <c r="B1586" t="s">
        <v>772</v>
      </c>
      <c r="C1586" s="39" t="s">
        <v>92</v>
      </c>
      <c r="D1586" t="s">
        <v>4244</v>
      </c>
      <c r="F1586" s="56"/>
    </row>
    <row r="1587" spans="1:6" ht="15">
      <c r="A1587" s="51">
        <v>2723045</v>
      </c>
      <c r="B1587" t="s">
        <v>773</v>
      </c>
      <c r="C1587" s="39" t="s">
        <v>92</v>
      </c>
      <c r="D1587" t="s">
        <v>4243</v>
      </c>
      <c r="F1587" s="56"/>
    </row>
    <row r="1588" spans="1:6" ht="15">
      <c r="A1588" s="51">
        <v>2723069</v>
      </c>
      <c r="B1588" t="s">
        <v>776</v>
      </c>
      <c r="C1588" s="39" t="s">
        <v>380</v>
      </c>
      <c r="D1588" t="s">
        <v>4243</v>
      </c>
      <c r="F1588" s="56"/>
    </row>
    <row r="1589" spans="1:6" ht="15">
      <c r="A1589" s="51">
        <v>2723117</v>
      </c>
      <c r="B1589" t="s">
        <v>1615</v>
      </c>
      <c r="C1589" s="39" t="s">
        <v>291</v>
      </c>
      <c r="D1589" t="s">
        <v>4244</v>
      </c>
      <c r="F1589" s="56"/>
    </row>
    <row r="1590" spans="1:6" ht="15">
      <c r="A1590" s="51">
        <v>2723118</v>
      </c>
      <c r="B1590" t="s">
        <v>1616</v>
      </c>
      <c r="C1590" s="39" t="s">
        <v>291</v>
      </c>
      <c r="D1590">
        <v>7</v>
      </c>
      <c r="F1590" s="56"/>
    </row>
    <row r="1591" spans="1:6" ht="15">
      <c r="A1591" s="51">
        <v>2723119</v>
      </c>
      <c r="B1591" t="s">
        <v>1617</v>
      </c>
      <c r="C1591" s="39" t="s">
        <v>291</v>
      </c>
      <c r="D1591">
        <v>8</v>
      </c>
      <c r="F1591" s="56"/>
    </row>
    <row r="1592" spans="1:6" ht="15">
      <c r="A1592" s="51">
        <v>2723097</v>
      </c>
      <c r="B1592" t="s">
        <v>786</v>
      </c>
      <c r="C1592" s="39" t="s">
        <v>390</v>
      </c>
      <c r="D1592">
        <v>7</v>
      </c>
      <c r="F1592" s="56"/>
    </row>
    <row r="1593" spans="1:6" ht="15">
      <c r="A1593" s="51">
        <v>2723054</v>
      </c>
      <c r="B1593" t="s">
        <v>789</v>
      </c>
      <c r="C1593" s="39" t="s">
        <v>1618</v>
      </c>
      <c r="D1593">
        <v>8</v>
      </c>
      <c r="F1593" s="56"/>
    </row>
    <row r="1594" spans="1:6" ht="15">
      <c r="A1594" s="51">
        <v>2723083</v>
      </c>
      <c r="B1594" t="s">
        <v>790</v>
      </c>
      <c r="C1594" s="39" t="s">
        <v>205</v>
      </c>
      <c r="D1594">
        <v>7</v>
      </c>
      <c r="F1594" s="56"/>
    </row>
    <row r="1595" spans="1:6" ht="15">
      <c r="A1595" s="51">
        <v>2723084</v>
      </c>
      <c r="B1595" t="s">
        <v>791</v>
      </c>
      <c r="C1595" s="39" t="s">
        <v>205</v>
      </c>
      <c r="D1595">
        <v>7</v>
      </c>
      <c r="F1595" s="56"/>
    </row>
    <row r="1596" spans="1:6" ht="15">
      <c r="A1596" s="51">
        <v>2723098</v>
      </c>
      <c r="B1596" t="s">
        <v>792</v>
      </c>
      <c r="C1596" s="39" t="s">
        <v>180</v>
      </c>
      <c r="D1596" t="s">
        <v>4244</v>
      </c>
      <c r="F1596" s="56"/>
    </row>
    <row r="1597" spans="1:6" ht="15">
      <c r="A1597" s="51">
        <v>2723096</v>
      </c>
      <c r="B1597" t="s">
        <v>793</v>
      </c>
      <c r="C1597" s="39" t="s">
        <v>390</v>
      </c>
      <c r="D1597" t="s">
        <v>4243</v>
      </c>
      <c r="F1597" s="56"/>
    </row>
    <row r="1598" spans="1:6" ht="15">
      <c r="A1598" s="51">
        <v>2723092</v>
      </c>
      <c r="B1598" t="s">
        <v>1619</v>
      </c>
      <c r="C1598" s="39" t="s">
        <v>1107</v>
      </c>
      <c r="D1598" t="s">
        <v>4245</v>
      </c>
      <c r="F1598" s="56"/>
    </row>
    <row r="1599" spans="1:6" ht="15">
      <c r="A1599" s="51">
        <v>2723070</v>
      </c>
      <c r="B1599" t="s">
        <v>1620</v>
      </c>
      <c r="C1599" s="39" t="s">
        <v>1046</v>
      </c>
      <c r="D1599" t="s">
        <v>469</v>
      </c>
      <c r="F1599" s="56"/>
    </row>
    <row r="1600" spans="1:6" ht="15">
      <c r="A1600" s="51">
        <v>2723094</v>
      </c>
      <c r="B1600" t="s">
        <v>830</v>
      </c>
      <c r="C1600" s="39" t="s">
        <v>228</v>
      </c>
      <c r="D1600">
        <v>9</v>
      </c>
      <c r="F1600" s="56"/>
    </row>
    <row r="1601" spans="1:6" ht="15">
      <c r="A1601" s="51">
        <v>290457</v>
      </c>
      <c r="B1601" t="s">
        <v>1621</v>
      </c>
      <c r="C1601" s="39" t="s">
        <v>1622</v>
      </c>
      <c r="D1601" t="s">
        <v>4248</v>
      </c>
      <c r="F1601" s="56"/>
    </row>
    <row r="1602" spans="1:6" ht="15">
      <c r="A1602" s="51">
        <v>290458</v>
      </c>
      <c r="B1602" t="s">
        <v>1623</v>
      </c>
      <c r="C1602" s="39" t="s">
        <v>1624</v>
      </c>
      <c r="D1602" t="s">
        <v>4245</v>
      </c>
      <c r="F1602" s="56"/>
    </row>
    <row r="1603" spans="1:6" ht="15">
      <c r="A1603" s="51">
        <v>290459</v>
      </c>
      <c r="B1603" t="s">
        <v>1625</v>
      </c>
      <c r="C1603" s="39" t="s">
        <v>1626</v>
      </c>
      <c r="D1603" t="s">
        <v>4245</v>
      </c>
      <c r="F1603" s="56"/>
    </row>
    <row r="1604" spans="1:6" ht="15">
      <c r="A1604" s="51">
        <v>290460</v>
      </c>
      <c r="B1604" t="s">
        <v>1627</v>
      </c>
      <c r="C1604" s="39" t="s">
        <v>92</v>
      </c>
      <c r="D1604" t="s">
        <v>4246</v>
      </c>
      <c r="F1604" s="56"/>
    </row>
    <row r="1605" spans="1:6" ht="15">
      <c r="A1605" s="51">
        <v>290461</v>
      </c>
      <c r="B1605" t="s">
        <v>1628</v>
      </c>
      <c r="C1605" s="39" t="s">
        <v>92</v>
      </c>
      <c r="D1605" t="s">
        <v>4244</v>
      </c>
      <c r="F1605" s="56"/>
    </row>
    <row r="1606" spans="1:6" ht="15">
      <c r="A1606" s="51">
        <v>290462</v>
      </c>
      <c r="B1606" t="s">
        <v>1629</v>
      </c>
      <c r="C1606" s="39" t="s">
        <v>92</v>
      </c>
      <c r="D1606" t="s">
        <v>4243</v>
      </c>
      <c r="F1606" s="56"/>
    </row>
    <row r="1607" spans="1:6" ht="15">
      <c r="A1607" s="51">
        <v>290463</v>
      </c>
      <c r="B1607" t="s">
        <v>1630</v>
      </c>
      <c r="C1607" s="39" t="s">
        <v>92</v>
      </c>
      <c r="D1607">
        <v>8</v>
      </c>
      <c r="F1607" s="56"/>
    </row>
    <row r="1608" spans="1:6" ht="15">
      <c r="A1608" s="51">
        <v>290464</v>
      </c>
      <c r="B1608" t="s">
        <v>1631</v>
      </c>
      <c r="C1608" s="39" t="s">
        <v>1632</v>
      </c>
      <c r="D1608" t="s">
        <v>4243</v>
      </c>
      <c r="F1608" s="56"/>
    </row>
    <row r="1609" spans="1:6" ht="15">
      <c r="A1609" s="51">
        <v>290465</v>
      </c>
      <c r="B1609" t="s">
        <v>1633</v>
      </c>
      <c r="C1609" s="39" t="s">
        <v>1634</v>
      </c>
      <c r="D1609" t="s">
        <v>4249</v>
      </c>
      <c r="F1609" s="56"/>
    </row>
    <row r="1610" spans="1:6" ht="15">
      <c r="A1610" s="51">
        <v>290466</v>
      </c>
      <c r="B1610" t="s">
        <v>1635</v>
      </c>
      <c r="C1610" s="39" t="s">
        <v>1634</v>
      </c>
      <c r="D1610" t="s">
        <v>4249</v>
      </c>
      <c r="F1610" s="56"/>
    </row>
    <row r="1611" spans="1:6" ht="15">
      <c r="A1611" s="51">
        <v>290592</v>
      </c>
      <c r="B1611" t="s">
        <v>103</v>
      </c>
      <c r="C1611" s="39" t="s">
        <v>1636</v>
      </c>
      <c r="D1611" t="s">
        <v>4243</v>
      </c>
      <c r="F1611" s="56"/>
    </row>
    <row r="1612" spans="1:6" ht="15">
      <c r="A1612" s="51">
        <v>290467</v>
      </c>
      <c r="B1612" t="s">
        <v>109</v>
      </c>
      <c r="C1612" s="39" t="s">
        <v>108</v>
      </c>
      <c r="D1612" t="s">
        <v>4245</v>
      </c>
      <c r="F1612" s="56"/>
    </row>
    <row r="1613" spans="1:6" ht="15">
      <c r="A1613" s="51">
        <v>290468</v>
      </c>
      <c r="B1613" t="s">
        <v>111</v>
      </c>
      <c r="C1613" s="39" t="s">
        <v>108</v>
      </c>
      <c r="D1613" t="s">
        <v>4245</v>
      </c>
      <c r="F1613" s="56"/>
    </row>
    <row r="1614" spans="1:6" ht="15">
      <c r="A1614" s="51">
        <v>290469</v>
      </c>
      <c r="B1614" t="s">
        <v>112</v>
      </c>
      <c r="C1614" s="39" t="s">
        <v>108</v>
      </c>
      <c r="D1614" t="s">
        <v>4244</v>
      </c>
      <c r="F1614" s="56"/>
    </row>
    <row r="1615" spans="1:6" ht="15">
      <c r="A1615" s="51">
        <v>290470</v>
      </c>
      <c r="B1615" t="s">
        <v>113</v>
      </c>
      <c r="C1615" s="39" t="s">
        <v>108</v>
      </c>
      <c r="D1615" t="s">
        <v>4243</v>
      </c>
      <c r="F1615" s="56"/>
    </row>
    <row r="1616" spans="1:6" ht="15">
      <c r="A1616" s="51">
        <v>290471</v>
      </c>
      <c r="B1616" t="s">
        <v>844</v>
      </c>
      <c r="C1616" s="39" t="s">
        <v>108</v>
      </c>
      <c r="D1616">
        <v>8</v>
      </c>
      <c r="F1616" s="56"/>
    </row>
    <row r="1617" spans="1:6" ht="15">
      <c r="A1617" s="51">
        <v>290472</v>
      </c>
      <c r="B1617" t="s">
        <v>350</v>
      </c>
      <c r="C1617" s="39" t="s">
        <v>542</v>
      </c>
      <c r="D1617" t="s">
        <v>4246</v>
      </c>
      <c r="F1617" s="56"/>
    </row>
    <row r="1618" spans="1:6" ht="15">
      <c r="A1618" s="51">
        <v>290473</v>
      </c>
      <c r="B1618" t="s">
        <v>351</v>
      </c>
      <c r="C1618" s="39" t="s">
        <v>542</v>
      </c>
      <c r="D1618" t="s">
        <v>4244</v>
      </c>
      <c r="F1618" s="56"/>
    </row>
    <row r="1619" spans="1:6" ht="15">
      <c r="A1619" s="51">
        <v>290474</v>
      </c>
      <c r="B1619" t="s">
        <v>1637</v>
      </c>
      <c r="C1619" s="39" t="s">
        <v>1599</v>
      </c>
      <c r="D1619" t="s">
        <v>4246</v>
      </c>
      <c r="F1619" s="56"/>
    </row>
    <row r="1620" spans="1:6" ht="15">
      <c r="A1620" s="51">
        <v>290475</v>
      </c>
      <c r="B1620" t="s">
        <v>1638</v>
      </c>
      <c r="C1620" s="39" t="s">
        <v>1639</v>
      </c>
      <c r="D1620" t="s">
        <v>4243</v>
      </c>
      <c r="F1620" s="56"/>
    </row>
    <row r="1621" spans="1:6" ht="15">
      <c r="A1621" s="51">
        <v>290476</v>
      </c>
      <c r="B1621" t="s">
        <v>1640</v>
      </c>
      <c r="C1621" s="39" t="s">
        <v>1639</v>
      </c>
      <c r="D1621">
        <v>7</v>
      </c>
      <c r="F1621" s="56"/>
    </row>
    <row r="1622" spans="1:6" ht="15">
      <c r="A1622" s="51">
        <v>290477</v>
      </c>
      <c r="B1622" t="s">
        <v>1641</v>
      </c>
      <c r="C1622" s="39" t="s">
        <v>1639</v>
      </c>
      <c r="D1622">
        <v>8</v>
      </c>
      <c r="F1622" s="56"/>
    </row>
    <row r="1623" spans="1:6" ht="15">
      <c r="A1623" s="51">
        <v>290478</v>
      </c>
      <c r="B1623" t="s">
        <v>1642</v>
      </c>
      <c r="C1623" s="39" t="s">
        <v>1643</v>
      </c>
      <c r="D1623" t="s">
        <v>4243</v>
      </c>
      <c r="F1623" s="56"/>
    </row>
    <row r="1624" spans="1:6" ht="15">
      <c r="A1624" s="51">
        <v>290479</v>
      </c>
      <c r="B1624" t="s">
        <v>1644</v>
      </c>
      <c r="C1624" s="39" t="s">
        <v>1643</v>
      </c>
      <c r="D1624">
        <v>7</v>
      </c>
      <c r="F1624" s="56"/>
    </row>
    <row r="1625" spans="1:6" ht="15">
      <c r="A1625" s="51">
        <v>290480</v>
      </c>
      <c r="B1625" t="s">
        <v>1645</v>
      </c>
      <c r="C1625" s="39" t="s">
        <v>1643</v>
      </c>
      <c r="D1625">
        <v>8</v>
      </c>
      <c r="F1625" s="56"/>
    </row>
    <row r="1626" spans="1:6" ht="15">
      <c r="A1626" s="51">
        <v>290481</v>
      </c>
      <c r="B1626" t="s">
        <v>1646</v>
      </c>
      <c r="C1626" s="39" t="s">
        <v>1643</v>
      </c>
      <c r="D1626">
        <v>8</v>
      </c>
      <c r="F1626" s="56"/>
    </row>
    <row r="1627" spans="1:6" ht="15">
      <c r="A1627" s="51">
        <v>290482</v>
      </c>
      <c r="B1627" t="s">
        <v>1647</v>
      </c>
      <c r="C1627" s="39" t="s">
        <v>1643</v>
      </c>
      <c r="D1627">
        <v>9</v>
      </c>
      <c r="F1627" s="56"/>
    </row>
    <row r="1628" spans="1:6" ht="15">
      <c r="A1628" s="51">
        <v>290483</v>
      </c>
      <c r="B1628" t="s">
        <v>1648</v>
      </c>
      <c r="C1628" s="39" t="s">
        <v>138</v>
      </c>
      <c r="D1628">
        <v>9</v>
      </c>
      <c r="F1628" s="56"/>
    </row>
    <row r="1629" spans="1:6" ht="15">
      <c r="A1629" s="51">
        <v>290484</v>
      </c>
      <c r="B1629" t="s">
        <v>1649</v>
      </c>
      <c r="C1629" s="39" t="s">
        <v>1650</v>
      </c>
      <c r="D1629">
        <v>8</v>
      </c>
      <c r="F1629" s="56"/>
    </row>
    <row r="1630" spans="1:6" ht="15">
      <c r="A1630" s="51">
        <v>290485</v>
      </c>
      <c r="B1630" t="s">
        <v>1651</v>
      </c>
      <c r="C1630" s="39" t="s">
        <v>1650</v>
      </c>
      <c r="D1630">
        <v>8</v>
      </c>
      <c r="F1630" s="56"/>
    </row>
    <row r="1631" spans="1:6" ht="15">
      <c r="A1631" s="51">
        <v>290486</v>
      </c>
      <c r="B1631" t="s">
        <v>1652</v>
      </c>
      <c r="C1631" s="39" t="s">
        <v>1650</v>
      </c>
      <c r="D1631">
        <v>9</v>
      </c>
      <c r="F1631" s="56"/>
    </row>
    <row r="1632" spans="1:6" ht="15">
      <c r="A1632" s="51">
        <v>290487</v>
      </c>
      <c r="B1632" t="s">
        <v>160</v>
      </c>
      <c r="C1632" s="39" t="s">
        <v>161</v>
      </c>
      <c r="D1632" t="s">
        <v>4247</v>
      </c>
      <c r="F1632" s="56"/>
    </row>
    <row r="1633" spans="1:6" ht="15">
      <c r="A1633" s="51">
        <v>290488</v>
      </c>
      <c r="B1633" t="s">
        <v>162</v>
      </c>
      <c r="C1633" s="39" t="s">
        <v>161</v>
      </c>
      <c r="D1633" t="s">
        <v>4243</v>
      </c>
      <c r="F1633" s="56"/>
    </row>
    <row r="1634" spans="1:6" ht="15">
      <c r="A1634" s="51">
        <v>290489</v>
      </c>
      <c r="B1634" t="s">
        <v>163</v>
      </c>
      <c r="C1634" s="39" t="s">
        <v>161</v>
      </c>
      <c r="D1634">
        <v>7</v>
      </c>
      <c r="F1634" s="56"/>
    </row>
    <row r="1635" spans="1:6" ht="15">
      <c r="A1635" s="51">
        <v>290490</v>
      </c>
      <c r="B1635" t="s">
        <v>164</v>
      </c>
      <c r="C1635" s="39" t="s">
        <v>161</v>
      </c>
      <c r="D1635">
        <v>8</v>
      </c>
      <c r="F1635" s="56"/>
    </row>
    <row r="1636" spans="1:6" ht="15">
      <c r="A1636" s="51">
        <v>290494</v>
      </c>
      <c r="B1636" t="s">
        <v>1653</v>
      </c>
      <c r="C1636" s="39" t="s">
        <v>1654</v>
      </c>
      <c r="D1636">
        <v>8</v>
      </c>
      <c r="F1636" s="56"/>
    </row>
    <row r="1637" spans="1:6" ht="15">
      <c r="A1637" s="51">
        <v>290491</v>
      </c>
      <c r="B1637" t="s">
        <v>855</v>
      </c>
      <c r="C1637" s="39" t="s">
        <v>1655</v>
      </c>
      <c r="D1637">
        <v>8</v>
      </c>
      <c r="F1637" s="56"/>
    </row>
    <row r="1638" spans="1:6" ht="15">
      <c r="A1638" s="51">
        <v>290492</v>
      </c>
      <c r="B1638" t="s">
        <v>1656</v>
      </c>
      <c r="C1638" s="39" t="s">
        <v>1655</v>
      </c>
      <c r="D1638">
        <v>8</v>
      </c>
      <c r="F1638" s="56"/>
    </row>
    <row r="1639" spans="1:6" ht="15">
      <c r="A1639" s="51">
        <v>290493</v>
      </c>
      <c r="B1639" t="s">
        <v>1657</v>
      </c>
      <c r="C1639" s="39" t="s">
        <v>1655</v>
      </c>
      <c r="D1639">
        <v>9</v>
      </c>
      <c r="F1639" s="56"/>
    </row>
    <row r="1640" spans="1:6" ht="15">
      <c r="A1640" s="51">
        <v>290495</v>
      </c>
      <c r="B1640" t="s">
        <v>165</v>
      </c>
      <c r="C1640" s="39" t="s">
        <v>170</v>
      </c>
      <c r="D1640" t="s">
        <v>4247</v>
      </c>
      <c r="F1640" s="56"/>
    </row>
    <row r="1641" spans="1:6" ht="15">
      <c r="A1641" s="51">
        <v>290496</v>
      </c>
      <c r="B1641" t="s">
        <v>167</v>
      </c>
      <c r="C1641" s="39" t="s">
        <v>170</v>
      </c>
      <c r="D1641" t="s">
        <v>4243</v>
      </c>
      <c r="F1641" s="56"/>
    </row>
    <row r="1642" spans="1:6" ht="15">
      <c r="A1642" s="51">
        <v>290497</v>
      </c>
      <c r="B1642" t="s">
        <v>168</v>
      </c>
      <c r="C1642" s="39" t="s">
        <v>170</v>
      </c>
      <c r="D1642">
        <v>7</v>
      </c>
      <c r="F1642" s="56"/>
    </row>
    <row r="1643" spans="1:6" ht="15">
      <c r="A1643" s="51">
        <v>290498</v>
      </c>
      <c r="B1643" t="s">
        <v>1658</v>
      </c>
      <c r="C1643" s="39" t="s">
        <v>170</v>
      </c>
      <c r="D1643">
        <v>8</v>
      </c>
      <c r="F1643" s="56"/>
    </row>
    <row r="1644" spans="1:6" ht="15">
      <c r="A1644" s="51">
        <v>290499</v>
      </c>
      <c r="B1644" t="s">
        <v>1059</v>
      </c>
      <c r="C1644" s="39" t="s">
        <v>175</v>
      </c>
      <c r="D1644" t="s">
        <v>4247</v>
      </c>
      <c r="F1644" s="56"/>
    </row>
    <row r="1645" spans="1:6" ht="15">
      <c r="A1645" s="51">
        <v>290500</v>
      </c>
      <c r="B1645" t="s">
        <v>174</v>
      </c>
      <c r="C1645" s="39" t="s">
        <v>175</v>
      </c>
      <c r="D1645" t="s">
        <v>4243</v>
      </c>
      <c r="F1645" s="56"/>
    </row>
    <row r="1646" spans="1:6" ht="15">
      <c r="A1646" s="51">
        <v>290501</v>
      </c>
      <c r="B1646" t="s">
        <v>1061</v>
      </c>
      <c r="C1646" s="39" t="s">
        <v>175</v>
      </c>
      <c r="D1646">
        <v>7</v>
      </c>
      <c r="F1646" s="56"/>
    </row>
    <row r="1647" spans="1:6" ht="15">
      <c r="A1647" s="51">
        <v>290502</v>
      </c>
      <c r="B1647" t="s">
        <v>1062</v>
      </c>
      <c r="C1647" s="39" t="s">
        <v>175</v>
      </c>
      <c r="D1647">
        <v>8</v>
      </c>
      <c r="F1647" s="56"/>
    </row>
    <row r="1648" spans="1:6" ht="15">
      <c r="A1648" s="51">
        <v>290503</v>
      </c>
      <c r="B1648" t="s">
        <v>178</v>
      </c>
      <c r="C1648" s="39" t="s">
        <v>1659</v>
      </c>
      <c r="D1648">
        <v>8</v>
      </c>
      <c r="F1648" s="56"/>
    </row>
    <row r="1649" spans="1:6" ht="15">
      <c r="A1649" s="51">
        <v>290504</v>
      </c>
      <c r="B1649" t="s">
        <v>1660</v>
      </c>
      <c r="C1649" s="39" t="s">
        <v>1659</v>
      </c>
      <c r="D1649">
        <v>8</v>
      </c>
      <c r="F1649" s="56"/>
    </row>
    <row r="1650" spans="1:6" ht="15">
      <c r="A1650" s="51">
        <v>290505</v>
      </c>
      <c r="B1650" t="s">
        <v>1661</v>
      </c>
      <c r="C1650" s="39" t="s">
        <v>1659</v>
      </c>
      <c r="D1650">
        <v>9</v>
      </c>
      <c r="F1650" s="56"/>
    </row>
    <row r="1651" spans="1:6" ht="15">
      <c r="A1651" s="51">
        <v>290506</v>
      </c>
      <c r="B1651" t="s">
        <v>179</v>
      </c>
      <c r="C1651" s="39" t="s">
        <v>390</v>
      </c>
      <c r="D1651" t="s">
        <v>4247</v>
      </c>
      <c r="F1651" s="56"/>
    </row>
    <row r="1652" spans="1:6" ht="15">
      <c r="A1652" s="51">
        <v>290507</v>
      </c>
      <c r="B1652" t="s">
        <v>391</v>
      </c>
      <c r="C1652" s="39" t="s">
        <v>390</v>
      </c>
      <c r="D1652" t="s">
        <v>4243</v>
      </c>
      <c r="F1652" s="56"/>
    </row>
    <row r="1653" spans="1:6" ht="15">
      <c r="A1653" s="51">
        <v>290508</v>
      </c>
      <c r="B1653" t="s">
        <v>392</v>
      </c>
      <c r="C1653" s="39" t="s">
        <v>390</v>
      </c>
      <c r="D1653">
        <v>7</v>
      </c>
      <c r="F1653" s="56"/>
    </row>
    <row r="1654" spans="1:6" ht="15">
      <c r="A1654" s="51">
        <v>290509</v>
      </c>
      <c r="B1654" t="s">
        <v>857</v>
      </c>
      <c r="C1654" s="39" t="s">
        <v>390</v>
      </c>
      <c r="D1654">
        <v>9</v>
      </c>
      <c r="F1654" s="56"/>
    </row>
    <row r="1655" spans="1:6" ht="15">
      <c r="A1655" s="51">
        <v>290510</v>
      </c>
      <c r="B1655" t="s">
        <v>186</v>
      </c>
      <c r="C1655" s="39" t="s">
        <v>1662</v>
      </c>
      <c r="D1655" t="s">
        <v>4245</v>
      </c>
      <c r="F1655" s="56"/>
    </row>
    <row r="1656" spans="1:6" ht="15">
      <c r="A1656" s="51">
        <v>290511</v>
      </c>
      <c r="B1656" t="s">
        <v>187</v>
      </c>
      <c r="C1656" s="39" t="s">
        <v>1662</v>
      </c>
      <c r="D1656" t="s">
        <v>4244</v>
      </c>
      <c r="F1656" s="56"/>
    </row>
    <row r="1657" spans="1:6" ht="15">
      <c r="A1657" s="51">
        <v>290512</v>
      </c>
      <c r="B1657" t="s">
        <v>1250</v>
      </c>
      <c r="C1657" s="39" t="s">
        <v>1662</v>
      </c>
      <c r="D1657" t="s">
        <v>4243</v>
      </c>
      <c r="F1657" s="56"/>
    </row>
    <row r="1658" spans="1:6" ht="15">
      <c r="A1658" s="51">
        <v>290513</v>
      </c>
      <c r="B1658" t="s">
        <v>1663</v>
      </c>
      <c r="C1658" s="39" t="s">
        <v>1662</v>
      </c>
      <c r="D1658">
        <v>7</v>
      </c>
      <c r="F1658" s="56"/>
    </row>
    <row r="1659" spans="1:6" ht="15">
      <c r="A1659" s="51">
        <v>290514</v>
      </c>
      <c r="B1659" t="s">
        <v>1186</v>
      </c>
      <c r="C1659" s="39" t="s">
        <v>192</v>
      </c>
      <c r="D1659" t="s">
        <v>4247</v>
      </c>
      <c r="F1659" s="56"/>
    </row>
    <row r="1660" spans="1:6" ht="15">
      <c r="A1660" s="51">
        <v>290515</v>
      </c>
      <c r="B1660" t="s">
        <v>1187</v>
      </c>
      <c r="C1660" s="39" t="s">
        <v>192</v>
      </c>
      <c r="D1660" t="s">
        <v>4243</v>
      </c>
      <c r="F1660" s="56"/>
    </row>
    <row r="1661" spans="1:6" ht="15">
      <c r="A1661" s="51">
        <v>290516</v>
      </c>
      <c r="B1661" t="s">
        <v>1188</v>
      </c>
      <c r="C1661" s="39" t="s">
        <v>192</v>
      </c>
      <c r="D1661">
        <v>7</v>
      </c>
      <c r="F1661" s="56"/>
    </row>
    <row r="1662" spans="1:6" ht="15">
      <c r="A1662" s="51">
        <v>290517</v>
      </c>
      <c r="B1662" t="s">
        <v>1664</v>
      </c>
      <c r="C1662" s="39" t="s">
        <v>1665</v>
      </c>
      <c r="D1662" t="s">
        <v>4247</v>
      </c>
      <c r="F1662" s="56"/>
    </row>
    <row r="1663" spans="1:6" ht="15">
      <c r="A1663" s="51">
        <v>290518</v>
      </c>
      <c r="B1663" t="s">
        <v>1666</v>
      </c>
      <c r="C1663" s="39" t="s">
        <v>1665</v>
      </c>
      <c r="D1663" t="s">
        <v>4243</v>
      </c>
      <c r="F1663" s="56"/>
    </row>
    <row r="1664" spans="1:6" ht="15">
      <c r="A1664" s="51">
        <v>290519</v>
      </c>
      <c r="B1664" t="s">
        <v>196</v>
      </c>
      <c r="C1664" s="39" t="s">
        <v>630</v>
      </c>
      <c r="D1664" t="s">
        <v>4244</v>
      </c>
      <c r="F1664" s="56"/>
    </row>
    <row r="1665" spans="1:6" ht="15">
      <c r="A1665" s="51">
        <v>290520</v>
      </c>
      <c r="B1665" t="s">
        <v>868</v>
      </c>
      <c r="C1665" s="39" t="s">
        <v>630</v>
      </c>
      <c r="D1665">
        <v>7</v>
      </c>
      <c r="F1665" s="56"/>
    </row>
    <row r="1666" spans="1:6" ht="15">
      <c r="A1666" s="51">
        <v>290521</v>
      </c>
      <c r="B1666" t="s">
        <v>870</v>
      </c>
      <c r="C1666" s="39" t="s">
        <v>630</v>
      </c>
      <c r="D1666">
        <v>8</v>
      </c>
      <c r="F1666" s="56"/>
    </row>
    <row r="1667" spans="1:6" ht="15">
      <c r="A1667" s="51">
        <v>290522</v>
      </c>
      <c r="B1667" t="s">
        <v>1667</v>
      </c>
      <c r="C1667" s="39" t="s">
        <v>200</v>
      </c>
      <c r="D1667" t="s">
        <v>4243</v>
      </c>
      <c r="F1667" s="56"/>
    </row>
    <row r="1668" spans="1:6" ht="15">
      <c r="A1668" s="51">
        <v>290523</v>
      </c>
      <c r="B1668" t="s">
        <v>403</v>
      </c>
      <c r="C1668" s="39" t="s">
        <v>200</v>
      </c>
      <c r="D1668" t="s">
        <v>4243</v>
      </c>
      <c r="F1668" s="56"/>
    </row>
    <row r="1669" spans="1:6" ht="15">
      <c r="A1669" s="51">
        <v>290524</v>
      </c>
      <c r="B1669" t="s">
        <v>1668</v>
      </c>
      <c r="C1669" s="39" t="s">
        <v>200</v>
      </c>
      <c r="D1669">
        <v>7</v>
      </c>
      <c r="F1669" s="56"/>
    </row>
    <row r="1670" spans="1:6" ht="15">
      <c r="A1670" s="51">
        <v>290525</v>
      </c>
      <c r="B1670" t="s">
        <v>1567</v>
      </c>
      <c r="C1670" s="39" t="s">
        <v>203</v>
      </c>
      <c r="D1670">
        <v>8</v>
      </c>
      <c r="F1670" s="56"/>
    </row>
    <row r="1671" spans="1:6" ht="15">
      <c r="A1671" s="51">
        <v>290526</v>
      </c>
      <c r="B1671" t="s">
        <v>1669</v>
      </c>
      <c r="C1671" s="39" t="s">
        <v>205</v>
      </c>
      <c r="D1671">
        <v>7</v>
      </c>
      <c r="F1671" s="56"/>
    </row>
    <row r="1672" spans="1:6" ht="15">
      <c r="A1672" s="51">
        <v>290527</v>
      </c>
      <c r="B1672" t="s">
        <v>1670</v>
      </c>
      <c r="C1672" s="39" t="s">
        <v>205</v>
      </c>
      <c r="D1672">
        <v>8</v>
      </c>
      <c r="F1672" s="56"/>
    </row>
    <row r="1673" spans="1:6" ht="15">
      <c r="A1673" s="51">
        <v>290528</v>
      </c>
      <c r="B1673" t="s">
        <v>1671</v>
      </c>
      <c r="C1673" s="39" t="s">
        <v>207</v>
      </c>
      <c r="D1673">
        <v>7</v>
      </c>
      <c r="F1673" s="56"/>
    </row>
    <row r="1674" spans="1:6" ht="15">
      <c r="A1674" s="51">
        <v>290529</v>
      </c>
      <c r="B1674" t="s">
        <v>209</v>
      </c>
      <c r="C1674" s="39" t="s">
        <v>207</v>
      </c>
      <c r="D1674">
        <v>7</v>
      </c>
      <c r="F1674" s="56"/>
    </row>
    <row r="1675" spans="1:6" ht="15">
      <c r="A1675" s="51">
        <v>290530</v>
      </c>
      <c r="B1675" t="s">
        <v>211</v>
      </c>
      <c r="C1675" s="39" t="s">
        <v>207</v>
      </c>
      <c r="D1675">
        <v>8</v>
      </c>
      <c r="F1675" s="56"/>
    </row>
    <row r="1676" spans="1:6" ht="15">
      <c r="A1676" s="51">
        <v>290531</v>
      </c>
      <c r="B1676" t="s">
        <v>1082</v>
      </c>
      <c r="C1676" s="39" t="s">
        <v>1672</v>
      </c>
      <c r="D1676">
        <v>8</v>
      </c>
      <c r="F1676" s="56"/>
    </row>
    <row r="1677" spans="1:6" ht="15">
      <c r="A1677" s="51">
        <v>290532</v>
      </c>
      <c r="B1677" t="s">
        <v>1673</v>
      </c>
      <c r="C1677" s="39" t="s">
        <v>210</v>
      </c>
      <c r="D1677">
        <v>7</v>
      </c>
      <c r="F1677" s="56"/>
    </row>
    <row r="1678" spans="1:6" ht="15">
      <c r="A1678" s="51">
        <v>290533</v>
      </c>
      <c r="B1678" t="s">
        <v>1085</v>
      </c>
      <c r="C1678" s="39" t="s">
        <v>210</v>
      </c>
      <c r="D1678">
        <v>7</v>
      </c>
      <c r="F1678" s="56"/>
    </row>
    <row r="1679" spans="1:6" ht="15">
      <c r="A1679" s="51">
        <v>290534</v>
      </c>
      <c r="B1679" t="s">
        <v>1086</v>
      </c>
      <c r="C1679" s="39" t="s">
        <v>210</v>
      </c>
      <c r="D1679">
        <v>8</v>
      </c>
      <c r="F1679" s="56"/>
    </row>
    <row r="1680" spans="1:6" ht="15">
      <c r="A1680" s="51">
        <v>290535</v>
      </c>
      <c r="B1680" t="s">
        <v>217</v>
      </c>
      <c r="C1680" s="39" t="s">
        <v>417</v>
      </c>
      <c r="D1680" t="s">
        <v>4247</v>
      </c>
      <c r="F1680" s="56"/>
    </row>
    <row r="1681" spans="1:6" ht="15">
      <c r="A1681" s="51">
        <v>290536</v>
      </c>
      <c r="B1681" t="s">
        <v>219</v>
      </c>
      <c r="C1681" s="39" t="s">
        <v>417</v>
      </c>
      <c r="D1681" t="s">
        <v>4243</v>
      </c>
      <c r="F1681" s="56"/>
    </row>
    <row r="1682" spans="1:6" ht="15">
      <c r="A1682" s="51">
        <v>290537</v>
      </c>
      <c r="B1682" t="s">
        <v>220</v>
      </c>
      <c r="C1682" s="39" t="s">
        <v>417</v>
      </c>
      <c r="D1682">
        <v>7</v>
      </c>
      <c r="F1682" s="56"/>
    </row>
    <row r="1683" spans="1:6" ht="15">
      <c r="A1683" s="51">
        <v>290538</v>
      </c>
      <c r="B1683" t="s">
        <v>1674</v>
      </c>
      <c r="C1683" s="39" t="s">
        <v>417</v>
      </c>
      <c r="D1683">
        <v>8</v>
      </c>
      <c r="F1683" s="56"/>
    </row>
    <row r="1684" spans="1:6" ht="15">
      <c r="A1684" s="51">
        <v>290539</v>
      </c>
      <c r="B1684" t="s">
        <v>1675</v>
      </c>
      <c r="C1684" s="39" t="s">
        <v>417</v>
      </c>
      <c r="D1684">
        <v>9</v>
      </c>
      <c r="F1684" s="56"/>
    </row>
    <row r="1685" spans="1:6" ht="15">
      <c r="A1685" s="51">
        <v>290540</v>
      </c>
      <c r="B1685" t="s">
        <v>1090</v>
      </c>
      <c r="C1685" s="39" t="s">
        <v>1676</v>
      </c>
      <c r="D1685">
        <v>8</v>
      </c>
      <c r="F1685" s="56"/>
    </row>
    <row r="1686" spans="1:6" ht="15">
      <c r="A1686" s="51">
        <v>290541</v>
      </c>
      <c r="B1686" t="s">
        <v>1677</v>
      </c>
      <c r="C1686" s="39" t="s">
        <v>1676</v>
      </c>
      <c r="D1686">
        <v>8</v>
      </c>
      <c r="F1686" s="56"/>
    </row>
    <row r="1687" spans="1:6" ht="15">
      <c r="A1687" s="51">
        <v>290542</v>
      </c>
      <c r="B1687" t="s">
        <v>1678</v>
      </c>
      <c r="C1687" s="39" t="s">
        <v>1676</v>
      </c>
      <c r="D1687">
        <v>9</v>
      </c>
      <c r="F1687" s="56"/>
    </row>
    <row r="1688" spans="1:6" ht="15">
      <c r="A1688" s="51">
        <v>290543</v>
      </c>
      <c r="B1688" t="s">
        <v>1679</v>
      </c>
      <c r="C1688" s="39" t="s">
        <v>889</v>
      </c>
      <c r="D1688" t="s">
        <v>4245</v>
      </c>
      <c r="F1688" s="56"/>
    </row>
    <row r="1689" spans="1:6" ht="15">
      <c r="A1689" s="51">
        <v>290544</v>
      </c>
      <c r="B1689" t="s">
        <v>967</v>
      </c>
      <c r="C1689" s="39" t="s">
        <v>228</v>
      </c>
      <c r="D1689">
        <v>9</v>
      </c>
      <c r="F1689" s="56"/>
    </row>
    <row r="1690" spans="1:6" ht="15">
      <c r="A1690" s="51">
        <v>290545</v>
      </c>
      <c r="B1690" t="s">
        <v>1470</v>
      </c>
      <c r="C1690" s="39" t="s">
        <v>228</v>
      </c>
      <c r="D1690">
        <v>9</v>
      </c>
      <c r="F1690" s="56"/>
    </row>
    <row r="1691" spans="1:6" ht="15">
      <c r="A1691" s="51">
        <v>290546</v>
      </c>
      <c r="B1691" t="s">
        <v>1680</v>
      </c>
      <c r="C1691" s="39" t="s">
        <v>1681</v>
      </c>
      <c r="D1691" t="s">
        <v>4243</v>
      </c>
      <c r="F1691" s="56"/>
    </row>
    <row r="1692" spans="1:6" ht="15">
      <c r="A1692" s="51">
        <v>290547</v>
      </c>
      <c r="B1692" t="s">
        <v>232</v>
      </c>
      <c r="C1692" s="39" t="s">
        <v>233</v>
      </c>
      <c r="D1692" t="s">
        <v>4244</v>
      </c>
      <c r="F1692" s="56"/>
    </row>
    <row r="1693" spans="1:6" ht="15">
      <c r="A1693" s="51">
        <v>290548</v>
      </c>
      <c r="B1693" t="s">
        <v>234</v>
      </c>
      <c r="C1693" s="39" t="s">
        <v>238</v>
      </c>
      <c r="D1693" t="s">
        <v>4246</v>
      </c>
      <c r="F1693" s="56"/>
    </row>
    <row r="1694" spans="1:6" ht="15">
      <c r="A1694" s="51">
        <v>290549</v>
      </c>
      <c r="B1694" t="s">
        <v>236</v>
      </c>
      <c r="C1694" s="39" t="s">
        <v>238</v>
      </c>
      <c r="D1694" t="s">
        <v>4247</v>
      </c>
      <c r="F1694" s="56"/>
    </row>
    <row r="1695" spans="1:6" ht="15">
      <c r="A1695" s="51">
        <v>290550</v>
      </c>
      <c r="B1695" t="s">
        <v>1260</v>
      </c>
      <c r="C1695" s="39" t="s">
        <v>238</v>
      </c>
      <c r="D1695" t="s">
        <v>4243</v>
      </c>
      <c r="F1695" s="56"/>
    </row>
    <row r="1696" spans="1:6" ht="15">
      <c r="A1696" s="51">
        <v>290551</v>
      </c>
      <c r="B1696" t="s">
        <v>1682</v>
      </c>
      <c r="C1696" s="39" t="s">
        <v>238</v>
      </c>
      <c r="D1696">
        <v>7</v>
      </c>
      <c r="F1696" s="56"/>
    </row>
    <row r="1697" spans="1:6" ht="15">
      <c r="A1697" s="51">
        <v>290552</v>
      </c>
      <c r="B1697" t="s">
        <v>1683</v>
      </c>
      <c r="C1697" s="39" t="s">
        <v>1684</v>
      </c>
      <c r="D1697">
        <v>8</v>
      </c>
      <c r="F1697" s="56"/>
    </row>
    <row r="1698" spans="1:6" ht="15">
      <c r="A1698" s="51">
        <v>290553</v>
      </c>
      <c r="B1698" t="s">
        <v>1685</v>
      </c>
      <c r="C1698" s="39" t="s">
        <v>1684</v>
      </c>
      <c r="D1698">
        <v>9</v>
      </c>
      <c r="F1698" s="56"/>
    </row>
    <row r="1699" spans="1:6" ht="15">
      <c r="A1699" s="51">
        <v>290554</v>
      </c>
      <c r="B1699" t="s">
        <v>240</v>
      </c>
      <c r="C1699" s="39" t="s">
        <v>241</v>
      </c>
      <c r="D1699" t="s">
        <v>4249</v>
      </c>
      <c r="F1699" s="56"/>
    </row>
    <row r="1700" spans="1:6" ht="15">
      <c r="A1700" s="51">
        <v>290555</v>
      </c>
      <c r="B1700" t="s">
        <v>1686</v>
      </c>
      <c r="C1700" s="39" t="s">
        <v>247</v>
      </c>
      <c r="D1700">
        <v>7</v>
      </c>
      <c r="F1700" s="56"/>
    </row>
    <row r="1701" spans="1:6" ht="15">
      <c r="A1701" s="51">
        <v>290556</v>
      </c>
      <c r="B1701" t="s">
        <v>1687</v>
      </c>
      <c r="C1701" s="39" t="s">
        <v>255</v>
      </c>
      <c r="D1701" t="s">
        <v>4246</v>
      </c>
      <c r="F1701" s="56"/>
    </row>
    <row r="1702" spans="1:6" ht="15">
      <c r="A1702" s="51">
        <v>290557</v>
      </c>
      <c r="B1702" t="s">
        <v>248</v>
      </c>
      <c r="C1702" s="39" t="s">
        <v>255</v>
      </c>
      <c r="D1702" t="s">
        <v>4246</v>
      </c>
      <c r="F1702" s="56"/>
    </row>
    <row r="1703" spans="1:6" ht="15">
      <c r="A1703" s="51">
        <v>290558</v>
      </c>
      <c r="B1703" t="s">
        <v>250</v>
      </c>
      <c r="C1703" s="39" t="s">
        <v>255</v>
      </c>
      <c r="D1703" t="s">
        <v>4244</v>
      </c>
      <c r="F1703" s="56"/>
    </row>
    <row r="1704" spans="1:6" ht="15">
      <c r="A1704" s="51">
        <v>290559</v>
      </c>
      <c r="B1704" t="s">
        <v>251</v>
      </c>
      <c r="C1704" s="39" t="s">
        <v>255</v>
      </c>
      <c r="D1704" t="s">
        <v>4243</v>
      </c>
      <c r="F1704" s="56"/>
    </row>
    <row r="1705" spans="1:6" ht="15">
      <c r="A1705" s="51">
        <v>290560</v>
      </c>
      <c r="B1705" t="s">
        <v>1688</v>
      </c>
      <c r="C1705" s="39" t="s">
        <v>255</v>
      </c>
      <c r="D1705">
        <v>9</v>
      </c>
      <c r="F1705" s="56"/>
    </row>
    <row r="1706" spans="1:6" ht="15">
      <c r="A1706" s="51">
        <v>290561</v>
      </c>
      <c r="B1706" t="s">
        <v>1689</v>
      </c>
      <c r="C1706" s="39" t="s">
        <v>1690</v>
      </c>
      <c r="D1706" t="s">
        <v>4246</v>
      </c>
      <c r="F1706" s="56"/>
    </row>
    <row r="1707" spans="1:6" ht="15">
      <c r="A1707" s="51">
        <v>290562</v>
      </c>
      <c r="B1707" t="s">
        <v>1691</v>
      </c>
      <c r="C1707" s="39" t="s">
        <v>1690</v>
      </c>
      <c r="D1707" t="s">
        <v>4246</v>
      </c>
      <c r="F1707" s="56"/>
    </row>
    <row r="1708" spans="1:6" ht="15">
      <c r="A1708" s="51">
        <v>290563</v>
      </c>
      <c r="B1708" t="s">
        <v>257</v>
      </c>
      <c r="C1708" s="39" t="s">
        <v>258</v>
      </c>
      <c r="D1708">
        <v>9</v>
      </c>
      <c r="F1708" s="56"/>
    </row>
    <row r="1709" spans="1:6" ht="15">
      <c r="A1709" s="51">
        <v>290564</v>
      </c>
      <c r="B1709" t="s">
        <v>441</v>
      </c>
      <c r="C1709" s="39" t="s">
        <v>258</v>
      </c>
      <c r="D1709">
        <v>9</v>
      </c>
      <c r="F1709" s="56"/>
    </row>
    <row r="1710" spans="1:6" ht="15">
      <c r="A1710" s="51">
        <v>290565</v>
      </c>
      <c r="B1710" t="s">
        <v>1510</v>
      </c>
      <c r="C1710" s="39" t="s">
        <v>261</v>
      </c>
      <c r="D1710" t="s">
        <v>4248</v>
      </c>
      <c r="F1710" s="56"/>
    </row>
    <row r="1711" spans="1:6" ht="15">
      <c r="A1711" s="51">
        <v>290566</v>
      </c>
      <c r="B1711" t="s">
        <v>449</v>
      </c>
      <c r="C1711" s="39" t="s">
        <v>450</v>
      </c>
      <c r="D1711">
        <v>9</v>
      </c>
      <c r="F1711" s="56"/>
    </row>
    <row r="1712" spans="1:6" ht="15">
      <c r="A1712" s="51">
        <v>290567</v>
      </c>
      <c r="B1712" t="s">
        <v>265</v>
      </c>
      <c r="C1712" s="39" t="s">
        <v>264</v>
      </c>
      <c r="D1712" t="s">
        <v>4245</v>
      </c>
      <c r="F1712" s="56"/>
    </row>
    <row r="1713" spans="1:6" ht="15">
      <c r="A1713" s="51">
        <v>290568</v>
      </c>
      <c r="B1713" t="s">
        <v>72</v>
      </c>
      <c r="C1713" s="39" t="s">
        <v>264</v>
      </c>
      <c r="D1713" t="s">
        <v>4244</v>
      </c>
      <c r="F1713" s="56"/>
    </row>
    <row r="1714" spans="1:6" ht="15">
      <c r="A1714" s="51">
        <v>290569</v>
      </c>
      <c r="B1714" t="s">
        <v>266</v>
      </c>
      <c r="C1714" s="39" t="s">
        <v>264</v>
      </c>
      <c r="D1714" t="s">
        <v>4243</v>
      </c>
      <c r="F1714" s="56"/>
    </row>
    <row r="1715" spans="1:6" ht="15">
      <c r="A1715" s="51">
        <v>290570</v>
      </c>
      <c r="B1715" t="s">
        <v>73</v>
      </c>
      <c r="C1715" s="39" t="s">
        <v>264</v>
      </c>
      <c r="D1715">
        <v>8</v>
      </c>
      <c r="F1715" s="56"/>
    </row>
    <row r="1716" spans="1:6" ht="15">
      <c r="A1716" s="51">
        <v>290571</v>
      </c>
      <c r="B1716" t="s">
        <v>268</v>
      </c>
      <c r="C1716" s="39" t="s">
        <v>269</v>
      </c>
      <c r="D1716" t="s">
        <v>4244</v>
      </c>
      <c r="F1716" s="56"/>
    </row>
    <row r="1717" spans="1:6" ht="15">
      <c r="A1717" s="51">
        <v>290626</v>
      </c>
      <c r="B1717" t="s">
        <v>114</v>
      </c>
      <c r="C1717" s="39" t="s">
        <v>1692</v>
      </c>
      <c r="D1717">
        <v>9</v>
      </c>
      <c r="F1717" s="56"/>
    </row>
    <row r="1718" spans="1:6" ht="15">
      <c r="A1718" s="51">
        <v>290572</v>
      </c>
      <c r="B1718" t="s">
        <v>270</v>
      </c>
      <c r="C1718" s="39" t="s">
        <v>269</v>
      </c>
      <c r="D1718" t="s">
        <v>4243</v>
      </c>
      <c r="F1718" s="56"/>
    </row>
    <row r="1719" spans="1:6" ht="15">
      <c r="A1719" s="51">
        <v>290573</v>
      </c>
      <c r="B1719" t="s">
        <v>271</v>
      </c>
      <c r="C1719" s="39" t="s">
        <v>269</v>
      </c>
      <c r="D1719">
        <v>8</v>
      </c>
      <c r="F1719" s="56"/>
    </row>
    <row r="1720" spans="1:6" ht="15">
      <c r="A1720" s="51">
        <v>290574</v>
      </c>
      <c r="B1720" t="s">
        <v>272</v>
      </c>
      <c r="C1720" s="39" t="s">
        <v>269</v>
      </c>
      <c r="D1720">
        <v>8</v>
      </c>
      <c r="F1720" s="56"/>
    </row>
    <row r="1721" spans="1:6" ht="15">
      <c r="A1721" s="51">
        <v>290575</v>
      </c>
      <c r="B1721" t="s">
        <v>273</v>
      </c>
      <c r="C1721" s="39" t="s">
        <v>274</v>
      </c>
      <c r="D1721" t="s">
        <v>4243</v>
      </c>
      <c r="F1721" s="56"/>
    </row>
    <row r="1722" spans="1:6" ht="15">
      <c r="A1722" s="51">
        <v>290576</v>
      </c>
      <c r="B1722" t="s">
        <v>74</v>
      </c>
      <c r="C1722" s="39" t="s">
        <v>274</v>
      </c>
      <c r="D1722" t="s">
        <v>4243</v>
      </c>
      <c r="F1722" s="56"/>
    </row>
    <row r="1723" spans="1:6" ht="15">
      <c r="A1723" s="51">
        <v>290577</v>
      </c>
      <c r="B1723" t="s">
        <v>75</v>
      </c>
      <c r="C1723" s="39" t="s">
        <v>274</v>
      </c>
      <c r="D1723">
        <v>7</v>
      </c>
      <c r="F1723" s="56"/>
    </row>
    <row r="1724" spans="1:6" ht="15">
      <c r="A1724" s="51">
        <v>290591</v>
      </c>
      <c r="B1724" t="s">
        <v>1693</v>
      </c>
      <c r="C1724" s="39" t="s">
        <v>1694</v>
      </c>
      <c r="D1724" t="s">
        <v>4249</v>
      </c>
      <c r="F1724" s="56"/>
    </row>
    <row r="1725" spans="1:6" ht="15">
      <c r="A1725" s="51">
        <v>290578</v>
      </c>
      <c r="B1725" t="s">
        <v>279</v>
      </c>
      <c r="C1725" s="39" t="s">
        <v>285</v>
      </c>
      <c r="D1725" t="s">
        <v>4247</v>
      </c>
      <c r="F1725" s="56"/>
    </row>
    <row r="1726" spans="1:6" ht="15">
      <c r="A1726" s="51">
        <v>290579</v>
      </c>
      <c r="B1726" t="s">
        <v>280</v>
      </c>
      <c r="C1726" s="39" t="s">
        <v>285</v>
      </c>
      <c r="D1726" t="s">
        <v>4243</v>
      </c>
      <c r="F1726" s="56"/>
    </row>
    <row r="1727" spans="1:6" ht="15">
      <c r="A1727" s="51">
        <v>290580</v>
      </c>
      <c r="B1727" t="s">
        <v>281</v>
      </c>
      <c r="C1727" s="39" t="s">
        <v>285</v>
      </c>
      <c r="D1727">
        <v>7</v>
      </c>
      <c r="F1727" s="56"/>
    </row>
    <row r="1728" spans="1:6" ht="15">
      <c r="A1728" s="51">
        <v>290581</v>
      </c>
      <c r="B1728" t="s">
        <v>1695</v>
      </c>
      <c r="C1728" s="39" t="s">
        <v>289</v>
      </c>
      <c r="D1728">
        <v>8</v>
      </c>
      <c r="F1728" s="56"/>
    </row>
    <row r="1729" spans="1:6" ht="15">
      <c r="A1729" s="51">
        <v>290582</v>
      </c>
      <c r="B1729" t="s">
        <v>282</v>
      </c>
      <c r="C1729" s="39" t="s">
        <v>1696</v>
      </c>
      <c r="D1729" t="s">
        <v>4245</v>
      </c>
      <c r="F1729" s="56"/>
    </row>
    <row r="1730" spans="1:6" ht="15">
      <c r="A1730" s="51">
        <v>290583</v>
      </c>
      <c r="B1730" t="s">
        <v>1697</v>
      </c>
      <c r="C1730" s="39" t="s">
        <v>291</v>
      </c>
      <c r="D1730" t="s">
        <v>4244</v>
      </c>
      <c r="F1730" s="56"/>
    </row>
    <row r="1731" spans="1:6" ht="15">
      <c r="A1731" s="51">
        <v>290584</v>
      </c>
      <c r="B1731" t="s">
        <v>1698</v>
      </c>
      <c r="C1731" s="39" t="s">
        <v>291</v>
      </c>
      <c r="D1731">
        <v>7</v>
      </c>
      <c r="F1731" s="56"/>
    </row>
    <row r="1732" spans="1:6" ht="15">
      <c r="A1732" s="51">
        <v>290585</v>
      </c>
      <c r="B1732" t="s">
        <v>1699</v>
      </c>
      <c r="C1732" s="39" t="s">
        <v>291</v>
      </c>
      <c r="D1732">
        <v>8</v>
      </c>
      <c r="F1732" s="56"/>
    </row>
    <row r="1733" spans="1:6" ht="15">
      <c r="A1733" s="51">
        <v>290586</v>
      </c>
      <c r="B1733" t="s">
        <v>1139</v>
      </c>
      <c r="C1733" s="39" t="s">
        <v>295</v>
      </c>
      <c r="D1733" t="s">
        <v>4247</v>
      </c>
      <c r="F1733" s="56"/>
    </row>
    <row r="1734" spans="1:6" ht="15">
      <c r="A1734" s="51">
        <v>290587</v>
      </c>
      <c r="B1734" t="s">
        <v>1140</v>
      </c>
      <c r="C1734" s="39" t="s">
        <v>295</v>
      </c>
      <c r="D1734" t="s">
        <v>4247</v>
      </c>
      <c r="F1734" s="56"/>
    </row>
    <row r="1735" spans="1:6" ht="15">
      <c r="A1735" s="51">
        <v>290588</v>
      </c>
      <c r="B1735" t="s">
        <v>288</v>
      </c>
      <c r="C1735" s="39" t="s">
        <v>295</v>
      </c>
      <c r="D1735" t="s">
        <v>4243</v>
      </c>
      <c r="F1735" s="56"/>
    </row>
    <row r="1736" spans="1:6" ht="15">
      <c r="A1736" s="51">
        <v>290589</v>
      </c>
      <c r="B1736" t="s">
        <v>1700</v>
      </c>
      <c r="C1736" s="39" t="s">
        <v>295</v>
      </c>
      <c r="D1736">
        <v>8</v>
      </c>
      <c r="F1736" s="56"/>
    </row>
    <row r="1737" spans="1:6" ht="15">
      <c r="A1737" s="51">
        <v>290590</v>
      </c>
      <c r="B1737" t="s">
        <v>460</v>
      </c>
      <c r="C1737" s="39" t="s">
        <v>1701</v>
      </c>
      <c r="D1737">
        <v>8</v>
      </c>
      <c r="F1737" s="56"/>
    </row>
    <row r="1738" spans="1:6" ht="15">
      <c r="A1738" s="51">
        <v>290613</v>
      </c>
      <c r="B1738" t="s">
        <v>994</v>
      </c>
      <c r="C1738" s="39" t="s">
        <v>1524</v>
      </c>
      <c r="D1738" t="s">
        <v>4245</v>
      </c>
      <c r="F1738" s="56"/>
    </row>
    <row r="1739" spans="1:6" ht="15">
      <c r="A1739" s="51">
        <v>290614</v>
      </c>
      <c r="B1739" t="s">
        <v>311</v>
      </c>
      <c r="C1739" s="39" t="s">
        <v>1524</v>
      </c>
      <c r="D1739" t="s">
        <v>4244</v>
      </c>
      <c r="F1739" s="56"/>
    </row>
    <row r="1740" spans="1:6" ht="15">
      <c r="A1740" s="51">
        <v>290615</v>
      </c>
      <c r="B1740" t="s">
        <v>1355</v>
      </c>
      <c r="C1740" s="39" t="s">
        <v>1524</v>
      </c>
      <c r="D1740" t="s">
        <v>4243</v>
      </c>
      <c r="F1740" s="56"/>
    </row>
    <row r="1741" spans="1:6" ht="15">
      <c r="A1741" s="51">
        <v>290616</v>
      </c>
      <c r="B1741" t="s">
        <v>1525</v>
      </c>
      <c r="C1741" s="39" t="s">
        <v>1524</v>
      </c>
      <c r="D1741">
        <v>8</v>
      </c>
      <c r="F1741" s="56"/>
    </row>
    <row r="1742" spans="1:6" ht="15">
      <c r="A1742" s="51">
        <v>290617</v>
      </c>
      <c r="B1742" t="s">
        <v>1702</v>
      </c>
      <c r="C1742" s="39" t="s">
        <v>1703</v>
      </c>
      <c r="D1742">
        <v>9</v>
      </c>
      <c r="F1742" s="56"/>
    </row>
    <row r="1743" spans="1:6" ht="15">
      <c r="A1743" s="51">
        <v>290618</v>
      </c>
      <c r="B1743" t="s">
        <v>338</v>
      </c>
      <c r="C1743" s="39" t="s">
        <v>99</v>
      </c>
      <c r="D1743">
        <v>7</v>
      </c>
      <c r="F1743" s="56"/>
    </row>
    <row r="1744" spans="1:6" ht="15">
      <c r="A1744" s="51">
        <v>290619</v>
      </c>
      <c r="B1744" t="s">
        <v>100</v>
      </c>
      <c r="C1744" s="39" t="s">
        <v>698</v>
      </c>
      <c r="D1744" t="s">
        <v>4243</v>
      </c>
      <c r="F1744" s="56"/>
    </row>
    <row r="1745" spans="1:6" ht="15">
      <c r="A1745" s="51">
        <v>290620</v>
      </c>
      <c r="B1745" t="s">
        <v>111</v>
      </c>
      <c r="C1745" s="39" t="s">
        <v>1692</v>
      </c>
      <c r="D1745" t="s">
        <v>4246</v>
      </c>
      <c r="F1745" s="56"/>
    </row>
    <row r="1746" spans="1:6" ht="15">
      <c r="A1746" s="51">
        <v>290621</v>
      </c>
      <c r="B1746" t="s">
        <v>112</v>
      </c>
      <c r="C1746" s="39" t="s">
        <v>1692</v>
      </c>
      <c r="D1746" t="s">
        <v>4244</v>
      </c>
      <c r="F1746" s="56"/>
    </row>
    <row r="1747" spans="1:6" ht="15">
      <c r="A1747" s="51">
        <v>290622</v>
      </c>
      <c r="B1747" t="s">
        <v>113</v>
      </c>
      <c r="C1747" s="39" t="s">
        <v>1692</v>
      </c>
      <c r="D1747" t="s">
        <v>4243</v>
      </c>
      <c r="F1747" s="56"/>
    </row>
    <row r="1748" spans="1:6" ht="15">
      <c r="A1748" s="51">
        <v>290623</v>
      </c>
      <c r="B1748" t="s">
        <v>844</v>
      </c>
      <c r="C1748" s="39" t="s">
        <v>1692</v>
      </c>
      <c r="D1748">
        <v>8</v>
      </c>
      <c r="F1748" s="56"/>
    </row>
    <row r="1749" spans="1:6" ht="15">
      <c r="A1749" s="51">
        <v>290624</v>
      </c>
      <c r="B1749" t="s">
        <v>1371</v>
      </c>
      <c r="C1749" s="39" t="s">
        <v>1692</v>
      </c>
      <c r="D1749">
        <v>8</v>
      </c>
      <c r="F1749" s="56"/>
    </row>
    <row r="1750" spans="1:6" ht="15">
      <c r="A1750" s="51">
        <v>290625</v>
      </c>
      <c r="B1750" t="s">
        <v>1704</v>
      </c>
      <c r="C1750" s="39" t="s">
        <v>1692</v>
      </c>
      <c r="D1750">
        <v>8</v>
      </c>
      <c r="F1750" s="56"/>
    </row>
    <row r="1751" spans="1:6" ht="15">
      <c r="A1751" s="51">
        <v>290627</v>
      </c>
      <c r="B1751" t="s">
        <v>1705</v>
      </c>
      <c r="C1751" s="39" t="s">
        <v>1706</v>
      </c>
      <c r="D1751" t="s">
        <v>4247</v>
      </c>
      <c r="F1751" s="56"/>
    </row>
    <row r="1752" spans="1:6" ht="15">
      <c r="A1752" s="51">
        <v>290628</v>
      </c>
      <c r="B1752" t="s">
        <v>1707</v>
      </c>
      <c r="C1752" s="39" t="s">
        <v>1706</v>
      </c>
      <c r="D1752" t="s">
        <v>4243</v>
      </c>
      <c r="F1752" s="56"/>
    </row>
    <row r="1753" spans="1:6" ht="15">
      <c r="A1753" s="51">
        <v>290629</v>
      </c>
      <c r="B1753" t="s">
        <v>1708</v>
      </c>
      <c r="C1753" s="39" t="s">
        <v>1706</v>
      </c>
      <c r="D1753">
        <v>7</v>
      </c>
      <c r="F1753" s="56"/>
    </row>
    <row r="1754" spans="1:6" ht="15">
      <c r="A1754" s="51">
        <v>290630</v>
      </c>
      <c r="B1754" t="s">
        <v>1709</v>
      </c>
      <c r="C1754" s="39" t="s">
        <v>1706</v>
      </c>
      <c r="D1754">
        <v>8</v>
      </c>
      <c r="F1754" s="56"/>
    </row>
    <row r="1755" spans="1:6" ht="15">
      <c r="A1755" s="51">
        <v>290631</v>
      </c>
      <c r="B1755" t="s">
        <v>1710</v>
      </c>
      <c r="C1755" s="39" t="s">
        <v>1711</v>
      </c>
      <c r="D1755">
        <v>8</v>
      </c>
      <c r="F1755" s="56"/>
    </row>
    <row r="1756" spans="1:6" ht="15">
      <c r="A1756" s="51">
        <v>290632</v>
      </c>
      <c r="B1756" t="s">
        <v>1712</v>
      </c>
      <c r="C1756" s="39" t="s">
        <v>1711</v>
      </c>
      <c r="D1756">
        <v>8</v>
      </c>
      <c r="F1756" s="56"/>
    </row>
    <row r="1757" spans="1:6" ht="15">
      <c r="A1757" s="51">
        <v>290633</v>
      </c>
      <c r="B1757" t="s">
        <v>1713</v>
      </c>
      <c r="C1757" s="39" t="s">
        <v>1711</v>
      </c>
      <c r="D1757">
        <v>8</v>
      </c>
      <c r="F1757" s="56"/>
    </row>
    <row r="1758" spans="1:6" ht="15">
      <c r="A1758" s="51">
        <v>290634</v>
      </c>
      <c r="B1758" t="s">
        <v>1714</v>
      </c>
      <c r="C1758" s="39" t="s">
        <v>1715</v>
      </c>
      <c r="D1758" t="s">
        <v>4246</v>
      </c>
      <c r="F1758" s="56"/>
    </row>
    <row r="1759" spans="1:6" ht="15">
      <c r="A1759" s="51">
        <v>290635</v>
      </c>
      <c r="B1759" t="s">
        <v>846</v>
      </c>
      <c r="C1759" s="39" t="s">
        <v>1715</v>
      </c>
      <c r="D1759" t="s">
        <v>4246</v>
      </c>
      <c r="F1759" s="56"/>
    </row>
    <row r="1760" spans="1:6" ht="15">
      <c r="A1760" s="51">
        <v>290636</v>
      </c>
      <c r="B1760" t="s">
        <v>847</v>
      </c>
      <c r="C1760" s="39" t="s">
        <v>1715</v>
      </c>
      <c r="D1760" t="s">
        <v>4244</v>
      </c>
      <c r="F1760" s="56"/>
    </row>
    <row r="1761" spans="1:6" ht="15">
      <c r="A1761" s="51">
        <v>290637</v>
      </c>
      <c r="B1761" t="s">
        <v>849</v>
      </c>
      <c r="C1761" s="39" t="s">
        <v>1715</v>
      </c>
      <c r="D1761" t="s">
        <v>4243</v>
      </c>
      <c r="F1761" s="56"/>
    </row>
    <row r="1762" spans="1:6" ht="15">
      <c r="A1762" s="51">
        <v>290638</v>
      </c>
      <c r="B1762" t="s">
        <v>1716</v>
      </c>
      <c r="C1762" s="39" t="s">
        <v>1715</v>
      </c>
      <c r="D1762">
        <v>8</v>
      </c>
      <c r="F1762" s="56"/>
    </row>
    <row r="1763" spans="1:6" ht="15">
      <c r="A1763" s="51">
        <v>290639</v>
      </c>
      <c r="B1763" t="s">
        <v>1717</v>
      </c>
      <c r="C1763" s="39" t="s">
        <v>1715</v>
      </c>
      <c r="D1763" t="s">
        <v>4246</v>
      </c>
      <c r="F1763" s="56"/>
    </row>
    <row r="1764" spans="1:6" ht="15">
      <c r="A1764" s="51">
        <v>290640</v>
      </c>
      <c r="B1764" t="s">
        <v>1386</v>
      </c>
      <c r="C1764" s="39" t="s">
        <v>1715</v>
      </c>
      <c r="D1764" t="s">
        <v>4246</v>
      </c>
      <c r="F1764" s="56"/>
    </row>
    <row r="1765" spans="1:6" ht="15">
      <c r="A1765" s="51">
        <v>290641</v>
      </c>
      <c r="B1765" t="s">
        <v>1389</v>
      </c>
      <c r="C1765" s="39" t="s">
        <v>1718</v>
      </c>
      <c r="D1765">
        <v>9</v>
      </c>
      <c r="F1765" s="56"/>
    </row>
    <row r="1766" spans="1:6" ht="15">
      <c r="A1766" s="51">
        <v>290642</v>
      </c>
      <c r="B1766" t="s">
        <v>1010</v>
      </c>
      <c r="C1766" s="39" t="s">
        <v>1719</v>
      </c>
      <c r="D1766" t="s">
        <v>4245</v>
      </c>
      <c r="F1766" s="56"/>
    </row>
    <row r="1767" spans="1:6" ht="15">
      <c r="A1767" s="51">
        <v>290643</v>
      </c>
      <c r="B1767" t="s">
        <v>1720</v>
      </c>
      <c r="C1767" s="39" t="s">
        <v>1719</v>
      </c>
      <c r="D1767" t="s">
        <v>4244</v>
      </c>
      <c r="F1767" s="56"/>
    </row>
    <row r="1768" spans="1:6" ht="15">
      <c r="A1768" s="51">
        <v>290644</v>
      </c>
      <c r="B1768" t="s">
        <v>1721</v>
      </c>
      <c r="C1768" s="39" t="s">
        <v>1719</v>
      </c>
      <c r="D1768">
        <v>7</v>
      </c>
      <c r="F1768" s="56"/>
    </row>
    <row r="1769" spans="1:6" ht="15">
      <c r="A1769" s="51">
        <v>290645</v>
      </c>
      <c r="B1769" t="s">
        <v>1722</v>
      </c>
      <c r="C1769" s="39" t="s">
        <v>1723</v>
      </c>
      <c r="D1769" t="s">
        <v>4246</v>
      </c>
      <c r="F1769" s="56"/>
    </row>
    <row r="1770" spans="1:6" ht="15">
      <c r="A1770" s="51">
        <v>290646</v>
      </c>
      <c r="B1770" t="s">
        <v>1724</v>
      </c>
      <c r="C1770" s="39" t="s">
        <v>1723</v>
      </c>
      <c r="D1770" t="s">
        <v>4244</v>
      </c>
      <c r="F1770" s="56"/>
    </row>
    <row r="1771" spans="1:6" ht="15">
      <c r="A1771" s="51">
        <v>290647</v>
      </c>
      <c r="B1771" t="s">
        <v>1725</v>
      </c>
      <c r="C1771" s="39" t="s">
        <v>1723</v>
      </c>
      <c r="D1771">
        <v>7</v>
      </c>
      <c r="F1771" s="56"/>
    </row>
    <row r="1772" spans="1:6" ht="15">
      <c r="A1772" s="51">
        <v>290648</v>
      </c>
      <c r="B1772" t="s">
        <v>1726</v>
      </c>
      <c r="C1772" s="39" t="s">
        <v>1727</v>
      </c>
      <c r="D1772">
        <v>9</v>
      </c>
      <c r="F1772" s="56"/>
    </row>
    <row r="1773" spans="1:6" ht="15">
      <c r="A1773" s="51">
        <v>290649</v>
      </c>
      <c r="B1773" t="s">
        <v>1728</v>
      </c>
      <c r="C1773" s="39" t="s">
        <v>1727</v>
      </c>
      <c r="D1773">
        <v>9</v>
      </c>
      <c r="F1773" s="56"/>
    </row>
    <row r="1774" spans="1:6" ht="15">
      <c r="A1774" s="51">
        <v>290650</v>
      </c>
      <c r="B1774" t="s">
        <v>1729</v>
      </c>
      <c r="C1774" s="39" t="s">
        <v>1730</v>
      </c>
      <c r="D1774">
        <v>8</v>
      </c>
      <c r="F1774" s="56"/>
    </row>
    <row r="1775" spans="1:6" ht="15">
      <c r="A1775" s="51">
        <v>290651</v>
      </c>
      <c r="B1775" t="s">
        <v>1731</v>
      </c>
      <c r="C1775" s="39" t="s">
        <v>1730</v>
      </c>
      <c r="D1775">
        <v>8</v>
      </c>
      <c r="F1775" s="56"/>
    </row>
    <row r="1776" spans="1:6" ht="15">
      <c r="A1776" s="51">
        <v>290652</v>
      </c>
      <c r="B1776" t="s">
        <v>1732</v>
      </c>
      <c r="C1776" s="39" t="s">
        <v>1730</v>
      </c>
      <c r="D1776">
        <v>9</v>
      </c>
      <c r="F1776" s="56"/>
    </row>
    <row r="1777" spans="1:6" ht="15">
      <c r="A1777" s="51">
        <v>290653</v>
      </c>
      <c r="B1777" t="s">
        <v>1733</v>
      </c>
      <c r="C1777" s="39" t="s">
        <v>134</v>
      </c>
      <c r="D1777">
        <v>9</v>
      </c>
      <c r="F1777" s="56"/>
    </row>
    <row r="1778" spans="1:6" ht="15">
      <c r="A1778" s="51">
        <v>290654</v>
      </c>
      <c r="B1778" t="s">
        <v>1648</v>
      </c>
      <c r="C1778" s="39" t="s">
        <v>138</v>
      </c>
      <c r="D1778">
        <v>9</v>
      </c>
      <c r="F1778" s="56"/>
    </row>
    <row r="1779" spans="1:6" ht="15">
      <c r="A1779" s="51">
        <v>290655</v>
      </c>
      <c r="B1779" t="s">
        <v>1023</v>
      </c>
      <c r="C1779" s="39" t="s">
        <v>1024</v>
      </c>
      <c r="D1779" t="s">
        <v>4243</v>
      </c>
      <c r="F1779" s="56"/>
    </row>
    <row r="1780" spans="1:6" ht="15">
      <c r="A1780" s="51">
        <v>290656</v>
      </c>
      <c r="B1780" t="s">
        <v>1734</v>
      </c>
      <c r="C1780" s="39" t="s">
        <v>1735</v>
      </c>
      <c r="D1780" t="s">
        <v>4244</v>
      </c>
      <c r="F1780" s="56"/>
    </row>
    <row r="1781" spans="1:6" ht="15">
      <c r="A1781" s="51">
        <v>290657</v>
      </c>
      <c r="B1781" t="s">
        <v>1403</v>
      </c>
      <c r="C1781" s="39" t="s">
        <v>1735</v>
      </c>
      <c r="D1781" t="s">
        <v>4243</v>
      </c>
      <c r="F1781" s="56"/>
    </row>
    <row r="1782" spans="1:6" ht="15">
      <c r="A1782" s="51">
        <v>290658</v>
      </c>
      <c r="B1782" t="s">
        <v>1736</v>
      </c>
      <c r="C1782" s="39" t="s">
        <v>1735</v>
      </c>
      <c r="D1782">
        <v>8</v>
      </c>
      <c r="F1782" s="56"/>
    </row>
    <row r="1783" spans="1:6" ht="15">
      <c r="A1783" s="51">
        <v>290661</v>
      </c>
      <c r="B1783" t="s">
        <v>1737</v>
      </c>
      <c r="C1783" s="39" t="s">
        <v>1536</v>
      </c>
      <c r="D1783" t="s">
        <v>4245</v>
      </c>
      <c r="F1783" s="56"/>
    </row>
    <row r="1784" spans="1:6" ht="15">
      <c r="A1784" s="51">
        <v>290662</v>
      </c>
      <c r="B1784" t="s">
        <v>1738</v>
      </c>
      <c r="C1784" s="39" t="s">
        <v>1536</v>
      </c>
      <c r="D1784" t="s">
        <v>4246</v>
      </c>
      <c r="F1784" s="56"/>
    </row>
    <row r="1785" spans="1:6" ht="15">
      <c r="A1785" s="51">
        <v>290663</v>
      </c>
      <c r="B1785" t="s">
        <v>1739</v>
      </c>
      <c r="C1785" s="39" t="s">
        <v>1536</v>
      </c>
      <c r="D1785" t="s">
        <v>4244</v>
      </c>
      <c r="F1785" s="56"/>
    </row>
    <row r="1786" spans="1:6" ht="15">
      <c r="A1786" s="51">
        <v>290664</v>
      </c>
      <c r="B1786" t="s">
        <v>372</v>
      </c>
      <c r="C1786" s="39" t="s">
        <v>896</v>
      </c>
      <c r="D1786">
        <v>8</v>
      </c>
      <c r="F1786" s="56"/>
    </row>
    <row r="1787" spans="1:6" ht="15">
      <c r="A1787" s="51">
        <v>290665</v>
      </c>
      <c r="B1787" t="s">
        <v>147</v>
      </c>
      <c r="C1787" s="39" t="s">
        <v>1740</v>
      </c>
      <c r="D1787" t="s">
        <v>4248</v>
      </c>
      <c r="F1787" s="56"/>
    </row>
    <row r="1788" spans="1:6" ht="15">
      <c r="A1788" s="51">
        <v>290666</v>
      </c>
      <c r="B1788" t="s">
        <v>149</v>
      </c>
      <c r="C1788" s="39" t="s">
        <v>1740</v>
      </c>
      <c r="D1788" t="s">
        <v>4246</v>
      </c>
      <c r="F1788" s="56"/>
    </row>
    <row r="1789" spans="1:6" ht="15">
      <c r="A1789" s="51">
        <v>290667</v>
      </c>
      <c r="B1789" t="s">
        <v>1741</v>
      </c>
      <c r="C1789" s="39" t="s">
        <v>1742</v>
      </c>
      <c r="D1789">
        <v>9</v>
      </c>
      <c r="F1789" s="56"/>
    </row>
    <row r="1790" spans="1:6" ht="15">
      <c r="A1790" s="51">
        <v>290668</v>
      </c>
      <c r="B1790" t="s">
        <v>378</v>
      </c>
      <c r="C1790" s="39" t="s">
        <v>1743</v>
      </c>
      <c r="D1790">
        <v>8</v>
      </c>
      <c r="F1790" s="56"/>
    </row>
    <row r="1791" spans="1:6" ht="15">
      <c r="A1791" s="51">
        <v>290669</v>
      </c>
      <c r="B1791" t="s">
        <v>1216</v>
      </c>
      <c r="C1791" s="39" t="s">
        <v>1743</v>
      </c>
      <c r="D1791">
        <v>8</v>
      </c>
      <c r="F1791" s="56"/>
    </row>
    <row r="1792" spans="1:6" ht="15">
      <c r="A1792" s="51">
        <v>290670</v>
      </c>
      <c r="B1792" t="s">
        <v>154</v>
      </c>
      <c r="C1792" s="39" t="s">
        <v>1743</v>
      </c>
      <c r="D1792">
        <v>8</v>
      </c>
      <c r="F1792" s="56"/>
    </row>
    <row r="1793" spans="1:6" ht="15">
      <c r="A1793" s="51">
        <v>290671</v>
      </c>
      <c r="B1793" t="s">
        <v>1744</v>
      </c>
      <c r="C1793" s="39" t="s">
        <v>1743</v>
      </c>
      <c r="D1793">
        <v>8</v>
      </c>
      <c r="F1793" s="56"/>
    </row>
    <row r="1794" spans="1:6" ht="15">
      <c r="A1794" s="51">
        <v>290672</v>
      </c>
      <c r="B1794" t="s">
        <v>1745</v>
      </c>
      <c r="C1794" s="39" t="s">
        <v>1538</v>
      </c>
      <c r="D1794" t="s">
        <v>4246</v>
      </c>
      <c r="F1794" s="56"/>
    </row>
    <row r="1795" spans="1:6" ht="15">
      <c r="A1795" s="51">
        <v>290673</v>
      </c>
      <c r="B1795" t="s">
        <v>1217</v>
      </c>
      <c r="C1795" s="39" t="s">
        <v>1538</v>
      </c>
      <c r="D1795" t="s">
        <v>4247</v>
      </c>
      <c r="F1795" s="56"/>
    </row>
    <row r="1796" spans="1:6" ht="15">
      <c r="A1796" s="51">
        <v>290674</v>
      </c>
      <c r="B1796" t="s">
        <v>1746</v>
      </c>
      <c r="C1796" s="39" t="s">
        <v>1538</v>
      </c>
      <c r="D1796" t="s">
        <v>4243</v>
      </c>
      <c r="F1796" s="56"/>
    </row>
    <row r="1797" spans="1:6" ht="15">
      <c r="A1797" s="51">
        <v>290675</v>
      </c>
      <c r="B1797" t="s">
        <v>1037</v>
      </c>
      <c r="C1797" s="39" t="s">
        <v>1538</v>
      </c>
      <c r="D1797">
        <v>7</v>
      </c>
      <c r="F1797" s="56"/>
    </row>
    <row r="1798" spans="1:6" ht="15">
      <c r="A1798" s="51">
        <v>290676</v>
      </c>
      <c r="B1798" t="s">
        <v>1747</v>
      </c>
      <c r="C1798" s="39" t="s">
        <v>1538</v>
      </c>
      <c r="D1798">
        <v>8</v>
      </c>
      <c r="F1798" s="56"/>
    </row>
    <row r="1799" spans="1:6" ht="15">
      <c r="A1799" s="51">
        <v>290677</v>
      </c>
      <c r="B1799" t="s">
        <v>1748</v>
      </c>
      <c r="C1799" s="39" t="s">
        <v>1538</v>
      </c>
      <c r="D1799" t="s">
        <v>4246</v>
      </c>
      <c r="F1799" s="56"/>
    </row>
    <row r="1800" spans="1:6" ht="15">
      <c r="A1800" s="51">
        <v>290678</v>
      </c>
      <c r="B1800" t="s">
        <v>1749</v>
      </c>
      <c r="C1800" s="39" t="s">
        <v>1538</v>
      </c>
      <c r="D1800" t="s">
        <v>4247</v>
      </c>
      <c r="F1800" s="56"/>
    </row>
    <row r="1801" spans="1:6" ht="15">
      <c r="A1801" s="51">
        <v>290679</v>
      </c>
      <c r="B1801" t="s">
        <v>1750</v>
      </c>
      <c r="C1801" s="39" t="s">
        <v>1751</v>
      </c>
      <c r="D1801">
        <v>9</v>
      </c>
      <c r="F1801" s="56"/>
    </row>
    <row r="1802" spans="1:6" ht="15">
      <c r="A1802" s="51">
        <v>290680</v>
      </c>
      <c r="B1802" t="s">
        <v>379</v>
      </c>
      <c r="C1802" s="39" t="s">
        <v>1751</v>
      </c>
      <c r="D1802">
        <v>9</v>
      </c>
      <c r="F1802" s="56"/>
    </row>
    <row r="1803" spans="1:6" ht="15">
      <c r="A1803" s="51">
        <v>290681</v>
      </c>
      <c r="B1803" t="s">
        <v>1543</v>
      </c>
      <c r="C1803" s="39" t="s">
        <v>1542</v>
      </c>
      <c r="D1803" t="s">
        <v>4247</v>
      </c>
      <c r="F1803" s="56"/>
    </row>
    <row r="1804" spans="1:6" ht="15">
      <c r="A1804" s="51">
        <v>290682</v>
      </c>
      <c r="B1804" t="s">
        <v>1544</v>
      </c>
      <c r="C1804" s="39" t="s">
        <v>1542</v>
      </c>
      <c r="D1804" t="s">
        <v>4243</v>
      </c>
      <c r="F1804" s="56"/>
    </row>
    <row r="1805" spans="1:6" ht="15">
      <c r="A1805" s="51">
        <v>290683</v>
      </c>
      <c r="B1805" t="s">
        <v>1545</v>
      </c>
      <c r="C1805" s="39" t="s">
        <v>1542</v>
      </c>
      <c r="D1805">
        <v>7</v>
      </c>
      <c r="F1805" s="56"/>
    </row>
    <row r="1806" spans="1:6" ht="15">
      <c r="A1806" s="51">
        <v>290684</v>
      </c>
      <c r="B1806" t="s">
        <v>1546</v>
      </c>
      <c r="C1806" s="39" t="s">
        <v>1542</v>
      </c>
      <c r="D1806">
        <v>8</v>
      </c>
      <c r="F1806" s="56"/>
    </row>
    <row r="1807" spans="1:6" ht="15">
      <c r="A1807" s="51">
        <v>290685</v>
      </c>
      <c r="B1807" t="s">
        <v>1752</v>
      </c>
      <c r="C1807" s="39" t="s">
        <v>1753</v>
      </c>
      <c r="D1807">
        <v>9</v>
      </c>
      <c r="F1807" s="56"/>
    </row>
    <row r="1808" spans="1:6" ht="15">
      <c r="A1808" s="51">
        <v>290686</v>
      </c>
      <c r="B1808" t="s">
        <v>1754</v>
      </c>
      <c r="C1808" s="39" t="s">
        <v>1429</v>
      </c>
      <c r="D1808" t="s">
        <v>4244</v>
      </c>
      <c r="F1808" s="56"/>
    </row>
    <row r="1809" spans="1:6" ht="15">
      <c r="A1809" s="51">
        <v>290687</v>
      </c>
      <c r="B1809" t="s">
        <v>1549</v>
      </c>
      <c r="C1809" s="39" t="s">
        <v>1550</v>
      </c>
      <c r="D1809" t="s">
        <v>4247</v>
      </c>
      <c r="F1809" s="56"/>
    </row>
    <row r="1810" spans="1:6" ht="15">
      <c r="A1810" s="51">
        <v>290688</v>
      </c>
      <c r="B1810" t="s">
        <v>1551</v>
      </c>
      <c r="C1810" s="39" t="s">
        <v>1550</v>
      </c>
      <c r="D1810" t="s">
        <v>4247</v>
      </c>
      <c r="F1810" s="56"/>
    </row>
    <row r="1811" spans="1:6" ht="15">
      <c r="A1811" s="51">
        <v>290689</v>
      </c>
      <c r="B1811" t="s">
        <v>1552</v>
      </c>
      <c r="C1811" s="39" t="s">
        <v>1550</v>
      </c>
      <c r="D1811" t="s">
        <v>4243</v>
      </c>
      <c r="F1811" s="56"/>
    </row>
    <row r="1812" spans="1:6" ht="15">
      <c r="A1812" s="51">
        <v>290690</v>
      </c>
      <c r="B1812" t="s">
        <v>1553</v>
      </c>
      <c r="C1812" s="39" t="s">
        <v>1550</v>
      </c>
      <c r="D1812">
        <v>7</v>
      </c>
      <c r="F1812" s="56"/>
    </row>
    <row r="1813" spans="1:6" ht="15">
      <c r="A1813" s="51">
        <v>290691</v>
      </c>
      <c r="B1813" t="s">
        <v>1755</v>
      </c>
      <c r="C1813" s="39" t="s">
        <v>1756</v>
      </c>
      <c r="D1813">
        <v>9</v>
      </c>
      <c r="F1813" s="56"/>
    </row>
    <row r="1814" spans="1:6" ht="15">
      <c r="A1814" s="51">
        <v>290692</v>
      </c>
      <c r="B1814" t="s">
        <v>1757</v>
      </c>
      <c r="C1814" s="39" t="s">
        <v>1756</v>
      </c>
      <c r="D1814">
        <v>9</v>
      </c>
      <c r="F1814" s="56"/>
    </row>
    <row r="1815" spans="1:6" ht="15">
      <c r="A1815" s="51">
        <v>290693</v>
      </c>
      <c r="B1815" t="s">
        <v>1558</v>
      </c>
      <c r="C1815" s="39" t="s">
        <v>1561</v>
      </c>
      <c r="D1815" t="s">
        <v>4245</v>
      </c>
      <c r="F1815" s="56"/>
    </row>
    <row r="1816" spans="1:6" ht="15">
      <c r="A1816" s="51">
        <v>290694</v>
      </c>
      <c r="B1816" t="s">
        <v>1435</v>
      </c>
      <c r="C1816" s="39" t="s">
        <v>1758</v>
      </c>
      <c r="D1816">
        <v>8</v>
      </c>
      <c r="F1816" s="56"/>
    </row>
    <row r="1817" spans="1:6" ht="15">
      <c r="A1817" s="51">
        <v>290695</v>
      </c>
      <c r="B1817" t="s">
        <v>190</v>
      </c>
      <c r="C1817" s="39" t="s">
        <v>1564</v>
      </c>
      <c r="D1817">
        <v>8</v>
      </c>
      <c r="F1817" s="56"/>
    </row>
    <row r="1818" spans="1:6" ht="15">
      <c r="A1818" s="51">
        <v>290696</v>
      </c>
      <c r="B1818" t="s">
        <v>1565</v>
      </c>
      <c r="C1818" s="39" t="s">
        <v>1442</v>
      </c>
      <c r="D1818" t="s">
        <v>4244</v>
      </c>
      <c r="F1818" s="56"/>
    </row>
    <row r="1819" spans="1:6" ht="15">
      <c r="A1819" s="51">
        <v>290697</v>
      </c>
      <c r="B1819" t="s">
        <v>196</v>
      </c>
      <c r="C1819" s="39" t="s">
        <v>1442</v>
      </c>
      <c r="D1819" t="s">
        <v>4244</v>
      </c>
      <c r="F1819" s="56"/>
    </row>
    <row r="1820" spans="1:6" ht="15">
      <c r="A1820" s="51">
        <v>290698</v>
      </c>
      <c r="B1820" t="s">
        <v>1759</v>
      </c>
      <c r="C1820" s="39" t="s">
        <v>1760</v>
      </c>
      <c r="D1820">
        <v>8</v>
      </c>
      <c r="F1820" s="56"/>
    </row>
    <row r="1821" spans="1:6" ht="15">
      <c r="A1821" s="51">
        <v>290699</v>
      </c>
      <c r="B1821" t="s">
        <v>1761</v>
      </c>
      <c r="C1821" s="39" t="s">
        <v>1760</v>
      </c>
      <c r="D1821">
        <v>8</v>
      </c>
      <c r="F1821" s="56"/>
    </row>
    <row r="1822" spans="1:6" ht="15">
      <c r="A1822" s="51">
        <v>290700</v>
      </c>
      <c r="B1822" t="s">
        <v>1762</v>
      </c>
      <c r="C1822" s="39" t="s">
        <v>1760</v>
      </c>
      <c r="D1822">
        <v>8</v>
      </c>
      <c r="F1822" s="56"/>
    </row>
    <row r="1823" spans="1:6" ht="15">
      <c r="A1823" s="51">
        <v>290701</v>
      </c>
      <c r="B1823" t="s">
        <v>1763</v>
      </c>
      <c r="C1823" s="39" t="s">
        <v>1764</v>
      </c>
      <c r="D1823">
        <v>8</v>
      </c>
      <c r="F1823" s="56"/>
    </row>
    <row r="1824" spans="1:6" ht="15">
      <c r="A1824" s="51">
        <v>290702</v>
      </c>
      <c r="B1824" t="s">
        <v>1765</v>
      </c>
      <c r="C1824" s="39" t="s">
        <v>1764</v>
      </c>
      <c r="D1824">
        <v>9</v>
      </c>
      <c r="F1824" s="56"/>
    </row>
    <row r="1825" spans="1:6" ht="15">
      <c r="A1825" s="51">
        <v>290703</v>
      </c>
      <c r="B1825" t="s">
        <v>1766</v>
      </c>
      <c r="C1825" s="39" t="s">
        <v>696</v>
      </c>
      <c r="D1825" t="s">
        <v>4243</v>
      </c>
      <c r="F1825" s="56"/>
    </row>
    <row r="1826" spans="1:6" ht="15">
      <c r="A1826" s="51">
        <v>290704</v>
      </c>
      <c r="B1826" t="s">
        <v>967</v>
      </c>
      <c r="C1826" s="39" t="s">
        <v>475</v>
      </c>
      <c r="D1826" t="s">
        <v>4245</v>
      </c>
      <c r="F1826" s="56"/>
    </row>
    <row r="1827" spans="1:6" ht="15">
      <c r="A1827" s="51">
        <v>290705</v>
      </c>
      <c r="B1827" t="s">
        <v>1575</v>
      </c>
      <c r="C1827" s="39" t="s">
        <v>228</v>
      </c>
      <c r="D1827">
        <v>9</v>
      </c>
      <c r="F1827" s="56"/>
    </row>
    <row r="1828" spans="1:6" ht="15">
      <c r="A1828" s="51">
        <v>290706</v>
      </c>
      <c r="B1828" t="s">
        <v>229</v>
      </c>
      <c r="C1828" s="39" t="s">
        <v>228</v>
      </c>
      <c r="D1828">
        <v>9</v>
      </c>
      <c r="F1828" s="56"/>
    </row>
    <row r="1829" spans="1:6" ht="15">
      <c r="A1829" s="51">
        <v>290707</v>
      </c>
      <c r="B1829" t="s">
        <v>1767</v>
      </c>
      <c r="C1829" s="39" t="s">
        <v>1576</v>
      </c>
      <c r="D1829" t="s">
        <v>4246</v>
      </c>
      <c r="F1829" s="56"/>
    </row>
    <row r="1830" spans="1:6" ht="15">
      <c r="A1830" s="51">
        <v>290708</v>
      </c>
      <c r="B1830" t="s">
        <v>1768</v>
      </c>
      <c r="C1830" s="39" t="s">
        <v>1576</v>
      </c>
      <c r="D1830" t="s">
        <v>4244</v>
      </c>
      <c r="F1830" s="56"/>
    </row>
    <row r="1831" spans="1:6" ht="15">
      <c r="A1831" s="51">
        <v>290709</v>
      </c>
      <c r="B1831" t="s">
        <v>1769</v>
      </c>
      <c r="C1831" s="39" t="s">
        <v>1579</v>
      </c>
      <c r="D1831" t="s">
        <v>4243</v>
      </c>
      <c r="F1831" s="56"/>
    </row>
    <row r="1832" spans="1:6" ht="15">
      <c r="A1832" s="51">
        <v>290710</v>
      </c>
      <c r="B1832" t="s">
        <v>1770</v>
      </c>
      <c r="C1832" s="39" t="s">
        <v>1579</v>
      </c>
      <c r="D1832" t="s">
        <v>4243</v>
      </c>
      <c r="F1832" s="56"/>
    </row>
    <row r="1833" spans="1:6" ht="15">
      <c r="A1833" s="51">
        <v>290711</v>
      </c>
      <c r="B1833" t="s">
        <v>230</v>
      </c>
      <c r="C1833" s="39" t="s">
        <v>231</v>
      </c>
      <c r="D1833" t="s">
        <v>4244</v>
      </c>
      <c r="F1833" s="56"/>
    </row>
    <row r="1834" spans="1:6" ht="15">
      <c r="A1834" s="51">
        <v>290712</v>
      </c>
      <c r="B1834" t="s">
        <v>880</v>
      </c>
      <c r="C1834" s="39" t="s">
        <v>243</v>
      </c>
      <c r="D1834" t="s">
        <v>4245</v>
      </c>
      <c r="F1834" s="56"/>
    </row>
    <row r="1835" spans="1:6" ht="15">
      <c r="A1835" s="51">
        <v>290713</v>
      </c>
      <c r="B1835" t="s">
        <v>1489</v>
      </c>
      <c r="C1835" s="39" t="s">
        <v>1583</v>
      </c>
      <c r="D1835" t="s">
        <v>4245</v>
      </c>
      <c r="F1835" s="56"/>
    </row>
    <row r="1836" spans="1:6" ht="15">
      <c r="A1836" s="51">
        <v>290714</v>
      </c>
      <c r="B1836" t="s">
        <v>1771</v>
      </c>
      <c r="C1836" s="39" t="s">
        <v>1583</v>
      </c>
      <c r="D1836" t="s">
        <v>4244</v>
      </c>
      <c r="F1836" s="56"/>
    </row>
    <row r="1837" spans="1:6" ht="15">
      <c r="A1837" s="51">
        <v>290715</v>
      </c>
      <c r="B1837" t="s">
        <v>1772</v>
      </c>
      <c r="C1837" s="39" t="s">
        <v>1583</v>
      </c>
      <c r="D1837" t="s">
        <v>4243</v>
      </c>
      <c r="F1837" s="56"/>
    </row>
    <row r="1838" spans="1:6" ht="15">
      <c r="A1838" s="51">
        <v>290716</v>
      </c>
      <c r="B1838" t="s">
        <v>1773</v>
      </c>
      <c r="C1838" s="39" t="s">
        <v>1583</v>
      </c>
      <c r="D1838">
        <v>8</v>
      </c>
      <c r="F1838" s="56"/>
    </row>
    <row r="1839" spans="1:6" ht="15">
      <c r="A1839" s="51">
        <v>290717</v>
      </c>
      <c r="B1839" t="s">
        <v>1774</v>
      </c>
      <c r="C1839" s="39" t="s">
        <v>1586</v>
      </c>
      <c r="D1839" t="s">
        <v>4247</v>
      </c>
      <c r="F1839" s="56"/>
    </row>
    <row r="1840" spans="1:6" ht="15">
      <c r="A1840" s="51">
        <v>290718</v>
      </c>
      <c r="B1840" t="s">
        <v>1775</v>
      </c>
      <c r="C1840" s="39" t="s">
        <v>1586</v>
      </c>
      <c r="D1840" t="s">
        <v>4243</v>
      </c>
      <c r="F1840" s="56"/>
    </row>
    <row r="1841" spans="1:6" ht="15">
      <c r="A1841" s="51">
        <v>290719</v>
      </c>
      <c r="B1841" t="s">
        <v>1776</v>
      </c>
      <c r="C1841" s="39" t="s">
        <v>1586</v>
      </c>
      <c r="D1841" t="s">
        <v>4243</v>
      </c>
      <c r="F1841" s="56"/>
    </row>
    <row r="1842" spans="1:6" ht="15">
      <c r="A1842" s="51">
        <v>290720</v>
      </c>
      <c r="B1842" t="s">
        <v>1494</v>
      </c>
      <c r="C1842" s="39" t="s">
        <v>1777</v>
      </c>
      <c r="D1842">
        <v>9</v>
      </c>
      <c r="F1842" s="56"/>
    </row>
    <row r="1843" spans="1:6" ht="15">
      <c r="A1843" s="51">
        <v>290721</v>
      </c>
      <c r="B1843" t="s">
        <v>1778</v>
      </c>
      <c r="C1843" s="39" t="s">
        <v>1589</v>
      </c>
      <c r="D1843">
        <v>7</v>
      </c>
      <c r="F1843" s="56"/>
    </row>
    <row r="1844" spans="1:6" ht="15">
      <c r="A1844" s="51">
        <v>290722</v>
      </c>
      <c r="B1844" t="s">
        <v>1779</v>
      </c>
      <c r="C1844" s="39" t="s">
        <v>1780</v>
      </c>
      <c r="D1844">
        <v>8</v>
      </c>
      <c r="F1844" s="56"/>
    </row>
    <row r="1845" spans="1:6" ht="15">
      <c r="A1845" s="51">
        <v>290723</v>
      </c>
      <c r="B1845" t="s">
        <v>1781</v>
      </c>
      <c r="C1845" s="39" t="s">
        <v>1782</v>
      </c>
      <c r="D1845">
        <v>8</v>
      </c>
      <c r="F1845" s="56"/>
    </row>
    <row r="1846" spans="1:6" ht="15">
      <c r="A1846" s="51">
        <v>290724</v>
      </c>
      <c r="B1846" t="s">
        <v>1783</v>
      </c>
      <c r="C1846" s="39" t="s">
        <v>1782</v>
      </c>
      <c r="D1846">
        <v>8</v>
      </c>
      <c r="F1846" s="56"/>
    </row>
    <row r="1847" spans="1:6" ht="15">
      <c r="A1847" s="51">
        <v>290725</v>
      </c>
      <c r="B1847" t="s">
        <v>257</v>
      </c>
      <c r="C1847" s="39" t="s">
        <v>258</v>
      </c>
      <c r="D1847">
        <v>9</v>
      </c>
      <c r="F1847" s="56"/>
    </row>
    <row r="1848" spans="1:6" ht="15">
      <c r="A1848" s="51">
        <v>290726</v>
      </c>
      <c r="B1848" t="s">
        <v>259</v>
      </c>
      <c r="C1848" s="39" t="s">
        <v>258</v>
      </c>
      <c r="D1848">
        <v>9</v>
      </c>
      <c r="F1848" s="56"/>
    </row>
    <row r="1849" spans="1:6" ht="15">
      <c r="A1849" s="51">
        <v>290727</v>
      </c>
      <c r="B1849" t="s">
        <v>262</v>
      </c>
      <c r="C1849" s="39" t="s">
        <v>261</v>
      </c>
      <c r="D1849" t="s">
        <v>4245</v>
      </c>
      <c r="F1849" s="56"/>
    </row>
    <row r="1850" spans="1:6" ht="15">
      <c r="A1850" s="51">
        <v>290728</v>
      </c>
      <c r="B1850" t="s">
        <v>449</v>
      </c>
      <c r="C1850" s="39" t="s">
        <v>450</v>
      </c>
      <c r="D1850">
        <v>9</v>
      </c>
      <c r="F1850" s="56"/>
    </row>
    <row r="1851" spans="1:6" ht="15">
      <c r="A1851" s="51">
        <v>290730</v>
      </c>
      <c r="B1851" t="s">
        <v>1136</v>
      </c>
      <c r="C1851" s="39" t="s">
        <v>1784</v>
      </c>
      <c r="D1851" t="s">
        <v>4248</v>
      </c>
      <c r="F1851" s="56"/>
    </row>
    <row r="1852" spans="1:6" ht="15">
      <c r="A1852" s="51">
        <v>290731</v>
      </c>
      <c r="B1852" t="s">
        <v>1213</v>
      </c>
      <c r="C1852" s="39" t="s">
        <v>283</v>
      </c>
      <c r="D1852">
        <v>8</v>
      </c>
      <c r="F1852" s="56"/>
    </row>
    <row r="1853" spans="1:6" ht="15">
      <c r="A1853" s="51">
        <v>290732</v>
      </c>
      <c r="B1853" t="s">
        <v>1142</v>
      </c>
      <c r="C1853" s="39" t="s">
        <v>521</v>
      </c>
      <c r="D1853" t="s">
        <v>4248</v>
      </c>
      <c r="F1853" s="56"/>
    </row>
    <row r="1854" spans="1:6" ht="15">
      <c r="A1854" s="51">
        <v>290733</v>
      </c>
      <c r="B1854" t="s">
        <v>1143</v>
      </c>
      <c r="C1854" s="39" t="s">
        <v>521</v>
      </c>
      <c r="D1854" t="s">
        <v>4245</v>
      </c>
      <c r="F1854" s="56"/>
    </row>
    <row r="1855" spans="1:6" ht="15">
      <c r="A1855" s="51">
        <v>290734</v>
      </c>
      <c r="B1855" t="s">
        <v>970</v>
      </c>
      <c r="C1855" s="39" t="s">
        <v>971</v>
      </c>
      <c r="D1855" t="s">
        <v>4246</v>
      </c>
      <c r="F1855" s="56"/>
    </row>
    <row r="1856" spans="1:6" ht="15">
      <c r="A1856" s="51">
        <v>290735</v>
      </c>
      <c r="B1856" t="s">
        <v>972</v>
      </c>
      <c r="C1856" s="39" t="s">
        <v>971</v>
      </c>
      <c r="D1856" t="s">
        <v>4246</v>
      </c>
      <c r="F1856" s="56"/>
    </row>
    <row r="1857" spans="1:6" ht="15">
      <c r="A1857" s="51">
        <v>290736</v>
      </c>
      <c r="B1857" t="s">
        <v>1785</v>
      </c>
      <c r="C1857" s="39" t="s">
        <v>971</v>
      </c>
      <c r="D1857" t="s">
        <v>4244</v>
      </c>
      <c r="F1857" s="56"/>
    </row>
    <row r="1858" spans="1:6" ht="15">
      <c r="A1858" s="51">
        <v>290737</v>
      </c>
      <c r="B1858" t="s">
        <v>321</v>
      </c>
      <c r="C1858" s="39" t="s">
        <v>971</v>
      </c>
      <c r="D1858" t="s">
        <v>4246</v>
      </c>
      <c r="F1858" s="56"/>
    </row>
    <row r="1859" spans="1:6" ht="15">
      <c r="A1859" s="51">
        <v>290738</v>
      </c>
      <c r="B1859" t="s">
        <v>322</v>
      </c>
      <c r="C1859" s="39" t="s">
        <v>971</v>
      </c>
      <c r="D1859" t="s">
        <v>4244</v>
      </c>
      <c r="F1859" s="56"/>
    </row>
    <row r="1860" spans="1:6" ht="15">
      <c r="A1860" s="51">
        <v>290739</v>
      </c>
      <c r="B1860" t="s">
        <v>1786</v>
      </c>
      <c r="C1860" s="39" t="s">
        <v>320</v>
      </c>
      <c r="D1860" t="s">
        <v>4243</v>
      </c>
      <c r="F1860" s="56"/>
    </row>
    <row r="1861" spans="1:6" ht="15">
      <c r="A1861" s="51">
        <v>290740</v>
      </c>
      <c r="B1861" t="s">
        <v>1787</v>
      </c>
      <c r="C1861" s="39" t="s">
        <v>320</v>
      </c>
      <c r="D1861" t="s">
        <v>4243</v>
      </c>
      <c r="F1861" s="56"/>
    </row>
    <row r="1862" spans="1:6" ht="15">
      <c r="A1862" s="51">
        <v>290741</v>
      </c>
      <c r="B1862" t="s">
        <v>1788</v>
      </c>
      <c r="C1862" s="39" t="s">
        <v>1352</v>
      </c>
      <c r="D1862" t="s">
        <v>469</v>
      </c>
      <c r="F1862" s="56"/>
    </row>
    <row r="1863" spans="1:6" ht="15">
      <c r="A1863" s="51">
        <v>290742</v>
      </c>
      <c r="B1863" t="s">
        <v>1789</v>
      </c>
      <c r="C1863" s="39" t="s">
        <v>1352</v>
      </c>
      <c r="D1863" t="s">
        <v>469</v>
      </c>
      <c r="F1863" s="56"/>
    </row>
    <row r="1864" spans="1:6" ht="15">
      <c r="A1864" s="51">
        <v>290743</v>
      </c>
      <c r="B1864" t="s">
        <v>975</v>
      </c>
      <c r="C1864" s="39" t="s">
        <v>536</v>
      </c>
      <c r="D1864" t="s">
        <v>4246</v>
      </c>
      <c r="F1864" s="56"/>
    </row>
    <row r="1865" spans="1:6" ht="15">
      <c r="A1865" s="51">
        <v>290744</v>
      </c>
      <c r="B1865" t="s">
        <v>323</v>
      </c>
      <c r="C1865" s="39" t="s">
        <v>536</v>
      </c>
      <c r="D1865" t="s">
        <v>4244</v>
      </c>
      <c r="F1865" s="56"/>
    </row>
    <row r="1866" spans="1:6" ht="15">
      <c r="A1866" s="51">
        <v>290745</v>
      </c>
      <c r="B1866" t="s">
        <v>836</v>
      </c>
      <c r="C1866" s="39" t="s">
        <v>536</v>
      </c>
      <c r="D1866" t="s">
        <v>4243</v>
      </c>
      <c r="F1866" s="56"/>
    </row>
    <row r="1867" spans="1:6" ht="15">
      <c r="A1867" s="51">
        <v>290746</v>
      </c>
      <c r="B1867" t="s">
        <v>1790</v>
      </c>
      <c r="C1867" s="39" t="s">
        <v>536</v>
      </c>
      <c r="D1867">
        <v>8</v>
      </c>
      <c r="F1867" s="56"/>
    </row>
    <row r="1868" spans="1:6" ht="15">
      <c r="A1868" s="51">
        <v>290747</v>
      </c>
      <c r="B1868" t="s">
        <v>979</v>
      </c>
      <c r="C1868" s="39" t="s">
        <v>983</v>
      </c>
      <c r="D1868" t="s">
        <v>471</v>
      </c>
      <c r="F1868" s="56"/>
    </row>
    <row r="1869" spans="1:6" ht="15">
      <c r="A1869" s="51">
        <v>290748</v>
      </c>
      <c r="B1869" t="s">
        <v>1791</v>
      </c>
      <c r="C1869" s="39" t="s">
        <v>1792</v>
      </c>
      <c r="D1869">
        <v>9</v>
      </c>
      <c r="F1869" s="56"/>
    </row>
    <row r="1870" spans="1:6" ht="15">
      <c r="A1870" s="51">
        <v>290749</v>
      </c>
      <c r="B1870" t="s">
        <v>1793</v>
      </c>
      <c r="C1870" s="39" t="s">
        <v>312</v>
      </c>
      <c r="D1870" t="s">
        <v>471</v>
      </c>
      <c r="F1870" s="56"/>
    </row>
    <row r="1871" spans="1:6" ht="15">
      <c r="A1871" s="51">
        <v>290750</v>
      </c>
      <c r="B1871" t="s">
        <v>91</v>
      </c>
      <c r="C1871" s="39" t="s">
        <v>312</v>
      </c>
      <c r="D1871" t="s">
        <v>471</v>
      </c>
      <c r="F1871" s="56"/>
    </row>
    <row r="1872" spans="1:6" ht="15">
      <c r="A1872" s="51">
        <v>290751</v>
      </c>
      <c r="B1872" t="s">
        <v>1356</v>
      </c>
      <c r="C1872" s="39" t="s">
        <v>312</v>
      </c>
      <c r="D1872">
        <v>8</v>
      </c>
      <c r="F1872" s="56"/>
    </row>
    <row r="1873" spans="1:6" ht="15">
      <c r="A1873" s="51">
        <v>290752</v>
      </c>
      <c r="B1873" t="s">
        <v>1794</v>
      </c>
      <c r="C1873" s="39" t="s">
        <v>1795</v>
      </c>
      <c r="D1873">
        <v>8</v>
      </c>
      <c r="F1873" s="56"/>
    </row>
    <row r="1874" spans="1:6" ht="15">
      <c r="A1874" s="51">
        <v>290753</v>
      </c>
      <c r="B1874" t="s">
        <v>1527</v>
      </c>
      <c r="C1874" s="39" t="s">
        <v>1528</v>
      </c>
      <c r="D1874" t="s">
        <v>4245</v>
      </c>
      <c r="F1874" s="56"/>
    </row>
    <row r="1875" spans="1:6" ht="15">
      <c r="A1875" s="51">
        <v>290754</v>
      </c>
      <c r="B1875" t="s">
        <v>995</v>
      </c>
      <c r="C1875" s="39" t="s">
        <v>1528</v>
      </c>
      <c r="D1875" t="s">
        <v>4246</v>
      </c>
      <c r="F1875" s="56"/>
    </row>
    <row r="1876" spans="1:6" ht="15">
      <c r="A1876" s="51">
        <v>290755</v>
      </c>
      <c r="B1876" t="s">
        <v>1529</v>
      </c>
      <c r="C1876" s="39" t="s">
        <v>1528</v>
      </c>
      <c r="D1876" t="s">
        <v>4244</v>
      </c>
      <c r="F1876" s="56"/>
    </row>
    <row r="1877" spans="1:6" ht="15">
      <c r="A1877" s="51">
        <v>290756</v>
      </c>
      <c r="B1877" t="s">
        <v>1530</v>
      </c>
      <c r="C1877" s="39" t="s">
        <v>1528</v>
      </c>
      <c r="D1877" t="s">
        <v>4243</v>
      </c>
      <c r="F1877" s="56"/>
    </row>
    <row r="1878" spans="1:6" ht="15">
      <c r="A1878" s="51">
        <v>290757</v>
      </c>
      <c r="B1878" t="s">
        <v>1145</v>
      </c>
      <c r="C1878" s="39" t="s">
        <v>1796</v>
      </c>
      <c r="D1878" t="s">
        <v>4244</v>
      </c>
      <c r="F1878" s="56"/>
    </row>
    <row r="1879" spans="1:6" ht="15">
      <c r="A1879" s="51">
        <v>290758</v>
      </c>
      <c r="B1879" t="s">
        <v>1146</v>
      </c>
      <c r="C1879" s="39" t="s">
        <v>1796</v>
      </c>
      <c r="D1879" t="s">
        <v>4244</v>
      </c>
      <c r="F1879" s="56"/>
    </row>
    <row r="1880" spans="1:6" ht="15">
      <c r="A1880" s="51">
        <v>290759</v>
      </c>
      <c r="B1880" t="s">
        <v>338</v>
      </c>
      <c r="C1880" s="39" t="s">
        <v>556</v>
      </c>
      <c r="D1880" t="s">
        <v>4243</v>
      </c>
      <c r="F1880" s="56"/>
    </row>
    <row r="1881" spans="1:6" ht="15">
      <c r="A1881" s="51">
        <v>290760</v>
      </c>
      <c r="B1881" t="s">
        <v>98</v>
      </c>
      <c r="C1881" s="39" t="s">
        <v>556</v>
      </c>
      <c r="D1881" t="s">
        <v>4243</v>
      </c>
      <c r="F1881" s="56"/>
    </row>
    <row r="1882" spans="1:6" ht="15">
      <c r="A1882" s="51">
        <v>290761</v>
      </c>
      <c r="B1882" t="s">
        <v>100</v>
      </c>
      <c r="C1882" s="39" t="s">
        <v>99</v>
      </c>
      <c r="D1882">
        <v>7</v>
      </c>
      <c r="F1882" s="56"/>
    </row>
    <row r="1883" spans="1:6" ht="15">
      <c r="A1883" s="51">
        <v>290762</v>
      </c>
      <c r="B1883" t="s">
        <v>101</v>
      </c>
      <c r="C1883" s="39" t="s">
        <v>99</v>
      </c>
      <c r="D1883">
        <v>7</v>
      </c>
      <c r="F1883" s="56"/>
    </row>
    <row r="1884" spans="1:6" ht="15">
      <c r="A1884" s="51">
        <v>290763</v>
      </c>
      <c r="B1884" t="s">
        <v>339</v>
      </c>
      <c r="C1884" s="39" t="s">
        <v>106</v>
      </c>
      <c r="D1884" t="s">
        <v>4245</v>
      </c>
      <c r="F1884" s="56"/>
    </row>
    <row r="1885" spans="1:6" ht="15">
      <c r="A1885" s="51">
        <v>290764</v>
      </c>
      <c r="B1885" t="s">
        <v>340</v>
      </c>
      <c r="C1885" s="39" t="s">
        <v>106</v>
      </c>
      <c r="D1885" t="s">
        <v>4245</v>
      </c>
      <c r="F1885" s="56"/>
    </row>
    <row r="1886" spans="1:6" ht="15">
      <c r="A1886" s="51">
        <v>290765</v>
      </c>
      <c r="B1886" t="s">
        <v>107</v>
      </c>
      <c r="C1886" s="39" t="s">
        <v>1797</v>
      </c>
      <c r="D1886" t="s">
        <v>4246</v>
      </c>
      <c r="F1886" s="56"/>
    </row>
    <row r="1887" spans="1:6" ht="15">
      <c r="A1887" s="51">
        <v>290766</v>
      </c>
      <c r="B1887" t="s">
        <v>1152</v>
      </c>
      <c r="C1887" s="39" t="s">
        <v>1797</v>
      </c>
      <c r="D1887" t="s">
        <v>4244</v>
      </c>
      <c r="F1887" s="56"/>
    </row>
    <row r="1888" spans="1:6" ht="15">
      <c r="A1888" s="51">
        <v>290767</v>
      </c>
      <c r="B1888" t="s">
        <v>341</v>
      </c>
      <c r="C1888" s="39" t="s">
        <v>999</v>
      </c>
      <c r="D1888" t="s">
        <v>468</v>
      </c>
      <c r="F1888" s="56"/>
    </row>
    <row r="1889" spans="1:6" ht="15">
      <c r="A1889" s="51">
        <v>290768</v>
      </c>
      <c r="B1889" t="s">
        <v>343</v>
      </c>
      <c r="C1889" s="39" t="s">
        <v>999</v>
      </c>
      <c r="D1889" t="s">
        <v>469</v>
      </c>
      <c r="F1889" s="56"/>
    </row>
    <row r="1890" spans="1:6" ht="15">
      <c r="A1890" s="51">
        <v>290769</v>
      </c>
      <c r="B1890" t="s">
        <v>1798</v>
      </c>
      <c r="C1890" s="39" t="s">
        <v>1799</v>
      </c>
      <c r="D1890">
        <v>7</v>
      </c>
      <c r="F1890" s="56"/>
    </row>
    <row r="1891" spans="1:6" ht="15">
      <c r="A1891" s="51">
        <v>290770</v>
      </c>
      <c r="B1891" t="s">
        <v>1242</v>
      </c>
      <c r="C1891" s="39" t="s">
        <v>108</v>
      </c>
      <c r="D1891" t="s">
        <v>4245</v>
      </c>
      <c r="F1891" s="56"/>
    </row>
    <row r="1892" spans="1:6" ht="15">
      <c r="A1892" s="51">
        <v>290771</v>
      </c>
      <c r="B1892" t="s">
        <v>344</v>
      </c>
      <c r="C1892" s="39" t="s">
        <v>108</v>
      </c>
      <c r="D1892" t="s">
        <v>4245</v>
      </c>
      <c r="F1892" s="56"/>
    </row>
    <row r="1893" spans="1:6" ht="15">
      <c r="A1893" s="51">
        <v>290772</v>
      </c>
      <c r="B1893" t="s">
        <v>1155</v>
      </c>
      <c r="C1893" s="39" t="s">
        <v>108</v>
      </c>
      <c r="D1893" t="s">
        <v>4244</v>
      </c>
      <c r="F1893" s="56"/>
    </row>
    <row r="1894" spans="1:6" ht="15">
      <c r="A1894" s="51">
        <v>290773</v>
      </c>
      <c r="B1894" t="s">
        <v>1156</v>
      </c>
      <c r="C1894" s="39" t="s">
        <v>108</v>
      </c>
      <c r="D1894" t="s">
        <v>4243</v>
      </c>
      <c r="F1894" s="56"/>
    </row>
    <row r="1895" spans="1:6" ht="15">
      <c r="A1895" s="51">
        <v>290774</v>
      </c>
      <c r="B1895" t="s">
        <v>345</v>
      </c>
      <c r="C1895" s="39" t="s">
        <v>108</v>
      </c>
      <c r="D1895" t="s">
        <v>4245</v>
      </c>
      <c r="F1895" s="56"/>
    </row>
    <row r="1896" spans="1:6" ht="15">
      <c r="A1896" s="51">
        <v>290775</v>
      </c>
      <c r="B1896" t="s">
        <v>347</v>
      </c>
      <c r="C1896" s="39" t="s">
        <v>108</v>
      </c>
      <c r="D1896" t="s">
        <v>4245</v>
      </c>
      <c r="F1896" s="56"/>
    </row>
    <row r="1897" spans="1:6" ht="15">
      <c r="A1897" s="51">
        <v>290776</v>
      </c>
      <c r="B1897" t="s">
        <v>1800</v>
      </c>
      <c r="C1897" s="39" t="s">
        <v>1801</v>
      </c>
      <c r="D1897">
        <v>9</v>
      </c>
      <c r="F1897" s="56"/>
    </row>
    <row r="1898" spans="1:6" ht="15">
      <c r="A1898" s="51">
        <v>290777</v>
      </c>
      <c r="B1898" t="s">
        <v>1244</v>
      </c>
      <c r="C1898" s="39" t="s">
        <v>651</v>
      </c>
      <c r="D1898">
        <v>7</v>
      </c>
      <c r="F1898" s="56"/>
    </row>
    <row r="1899" spans="1:6" ht="15">
      <c r="A1899" s="51">
        <v>290778</v>
      </c>
      <c r="B1899" t="s">
        <v>348</v>
      </c>
      <c r="C1899" s="39" t="s">
        <v>547</v>
      </c>
      <c r="D1899" t="s">
        <v>4244</v>
      </c>
      <c r="F1899" s="56"/>
    </row>
    <row r="1900" spans="1:6" ht="15">
      <c r="A1900" s="51">
        <v>290779</v>
      </c>
      <c r="B1900" t="s">
        <v>350</v>
      </c>
      <c r="C1900" s="39" t="s">
        <v>547</v>
      </c>
      <c r="D1900" t="s">
        <v>4244</v>
      </c>
      <c r="F1900" s="56"/>
    </row>
    <row r="1901" spans="1:6" ht="15">
      <c r="A1901" s="51">
        <v>290780</v>
      </c>
      <c r="B1901" t="s">
        <v>1802</v>
      </c>
      <c r="C1901" s="39" t="s">
        <v>346</v>
      </c>
      <c r="D1901" t="s">
        <v>4246</v>
      </c>
      <c r="F1901" s="56"/>
    </row>
    <row r="1902" spans="1:6" ht="15">
      <c r="A1902" s="51">
        <v>290781</v>
      </c>
      <c r="B1902" t="s">
        <v>1705</v>
      </c>
      <c r="C1902" s="39" t="s">
        <v>346</v>
      </c>
      <c r="D1902" t="s">
        <v>4246</v>
      </c>
      <c r="F1902" s="56"/>
    </row>
    <row r="1903" spans="1:6" ht="15">
      <c r="A1903" s="51">
        <v>290782</v>
      </c>
      <c r="B1903" t="s">
        <v>1009</v>
      </c>
      <c r="C1903" s="39" t="s">
        <v>542</v>
      </c>
      <c r="D1903" t="s">
        <v>4245</v>
      </c>
      <c r="F1903" s="56"/>
    </row>
    <row r="1904" spans="1:6" ht="15">
      <c r="A1904" s="51">
        <v>290783</v>
      </c>
      <c r="B1904" t="s">
        <v>119</v>
      </c>
      <c r="C1904" s="39" t="s">
        <v>542</v>
      </c>
      <c r="D1904" t="s">
        <v>4246</v>
      </c>
      <c r="F1904" s="56"/>
    </row>
    <row r="1905" spans="1:6" ht="15">
      <c r="A1905" s="51">
        <v>290784</v>
      </c>
      <c r="B1905" t="s">
        <v>121</v>
      </c>
      <c r="C1905" s="39" t="s">
        <v>542</v>
      </c>
      <c r="D1905" t="s">
        <v>4244</v>
      </c>
      <c r="F1905" s="56"/>
    </row>
    <row r="1906" spans="1:6" ht="15">
      <c r="A1906" s="51">
        <v>290785</v>
      </c>
      <c r="B1906" t="s">
        <v>1710</v>
      </c>
      <c r="C1906" s="39" t="s">
        <v>542</v>
      </c>
      <c r="D1906" t="s">
        <v>4246</v>
      </c>
      <c r="F1906" s="56"/>
    </row>
    <row r="1907" spans="1:6" ht="15">
      <c r="A1907" s="51">
        <v>290786</v>
      </c>
      <c r="B1907" t="s">
        <v>846</v>
      </c>
      <c r="C1907" s="39" t="s">
        <v>349</v>
      </c>
      <c r="D1907" t="s">
        <v>4247</v>
      </c>
      <c r="F1907" s="56"/>
    </row>
    <row r="1908" spans="1:6" ht="15">
      <c r="A1908" s="51">
        <v>290787</v>
      </c>
      <c r="B1908" t="s">
        <v>847</v>
      </c>
      <c r="C1908" s="39" t="s">
        <v>349</v>
      </c>
      <c r="D1908" t="s">
        <v>4243</v>
      </c>
      <c r="F1908" s="56"/>
    </row>
    <row r="1909" spans="1:6" ht="15">
      <c r="A1909" s="51">
        <v>290788</v>
      </c>
      <c r="B1909" t="s">
        <v>850</v>
      </c>
      <c r="C1909" s="39" t="s">
        <v>355</v>
      </c>
      <c r="D1909" t="s">
        <v>4247</v>
      </c>
      <c r="F1909" s="56"/>
    </row>
    <row r="1910" spans="1:6" ht="15">
      <c r="A1910" s="51">
        <v>290789</v>
      </c>
      <c r="B1910" t="s">
        <v>122</v>
      </c>
      <c r="C1910" s="39" t="s">
        <v>1803</v>
      </c>
      <c r="D1910" t="s">
        <v>4246</v>
      </c>
      <c r="F1910" s="56"/>
    </row>
    <row r="1911" spans="1:6" ht="15">
      <c r="A1911" s="51">
        <v>290790</v>
      </c>
      <c r="B1911" t="s">
        <v>124</v>
      </c>
      <c r="C1911" s="39" t="s">
        <v>1803</v>
      </c>
      <c r="D1911" t="s">
        <v>4244</v>
      </c>
      <c r="F1911" s="56"/>
    </row>
    <row r="1912" spans="1:6" ht="15">
      <c r="A1912" s="51">
        <v>290791</v>
      </c>
      <c r="B1912" t="s">
        <v>125</v>
      </c>
      <c r="C1912" s="39" t="s">
        <v>1803</v>
      </c>
      <c r="D1912" t="s">
        <v>4243</v>
      </c>
      <c r="F1912" s="56"/>
    </row>
    <row r="1913" spans="1:6" ht="15">
      <c r="A1913" s="51">
        <v>290792</v>
      </c>
      <c r="B1913" t="s">
        <v>1804</v>
      </c>
      <c r="C1913" s="39" t="s">
        <v>914</v>
      </c>
      <c r="D1913" t="s">
        <v>4244</v>
      </c>
      <c r="F1913" s="56"/>
    </row>
    <row r="1914" spans="1:6" ht="15">
      <c r="A1914" s="51">
        <v>290793</v>
      </c>
      <c r="B1914" t="s">
        <v>1805</v>
      </c>
      <c r="C1914" s="39" t="s">
        <v>914</v>
      </c>
      <c r="D1914" t="s">
        <v>4244</v>
      </c>
      <c r="F1914" s="56"/>
    </row>
    <row r="1915" spans="1:6" ht="15">
      <c r="A1915" s="51">
        <v>290794</v>
      </c>
      <c r="B1915" t="s">
        <v>1806</v>
      </c>
      <c r="C1915" s="39" t="s">
        <v>914</v>
      </c>
      <c r="D1915">
        <v>7</v>
      </c>
      <c r="F1915" s="56"/>
    </row>
    <row r="1916" spans="1:6" ht="15">
      <c r="A1916" s="51">
        <v>290795</v>
      </c>
      <c r="B1916" t="s">
        <v>1807</v>
      </c>
      <c r="C1916" s="39" t="s">
        <v>914</v>
      </c>
      <c r="D1916" t="s">
        <v>4244</v>
      </c>
      <c r="F1916" s="56"/>
    </row>
    <row r="1917" spans="1:6" ht="15">
      <c r="A1917" s="51">
        <v>290796</v>
      </c>
      <c r="B1917" t="s">
        <v>1808</v>
      </c>
      <c r="C1917" s="39" t="s">
        <v>1809</v>
      </c>
      <c r="D1917" t="s">
        <v>4244</v>
      </c>
      <c r="F1917" s="56"/>
    </row>
    <row r="1918" spans="1:6" ht="15">
      <c r="A1918" s="51">
        <v>290797</v>
      </c>
      <c r="B1918" t="s">
        <v>1810</v>
      </c>
      <c r="C1918" s="39" t="s">
        <v>1809</v>
      </c>
      <c r="D1918" t="s">
        <v>4244</v>
      </c>
      <c r="F1918" s="56"/>
    </row>
    <row r="1919" spans="1:6" ht="15">
      <c r="A1919" s="51">
        <v>290798</v>
      </c>
      <c r="B1919" t="s">
        <v>1811</v>
      </c>
      <c r="C1919" s="39" t="s">
        <v>1809</v>
      </c>
      <c r="D1919">
        <v>7</v>
      </c>
      <c r="F1919" s="56"/>
    </row>
    <row r="1920" spans="1:6" ht="15">
      <c r="A1920" s="51">
        <v>290799</v>
      </c>
      <c r="B1920" t="s">
        <v>1812</v>
      </c>
      <c r="C1920" s="39" t="s">
        <v>357</v>
      </c>
      <c r="D1920">
        <v>9</v>
      </c>
      <c r="F1920" s="56"/>
    </row>
    <row r="1921" spans="1:6" ht="15">
      <c r="B1921" t="s">
        <v>356</v>
      </c>
      <c r="C1921" s="39" t="s">
        <v>357</v>
      </c>
      <c r="D1921">
        <v>9</v>
      </c>
      <c r="F1921" s="56"/>
    </row>
    <row r="1922" spans="1:6" ht="15">
      <c r="A1922" s="51">
        <v>290800</v>
      </c>
      <c r="B1922" t="s">
        <v>129</v>
      </c>
      <c r="C1922" s="39" t="s">
        <v>130</v>
      </c>
      <c r="D1922" t="s">
        <v>4243</v>
      </c>
      <c r="F1922" s="56"/>
    </row>
    <row r="1923" spans="1:6" ht="15">
      <c r="A1923" s="51">
        <v>290801</v>
      </c>
      <c r="B1923" t="s">
        <v>358</v>
      </c>
      <c r="C1923" s="39" t="s">
        <v>362</v>
      </c>
      <c r="D1923" t="s">
        <v>4247</v>
      </c>
      <c r="F1923" s="56"/>
    </row>
    <row r="1924" spans="1:6" ht="15">
      <c r="A1924" s="51">
        <v>290802</v>
      </c>
      <c r="B1924" t="s">
        <v>360</v>
      </c>
      <c r="C1924" s="39" t="s">
        <v>362</v>
      </c>
      <c r="D1924" t="s">
        <v>4247</v>
      </c>
      <c r="F1924" s="56"/>
    </row>
    <row r="1925" spans="1:6" ht="15">
      <c r="A1925" s="51">
        <v>290803</v>
      </c>
      <c r="B1925" t="s">
        <v>1018</v>
      </c>
      <c r="C1925" s="39" t="s">
        <v>626</v>
      </c>
      <c r="D1925" t="s">
        <v>4243</v>
      </c>
      <c r="F1925" s="56"/>
    </row>
    <row r="1926" spans="1:6" ht="15">
      <c r="A1926" s="51">
        <v>290804</v>
      </c>
      <c r="B1926" t="s">
        <v>1019</v>
      </c>
      <c r="C1926" s="39" t="s">
        <v>626</v>
      </c>
      <c r="D1926" t="s">
        <v>4243</v>
      </c>
      <c r="F1926" s="56"/>
    </row>
    <row r="1927" spans="1:6" ht="15">
      <c r="A1927" s="51">
        <v>290805</v>
      </c>
      <c r="B1927" t="s">
        <v>1169</v>
      </c>
      <c r="C1927" s="39" t="s">
        <v>626</v>
      </c>
      <c r="D1927">
        <v>7</v>
      </c>
      <c r="F1927" s="56"/>
    </row>
    <row r="1928" spans="1:6" ht="15">
      <c r="A1928" s="51">
        <v>290806</v>
      </c>
      <c r="B1928" t="s">
        <v>1813</v>
      </c>
      <c r="C1928" s="39" t="s">
        <v>132</v>
      </c>
      <c r="D1928" t="s">
        <v>471</v>
      </c>
      <c r="F1928" s="56"/>
    </row>
    <row r="1929" spans="1:6" ht="15">
      <c r="A1929" s="51">
        <v>290807</v>
      </c>
      <c r="B1929" t="s">
        <v>131</v>
      </c>
      <c r="C1929" s="39" t="s">
        <v>132</v>
      </c>
      <c r="D1929" t="s">
        <v>471</v>
      </c>
      <c r="F1929" s="56"/>
    </row>
    <row r="1930" spans="1:6" ht="15">
      <c r="A1930" s="51">
        <v>290808</v>
      </c>
      <c r="B1930" t="s">
        <v>1814</v>
      </c>
      <c r="C1930" s="39" t="s">
        <v>1815</v>
      </c>
      <c r="D1930" t="s">
        <v>4246</v>
      </c>
      <c r="F1930" s="56"/>
    </row>
    <row r="1931" spans="1:6" ht="15">
      <c r="A1931" s="51">
        <v>290809</v>
      </c>
      <c r="B1931" t="s">
        <v>1816</v>
      </c>
      <c r="C1931" s="39" t="s">
        <v>1815</v>
      </c>
      <c r="D1931" t="s">
        <v>4246</v>
      </c>
      <c r="F1931" s="56"/>
    </row>
    <row r="1932" spans="1:6" ht="15">
      <c r="A1932" s="51">
        <v>290810</v>
      </c>
      <c r="B1932" t="s">
        <v>1817</v>
      </c>
      <c r="C1932" s="39" t="s">
        <v>1815</v>
      </c>
      <c r="D1932" t="s">
        <v>4246</v>
      </c>
      <c r="F1932" s="56"/>
    </row>
    <row r="1933" spans="1:6" ht="15">
      <c r="A1933" s="51">
        <v>290811</v>
      </c>
      <c r="B1933" t="s">
        <v>1729</v>
      </c>
      <c r="C1933" s="39" t="s">
        <v>1815</v>
      </c>
      <c r="D1933" t="s">
        <v>4246</v>
      </c>
      <c r="F1933" s="56"/>
    </row>
    <row r="1934" spans="1:6" ht="15">
      <c r="A1934" s="51">
        <v>290812</v>
      </c>
      <c r="B1934" t="s">
        <v>1818</v>
      </c>
      <c r="C1934" s="39" t="s">
        <v>138</v>
      </c>
      <c r="D1934">
        <v>9</v>
      </c>
      <c r="F1934" s="56"/>
    </row>
    <row r="1935" spans="1:6" ht="15">
      <c r="A1935" s="51">
        <v>290813</v>
      </c>
      <c r="B1935" t="s">
        <v>1027</v>
      </c>
      <c r="C1935" s="39" t="s">
        <v>1028</v>
      </c>
      <c r="D1935" t="s">
        <v>4245</v>
      </c>
      <c r="F1935" s="56"/>
    </row>
    <row r="1936" spans="1:6" ht="15">
      <c r="A1936" s="51">
        <v>290814</v>
      </c>
      <c r="B1936" t="s">
        <v>1029</v>
      </c>
      <c r="C1936" s="39" t="s">
        <v>1028</v>
      </c>
      <c r="D1936" t="s">
        <v>4246</v>
      </c>
      <c r="F1936" s="56"/>
    </row>
    <row r="1937" spans="1:6" ht="15">
      <c r="A1937" s="51">
        <v>290815</v>
      </c>
      <c r="B1937" t="s">
        <v>1819</v>
      </c>
      <c r="C1937" s="39" t="s">
        <v>1028</v>
      </c>
      <c r="D1937" t="s">
        <v>4246</v>
      </c>
      <c r="F1937" s="56"/>
    </row>
    <row r="1938" spans="1:6" ht="15">
      <c r="A1938" s="51">
        <v>290816</v>
      </c>
      <c r="B1938" t="s">
        <v>1175</v>
      </c>
      <c r="C1938" s="39" t="s">
        <v>895</v>
      </c>
      <c r="D1938" t="s">
        <v>4243</v>
      </c>
      <c r="F1938" s="56"/>
    </row>
    <row r="1939" spans="1:6" ht="15">
      <c r="A1939" s="51">
        <v>290817</v>
      </c>
      <c r="B1939" t="s">
        <v>372</v>
      </c>
      <c r="C1939" s="39" t="s">
        <v>896</v>
      </c>
      <c r="D1939">
        <v>8</v>
      </c>
      <c r="F1939" s="56"/>
    </row>
    <row r="1940" spans="1:6" ht="15">
      <c r="A1940" s="51">
        <v>290818</v>
      </c>
      <c r="B1940" t="s">
        <v>1177</v>
      </c>
      <c r="C1940" s="39" t="s">
        <v>373</v>
      </c>
      <c r="D1940" t="s">
        <v>4248</v>
      </c>
      <c r="F1940" s="56"/>
    </row>
    <row r="1941" spans="1:6" ht="15">
      <c r="A1941" s="51">
        <v>290819</v>
      </c>
      <c r="B1941" t="s">
        <v>1820</v>
      </c>
      <c r="C1941" s="39" t="s">
        <v>1821</v>
      </c>
      <c r="D1941">
        <v>9</v>
      </c>
      <c r="F1941" s="56"/>
    </row>
    <row r="1942" spans="1:6" ht="15">
      <c r="A1942" s="51">
        <v>290820</v>
      </c>
      <c r="B1942" t="s">
        <v>376</v>
      </c>
      <c r="C1942" s="39" t="s">
        <v>151</v>
      </c>
      <c r="D1942" t="s">
        <v>466</v>
      </c>
      <c r="F1942" s="56"/>
    </row>
    <row r="1943" spans="1:6" ht="15">
      <c r="A1943" s="51">
        <v>290821</v>
      </c>
      <c r="B1943" t="s">
        <v>377</v>
      </c>
      <c r="C1943" s="39" t="s">
        <v>151</v>
      </c>
      <c r="D1943" t="s">
        <v>1595</v>
      </c>
      <c r="F1943" s="56"/>
    </row>
    <row r="1944" spans="1:6" ht="15">
      <c r="A1944" s="51">
        <v>290822</v>
      </c>
      <c r="B1944" t="s">
        <v>1181</v>
      </c>
      <c r="C1944" s="39" t="s">
        <v>375</v>
      </c>
      <c r="D1944" t="s">
        <v>4243</v>
      </c>
      <c r="F1944" s="56"/>
    </row>
    <row r="1945" spans="1:6" ht="15">
      <c r="A1945" s="51">
        <v>290823</v>
      </c>
      <c r="B1945" t="s">
        <v>156</v>
      </c>
      <c r="C1945" s="39" t="s">
        <v>375</v>
      </c>
      <c r="D1945" t="s">
        <v>4243</v>
      </c>
      <c r="F1945" s="56"/>
    </row>
    <row r="1946" spans="1:6" ht="15">
      <c r="A1946" s="51">
        <v>290824</v>
      </c>
      <c r="B1946" t="s">
        <v>1746</v>
      </c>
      <c r="C1946" s="39" t="s">
        <v>375</v>
      </c>
      <c r="D1946">
        <v>7</v>
      </c>
      <c r="F1946" s="56"/>
    </row>
    <row r="1947" spans="1:6" ht="15">
      <c r="A1947" s="51">
        <v>290825</v>
      </c>
      <c r="B1947" t="s">
        <v>379</v>
      </c>
      <c r="C1947" s="39" t="s">
        <v>380</v>
      </c>
      <c r="D1947" t="s">
        <v>4246</v>
      </c>
      <c r="F1947" s="56"/>
    </row>
    <row r="1948" spans="1:6" ht="15">
      <c r="A1948" s="51">
        <v>290826</v>
      </c>
      <c r="B1948" t="s">
        <v>381</v>
      </c>
      <c r="C1948" s="39" t="s">
        <v>380</v>
      </c>
      <c r="D1948" t="s">
        <v>4243</v>
      </c>
      <c r="F1948" s="56"/>
    </row>
    <row r="1949" spans="1:6" ht="15">
      <c r="A1949" s="51">
        <v>290827</v>
      </c>
      <c r="B1949" t="s">
        <v>1545</v>
      </c>
      <c r="C1949" s="39" t="s">
        <v>380</v>
      </c>
      <c r="D1949">
        <v>7</v>
      </c>
      <c r="F1949" s="56"/>
    </row>
    <row r="1950" spans="1:6" ht="15">
      <c r="A1950" s="51">
        <v>290828</v>
      </c>
      <c r="B1950" t="s">
        <v>1546</v>
      </c>
      <c r="C1950" s="39" t="s">
        <v>380</v>
      </c>
      <c r="D1950">
        <v>9</v>
      </c>
      <c r="F1950" s="56"/>
    </row>
    <row r="1951" spans="1:6" ht="15">
      <c r="A1951" s="51">
        <v>290829</v>
      </c>
      <c r="B1951" t="s">
        <v>1822</v>
      </c>
      <c r="C1951" s="39" t="s">
        <v>380</v>
      </c>
      <c r="D1951">
        <v>9</v>
      </c>
      <c r="F1951" s="56"/>
    </row>
    <row r="1952" spans="1:6" ht="15">
      <c r="A1952" s="51">
        <v>290830</v>
      </c>
      <c r="B1952" t="s">
        <v>384</v>
      </c>
      <c r="C1952" s="39" t="s">
        <v>385</v>
      </c>
      <c r="D1952">
        <v>7</v>
      </c>
      <c r="F1952" s="56"/>
    </row>
    <row r="1953" spans="1:6" ht="15">
      <c r="A1953" s="51">
        <v>290831</v>
      </c>
      <c r="B1953" t="s">
        <v>1823</v>
      </c>
      <c r="C1953" s="39" t="s">
        <v>1046</v>
      </c>
      <c r="D1953" t="s">
        <v>469</v>
      </c>
      <c r="F1953" s="56"/>
    </row>
    <row r="1954" spans="1:6" ht="15">
      <c r="A1954" s="51">
        <v>290832</v>
      </c>
      <c r="B1954" t="s">
        <v>1184</v>
      </c>
      <c r="C1954" s="39" t="s">
        <v>1052</v>
      </c>
      <c r="D1954" t="s">
        <v>4243</v>
      </c>
      <c r="F1954" s="56"/>
    </row>
    <row r="1955" spans="1:6" ht="15">
      <c r="A1955" s="51">
        <v>290833</v>
      </c>
      <c r="B1955" t="s">
        <v>1049</v>
      </c>
      <c r="C1955" s="39" t="s">
        <v>1052</v>
      </c>
      <c r="D1955" t="s">
        <v>4243</v>
      </c>
      <c r="F1955" s="56"/>
    </row>
    <row r="1956" spans="1:6" ht="15">
      <c r="A1956" s="51">
        <v>290834</v>
      </c>
      <c r="B1956" t="s">
        <v>1051</v>
      </c>
      <c r="C1956" s="39" t="s">
        <v>955</v>
      </c>
      <c r="D1956">
        <v>7</v>
      </c>
      <c r="F1956" s="56"/>
    </row>
    <row r="1957" spans="1:6" ht="15">
      <c r="A1957" s="51">
        <v>290835</v>
      </c>
      <c r="B1957" t="s">
        <v>1430</v>
      </c>
      <c r="C1957" s="39" t="s">
        <v>955</v>
      </c>
      <c r="D1957">
        <v>7</v>
      </c>
      <c r="F1957" s="56"/>
    </row>
    <row r="1958" spans="1:6" ht="15">
      <c r="A1958" s="51">
        <v>290837</v>
      </c>
      <c r="B1958" t="s">
        <v>169</v>
      </c>
      <c r="C1958" s="39" t="s">
        <v>924</v>
      </c>
      <c r="D1958" t="s">
        <v>4246</v>
      </c>
      <c r="F1958" s="56"/>
    </row>
    <row r="1959" spans="1:6" ht="15">
      <c r="A1959" s="51">
        <v>290838</v>
      </c>
      <c r="B1959" t="s">
        <v>171</v>
      </c>
      <c r="C1959" s="39" t="s">
        <v>924</v>
      </c>
      <c r="D1959" t="s">
        <v>4243</v>
      </c>
      <c r="F1959" s="56"/>
    </row>
    <row r="1960" spans="1:6" ht="15">
      <c r="A1960" s="51">
        <v>290839</v>
      </c>
      <c r="B1960" t="s">
        <v>172</v>
      </c>
      <c r="C1960" s="39" t="s">
        <v>924</v>
      </c>
      <c r="D1960">
        <v>7</v>
      </c>
      <c r="F1960" s="56"/>
    </row>
    <row r="1961" spans="1:6" ht="15">
      <c r="A1961" s="51">
        <v>290840</v>
      </c>
      <c r="B1961" t="s">
        <v>1056</v>
      </c>
      <c r="C1961" s="39" t="s">
        <v>924</v>
      </c>
      <c r="D1961" t="s">
        <v>4243</v>
      </c>
      <c r="F1961" s="56"/>
    </row>
    <row r="1962" spans="1:6" ht="15">
      <c r="A1962" s="51">
        <v>290841</v>
      </c>
      <c r="B1962" t="s">
        <v>1058</v>
      </c>
      <c r="C1962" s="39" t="s">
        <v>924</v>
      </c>
      <c r="D1962">
        <v>7</v>
      </c>
      <c r="F1962" s="56"/>
    </row>
    <row r="1963" spans="1:6" ht="15">
      <c r="A1963" s="51">
        <v>290842</v>
      </c>
      <c r="B1963" t="s">
        <v>1824</v>
      </c>
      <c r="C1963" s="39" t="s">
        <v>177</v>
      </c>
      <c r="D1963" t="s">
        <v>1595</v>
      </c>
      <c r="F1963" s="56"/>
    </row>
    <row r="1964" spans="1:6" ht="15">
      <c r="A1964" s="51">
        <v>290843</v>
      </c>
      <c r="B1964" t="s">
        <v>1825</v>
      </c>
      <c r="C1964" s="39" t="s">
        <v>177</v>
      </c>
      <c r="D1964" t="s">
        <v>468</v>
      </c>
      <c r="F1964" s="56"/>
    </row>
    <row r="1965" spans="1:6" ht="15">
      <c r="A1965" s="51">
        <v>290844</v>
      </c>
      <c r="B1965" t="s">
        <v>182</v>
      </c>
      <c r="C1965" s="39" t="s">
        <v>183</v>
      </c>
      <c r="D1965">
        <v>7</v>
      </c>
      <c r="F1965" s="56"/>
    </row>
    <row r="1966" spans="1:6" ht="15">
      <c r="A1966" s="51">
        <v>290845</v>
      </c>
      <c r="B1966" t="s">
        <v>1826</v>
      </c>
      <c r="C1966" s="39" t="s">
        <v>183</v>
      </c>
      <c r="D1966">
        <v>7</v>
      </c>
      <c r="F1966" s="56"/>
    </row>
    <row r="1967" spans="1:6" ht="15">
      <c r="A1967" s="51">
        <v>290846</v>
      </c>
      <c r="B1967" t="s">
        <v>184</v>
      </c>
      <c r="C1967" s="39" t="s">
        <v>189</v>
      </c>
      <c r="D1967" t="s">
        <v>4247</v>
      </c>
      <c r="F1967" s="56"/>
    </row>
    <row r="1968" spans="1:6" ht="15">
      <c r="A1968" s="51">
        <v>290847</v>
      </c>
      <c r="B1968" t="s">
        <v>186</v>
      </c>
      <c r="C1968" s="39" t="s">
        <v>189</v>
      </c>
      <c r="D1968" t="s">
        <v>4247</v>
      </c>
      <c r="F1968" s="56"/>
    </row>
    <row r="1969" spans="1:6" ht="15">
      <c r="A1969" s="51">
        <v>290848</v>
      </c>
      <c r="B1969" t="s">
        <v>187</v>
      </c>
      <c r="C1969" s="39" t="s">
        <v>189</v>
      </c>
      <c r="D1969" t="s">
        <v>4243</v>
      </c>
      <c r="F1969" s="56"/>
    </row>
    <row r="1970" spans="1:6" ht="15">
      <c r="A1970" s="51">
        <v>290849</v>
      </c>
      <c r="B1970" t="s">
        <v>1250</v>
      </c>
      <c r="C1970" s="39" t="s">
        <v>189</v>
      </c>
      <c r="D1970">
        <v>7</v>
      </c>
      <c r="F1970" s="56"/>
    </row>
    <row r="1971" spans="1:6" ht="15">
      <c r="A1971" s="51">
        <v>290850</v>
      </c>
      <c r="B1971" t="s">
        <v>398</v>
      </c>
      <c r="C1971" s="39" t="s">
        <v>189</v>
      </c>
      <c r="D1971">
        <v>8</v>
      </c>
      <c r="F1971" s="56"/>
    </row>
    <row r="1972" spans="1:6" ht="15">
      <c r="A1972" s="51">
        <v>290851</v>
      </c>
      <c r="B1972" t="s">
        <v>1827</v>
      </c>
      <c r="C1972" s="39" t="s">
        <v>189</v>
      </c>
      <c r="D1972">
        <v>9</v>
      </c>
      <c r="F1972" s="56"/>
    </row>
    <row r="1973" spans="1:6" ht="15">
      <c r="A1973" s="51">
        <v>290852</v>
      </c>
      <c r="B1973" t="s">
        <v>188</v>
      </c>
      <c r="C1973" s="39" t="s">
        <v>192</v>
      </c>
      <c r="D1973" t="s">
        <v>4247</v>
      </c>
      <c r="F1973" s="56"/>
    </row>
    <row r="1974" spans="1:6" ht="15">
      <c r="A1974" s="51">
        <v>290853</v>
      </c>
      <c r="B1974" t="s">
        <v>190</v>
      </c>
      <c r="C1974" s="39" t="s">
        <v>192</v>
      </c>
      <c r="D1974" t="s">
        <v>4243</v>
      </c>
      <c r="F1974" s="56"/>
    </row>
    <row r="1975" spans="1:6" ht="15">
      <c r="A1975" s="51">
        <v>290854</v>
      </c>
      <c r="B1975" t="s">
        <v>1186</v>
      </c>
      <c r="C1975" s="39" t="s">
        <v>192</v>
      </c>
      <c r="D1975" t="s">
        <v>4247</v>
      </c>
      <c r="F1975" s="56"/>
    </row>
    <row r="1976" spans="1:6" ht="15">
      <c r="A1976" s="51">
        <v>290855</v>
      </c>
      <c r="B1976" t="s">
        <v>1187</v>
      </c>
      <c r="C1976" s="39" t="s">
        <v>192</v>
      </c>
      <c r="D1976" t="s">
        <v>4243</v>
      </c>
      <c r="F1976" s="56"/>
    </row>
    <row r="1977" spans="1:6" ht="15">
      <c r="A1977" s="51">
        <v>290856</v>
      </c>
      <c r="B1977" t="s">
        <v>1188</v>
      </c>
      <c r="C1977" s="39" t="s">
        <v>192</v>
      </c>
      <c r="D1977">
        <v>7</v>
      </c>
      <c r="F1977" s="56"/>
    </row>
    <row r="1978" spans="1:6" ht="15">
      <c r="A1978" s="51">
        <v>290857</v>
      </c>
      <c r="B1978" t="s">
        <v>1828</v>
      </c>
      <c r="C1978" s="39" t="s">
        <v>1829</v>
      </c>
      <c r="D1978">
        <v>9</v>
      </c>
      <c r="F1978" s="56"/>
    </row>
    <row r="1979" spans="1:6" ht="15">
      <c r="A1979" s="51">
        <v>290858</v>
      </c>
      <c r="B1979" t="s">
        <v>1830</v>
      </c>
      <c r="C1979" s="39" t="s">
        <v>1831</v>
      </c>
      <c r="D1979" t="s">
        <v>4246</v>
      </c>
      <c r="F1979" s="56"/>
    </row>
    <row r="1980" spans="1:6" ht="15">
      <c r="A1980" s="51">
        <v>290859</v>
      </c>
      <c r="B1980" t="s">
        <v>1440</v>
      </c>
      <c r="C1980" s="39" t="s">
        <v>1831</v>
      </c>
      <c r="D1980" t="s">
        <v>4247</v>
      </c>
      <c r="F1980" s="56"/>
    </row>
    <row r="1981" spans="1:6" ht="15">
      <c r="A1981" s="51">
        <v>290860</v>
      </c>
      <c r="B1981" t="s">
        <v>1832</v>
      </c>
      <c r="C1981" s="39" t="s">
        <v>1831</v>
      </c>
      <c r="D1981" t="s">
        <v>4243</v>
      </c>
      <c r="F1981" s="56"/>
    </row>
    <row r="1982" spans="1:6" ht="15">
      <c r="A1982" s="51">
        <v>290861</v>
      </c>
      <c r="B1982" t="s">
        <v>1833</v>
      </c>
      <c r="C1982" s="39" t="s">
        <v>402</v>
      </c>
      <c r="D1982" t="s">
        <v>4245</v>
      </c>
      <c r="F1982" s="56"/>
    </row>
    <row r="1983" spans="1:6" ht="15">
      <c r="A1983" s="51">
        <v>290862</v>
      </c>
      <c r="B1983" t="s">
        <v>399</v>
      </c>
      <c r="C1983" s="39" t="s">
        <v>908</v>
      </c>
      <c r="D1983" t="s">
        <v>4244</v>
      </c>
      <c r="F1983" s="56"/>
    </row>
    <row r="1984" spans="1:6" ht="15">
      <c r="A1984" s="51">
        <v>290863</v>
      </c>
      <c r="B1984" t="s">
        <v>1834</v>
      </c>
      <c r="C1984" s="39" t="s">
        <v>1835</v>
      </c>
      <c r="D1984" t="s">
        <v>4243</v>
      </c>
      <c r="F1984" s="56"/>
    </row>
    <row r="1985" spans="1:6" ht="15">
      <c r="A1985" s="51">
        <v>290864</v>
      </c>
      <c r="B1985" t="s">
        <v>1836</v>
      </c>
      <c r="C1985" s="39" t="s">
        <v>561</v>
      </c>
      <c r="D1985" t="s">
        <v>4247</v>
      </c>
      <c r="F1985" s="56"/>
    </row>
    <row r="1986" spans="1:6" ht="15">
      <c r="A1986" s="51">
        <v>290865</v>
      </c>
      <c r="B1986" t="s">
        <v>1837</v>
      </c>
      <c r="C1986" s="39" t="s">
        <v>561</v>
      </c>
      <c r="D1986" t="s">
        <v>4247</v>
      </c>
      <c r="F1986" s="56"/>
    </row>
    <row r="1987" spans="1:6" ht="15">
      <c r="A1987" s="51">
        <v>290866</v>
      </c>
      <c r="B1987" t="s">
        <v>1838</v>
      </c>
      <c r="C1987" s="39" t="s">
        <v>561</v>
      </c>
      <c r="D1987" t="s">
        <v>4247</v>
      </c>
      <c r="F1987" s="56"/>
    </row>
    <row r="1988" spans="1:6" ht="15">
      <c r="A1988" s="51">
        <v>290867</v>
      </c>
      <c r="B1988" t="s">
        <v>1839</v>
      </c>
      <c r="C1988" s="39" t="s">
        <v>561</v>
      </c>
      <c r="D1988" t="s">
        <v>4247</v>
      </c>
      <c r="F1988" s="56"/>
    </row>
    <row r="1989" spans="1:6" ht="15">
      <c r="A1989" s="51">
        <v>290868</v>
      </c>
      <c r="B1989" t="s">
        <v>1840</v>
      </c>
      <c r="C1989" s="39" t="s">
        <v>1080</v>
      </c>
      <c r="D1989" t="s">
        <v>4244</v>
      </c>
      <c r="F1989" s="56"/>
    </row>
    <row r="1990" spans="1:6" ht="15">
      <c r="A1990" s="51">
        <v>290869</v>
      </c>
      <c r="B1990" t="s">
        <v>1841</v>
      </c>
      <c r="C1990" s="39" t="s">
        <v>1842</v>
      </c>
      <c r="D1990" t="s">
        <v>4244</v>
      </c>
      <c r="F1990" s="56"/>
    </row>
    <row r="1991" spans="1:6" ht="15">
      <c r="A1991" s="51">
        <v>290870</v>
      </c>
      <c r="B1991" t="s">
        <v>1088</v>
      </c>
      <c r="C1991" s="39" t="s">
        <v>647</v>
      </c>
      <c r="D1991" t="s">
        <v>4243</v>
      </c>
      <c r="F1991" s="56"/>
    </row>
    <row r="1992" spans="1:6" ht="15">
      <c r="A1992" s="51">
        <v>290871</v>
      </c>
      <c r="B1992" t="s">
        <v>1089</v>
      </c>
      <c r="C1992" s="39" t="s">
        <v>647</v>
      </c>
      <c r="D1992" t="s">
        <v>4243</v>
      </c>
      <c r="F1992" s="56"/>
    </row>
    <row r="1993" spans="1:6" ht="15">
      <c r="A1993" s="51">
        <v>290872</v>
      </c>
      <c r="B1993" t="s">
        <v>1090</v>
      </c>
      <c r="C1993" s="39" t="s">
        <v>647</v>
      </c>
      <c r="D1993">
        <v>7</v>
      </c>
      <c r="F1993" s="56"/>
    </row>
    <row r="1994" spans="1:6" ht="15">
      <c r="A1994" s="51">
        <v>290873</v>
      </c>
      <c r="B1994" t="s">
        <v>1094</v>
      </c>
      <c r="C1994" s="39" t="s">
        <v>1095</v>
      </c>
      <c r="D1994" t="s">
        <v>469</v>
      </c>
      <c r="F1994" s="56"/>
    </row>
    <row r="1995" spans="1:6" ht="15">
      <c r="A1995" s="51">
        <v>290874</v>
      </c>
      <c r="B1995" t="s">
        <v>1096</v>
      </c>
      <c r="C1995" s="39" t="s">
        <v>1095</v>
      </c>
      <c r="D1995" t="s">
        <v>469</v>
      </c>
      <c r="F1995" s="56"/>
    </row>
    <row r="1996" spans="1:6" ht="15">
      <c r="A1996" s="51">
        <v>290875</v>
      </c>
      <c r="B1996" t="s">
        <v>223</v>
      </c>
      <c r="C1996" s="39" t="s">
        <v>224</v>
      </c>
      <c r="D1996" t="s">
        <v>4243</v>
      </c>
      <c r="F1996" s="56"/>
    </row>
    <row r="1997" spans="1:6" ht="15">
      <c r="A1997" s="51">
        <v>290876</v>
      </c>
      <c r="B1997" t="s">
        <v>1843</v>
      </c>
      <c r="C1997" s="39" t="s">
        <v>1098</v>
      </c>
      <c r="D1997" t="s">
        <v>466</v>
      </c>
      <c r="F1997" s="56"/>
    </row>
    <row r="1998" spans="1:6" ht="15">
      <c r="A1998" s="51">
        <v>290877</v>
      </c>
      <c r="B1998" t="s">
        <v>1844</v>
      </c>
      <c r="C1998" s="39" t="s">
        <v>1098</v>
      </c>
      <c r="D1998" t="s">
        <v>1595</v>
      </c>
      <c r="F1998" s="56"/>
    </row>
    <row r="1999" spans="1:6" ht="15">
      <c r="A1999" s="51">
        <v>290878</v>
      </c>
      <c r="B1999" t="s">
        <v>1679</v>
      </c>
      <c r="C1999" s="39" t="s">
        <v>226</v>
      </c>
      <c r="D1999">
        <v>7</v>
      </c>
      <c r="F1999" s="56"/>
    </row>
    <row r="2000" spans="1:6" ht="15">
      <c r="A2000" s="51">
        <v>290879</v>
      </c>
      <c r="B2000" t="s">
        <v>1228</v>
      </c>
      <c r="C2000" s="39" t="s">
        <v>1107</v>
      </c>
      <c r="D2000" t="s">
        <v>4245</v>
      </c>
      <c r="F2000" s="56"/>
    </row>
    <row r="2001" spans="1:6" ht="15">
      <c r="A2001" s="51">
        <v>290880</v>
      </c>
      <c r="B2001" t="s">
        <v>1259</v>
      </c>
      <c r="C2001" s="39" t="s">
        <v>1107</v>
      </c>
      <c r="D2001" t="s">
        <v>4245</v>
      </c>
      <c r="F2001" s="56"/>
    </row>
    <row r="2002" spans="1:6" ht="15">
      <c r="A2002" s="51">
        <v>290881</v>
      </c>
      <c r="B2002" t="s">
        <v>227</v>
      </c>
      <c r="C2002" s="39" t="s">
        <v>228</v>
      </c>
      <c r="D2002">
        <v>9</v>
      </c>
      <c r="F2002" s="56"/>
    </row>
    <row r="2003" spans="1:6" ht="15">
      <c r="A2003" s="51">
        <v>290882</v>
      </c>
      <c r="B2003" t="s">
        <v>229</v>
      </c>
      <c r="C2003" s="39" t="s">
        <v>228</v>
      </c>
      <c r="D2003">
        <v>9</v>
      </c>
      <c r="F2003" s="56"/>
    </row>
    <row r="2004" spans="1:6" ht="15">
      <c r="A2004" s="51">
        <v>290883</v>
      </c>
      <c r="B2004" t="s">
        <v>1845</v>
      </c>
      <c r="C2004" s="39" t="s">
        <v>1846</v>
      </c>
      <c r="D2004">
        <v>9</v>
      </c>
      <c r="F2004" s="56"/>
    </row>
    <row r="2005" spans="1:6" ht="15">
      <c r="A2005" s="51">
        <v>290884</v>
      </c>
      <c r="B2005" t="s">
        <v>1196</v>
      </c>
      <c r="C2005" s="39" t="s">
        <v>231</v>
      </c>
      <c r="D2005" t="s">
        <v>4244</v>
      </c>
      <c r="F2005" s="56"/>
    </row>
    <row r="2006" spans="1:6" ht="15">
      <c r="A2006" s="51">
        <v>290885</v>
      </c>
      <c r="B2006" t="s">
        <v>1197</v>
      </c>
      <c r="C2006" s="39" t="s">
        <v>231</v>
      </c>
      <c r="D2006" t="s">
        <v>4244</v>
      </c>
      <c r="F2006" s="56"/>
    </row>
    <row r="2007" spans="1:6" ht="15">
      <c r="A2007" s="51">
        <v>290886</v>
      </c>
      <c r="B2007" t="s">
        <v>232</v>
      </c>
      <c r="C2007" s="39" t="s">
        <v>233</v>
      </c>
      <c r="D2007" t="s">
        <v>4244</v>
      </c>
      <c r="F2007" s="56"/>
    </row>
    <row r="2008" spans="1:6" ht="15">
      <c r="A2008" s="51">
        <v>290887</v>
      </c>
      <c r="B2008" t="s">
        <v>1847</v>
      </c>
      <c r="C2008" s="39" t="s">
        <v>1848</v>
      </c>
      <c r="D2008" t="s">
        <v>4243</v>
      </c>
      <c r="F2008" s="56"/>
    </row>
    <row r="2009" spans="1:6" ht="15">
      <c r="A2009" s="51">
        <v>290888</v>
      </c>
      <c r="B2009" t="s">
        <v>1849</v>
      </c>
      <c r="C2009" s="39" t="s">
        <v>1848</v>
      </c>
      <c r="D2009" t="s">
        <v>4243</v>
      </c>
      <c r="F2009" s="56"/>
    </row>
    <row r="2010" spans="1:6" ht="15">
      <c r="A2010" s="51">
        <v>290889</v>
      </c>
      <c r="B2010" t="s">
        <v>1850</v>
      </c>
      <c r="C2010" s="39" t="s">
        <v>1848</v>
      </c>
      <c r="D2010">
        <v>7</v>
      </c>
      <c r="F2010" s="56"/>
    </row>
    <row r="2011" spans="1:6" ht="15">
      <c r="A2011" s="51">
        <v>290890</v>
      </c>
      <c r="B2011" t="s">
        <v>1851</v>
      </c>
      <c r="C2011" s="39" t="s">
        <v>235</v>
      </c>
      <c r="D2011" t="s">
        <v>4244</v>
      </c>
      <c r="F2011" s="56"/>
    </row>
    <row r="2012" spans="1:6" ht="15">
      <c r="A2012" s="51">
        <v>290891</v>
      </c>
      <c r="B2012" t="s">
        <v>1108</v>
      </c>
      <c r="C2012" s="39" t="s">
        <v>235</v>
      </c>
      <c r="D2012" t="s">
        <v>4244</v>
      </c>
      <c r="F2012" s="56"/>
    </row>
    <row r="2013" spans="1:6" ht="15">
      <c r="A2013" s="51">
        <v>290892</v>
      </c>
      <c r="B2013" t="s">
        <v>1852</v>
      </c>
      <c r="C2013" s="39" t="s">
        <v>235</v>
      </c>
      <c r="D2013">
        <v>7</v>
      </c>
      <c r="F2013" s="56"/>
    </row>
    <row r="2014" spans="1:6" ht="15">
      <c r="A2014" s="51">
        <v>290893</v>
      </c>
      <c r="B2014" t="s">
        <v>422</v>
      </c>
      <c r="C2014" s="39" t="s">
        <v>235</v>
      </c>
      <c r="D2014" t="s">
        <v>4244</v>
      </c>
      <c r="F2014" s="56"/>
    </row>
    <row r="2015" spans="1:6" ht="15">
      <c r="A2015" s="51">
        <v>290894</v>
      </c>
      <c r="B2015" t="s">
        <v>423</v>
      </c>
      <c r="C2015" s="39" t="s">
        <v>235</v>
      </c>
      <c r="D2015" t="s">
        <v>4244</v>
      </c>
      <c r="F2015" s="56"/>
    </row>
    <row r="2016" spans="1:6" ht="15">
      <c r="A2016" s="51">
        <v>290895</v>
      </c>
      <c r="B2016" t="s">
        <v>1853</v>
      </c>
      <c r="C2016" s="39" t="s">
        <v>235</v>
      </c>
      <c r="D2016" t="s">
        <v>4244</v>
      </c>
      <c r="F2016" s="56"/>
    </row>
    <row r="2017" spans="1:6" ht="15">
      <c r="A2017" s="51">
        <v>290896</v>
      </c>
      <c r="B2017" t="s">
        <v>1854</v>
      </c>
      <c r="C2017" s="39" t="s">
        <v>235</v>
      </c>
      <c r="D2017" t="s">
        <v>4244</v>
      </c>
      <c r="F2017" s="56"/>
    </row>
    <row r="2018" spans="1:6" ht="15">
      <c r="A2018" s="51">
        <v>290897</v>
      </c>
      <c r="B2018" t="s">
        <v>1111</v>
      </c>
      <c r="C2018" s="39" t="s">
        <v>1855</v>
      </c>
      <c r="D2018">
        <v>9</v>
      </c>
      <c r="F2018" s="56"/>
    </row>
    <row r="2019" spans="1:6" ht="15">
      <c r="A2019" s="51">
        <v>290898</v>
      </c>
      <c r="B2019" t="s">
        <v>1856</v>
      </c>
      <c r="C2019" s="39" t="s">
        <v>1114</v>
      </c>
      <c r="D2019" t="s">
        <v>4246</v>
      </c>
      <c r="F2019" s="56"/>
    </row>
    <row r="2020" spans="1:6" ht="15">
      <c r="A2020" s="51">
        <v>290899</v>
      </c>
      <c r="B2020" t="s">
        <v>1857</v>
      </c>
      <c r="C2020" s="39" t="s">
        <v>1114</v>
      </c>
      <c r="D2020" t="s">
        <v>4246</v>
      </c>
      <c r="F2020" s="56"/>
    </row>
    <row r="2021" spans="1:6" ht="15">
      <c r="A2021" s="51">
        <v>290900</v>
      </c>
      <c r="B2021" t="s">
        <v>1858</v>
      </c>
      <c r="C2021" s="39" t="s">
        <v>1114</v>
      </c>
      <c r="D2021">
        <v>7</v>
      </c>
      <c r="F2021" s="56"/>
    </row>
    <row r="2022" spans="1:6" ht="15">
      <c r="A2022" s="51">
        <v>290901</v>
      </c>
      <c r="B2022" t="s">
        <v>1859</v>
      </c>
      <c r="C2022" s="39" t="s">
        <v>603</v>
      </c>
      <c r="D2022">
        <v>7</v>
      </c>
      <c r="F2022" s="56"/>
    </row>
    <row r="2023" spans="1:6" ht="15">
      <c r="A2023" s="51">
        <v>290902</v>
      </c>
      <c r="B2023" t="s">
        <v>1860</v>
      </c>
      <c r="C2023" s="39" t="s">
        <v>603</v>
      </c>
      <c r="D2023">
        <v>9</v>
      </c>
      <c r="F2023" s="56"/>
    </row>
    <row r="2024" spans="1:6" ht="15">
      <c r="A2024" s="51">
        <v>290903</v>
      </c>
      <c r="B2024" t="s">
        <v>1861</v>
      </c>
      <c r="C2024" s="39" t="s">
        <v>243</v>
      </c>
      <c r="D2024" t="s">
        <v>4245</v>
      </c>
      <c r="F2024" s="56"/>
    </row>
    <row r="2025" spans="1:6" ht="15">
      <c r="A2025" s="51">
        <v>290904</v>
      </c>
      <c r="B2025" t="s">
        <v>1206</v>
      </c>
      <c r="C2025" s="39" t="s">
        <v>906</v>
      </c>
      <c r="D2025" t="s">
        <v>4247</v>
      </c>
      <c r="F2025" s="56"/>
    </row>
    <row r="2026" spans="1:6" ht="15">
      <c r="A2026" s="51">
        <v>290905</v>
      </c>
      <c r="B2026" t="s">
        <v>432</v>
      </c>
      <c r="C2026" s="39" t="s">
        <v>433</v>
      </c>
      <c r="D2026" t="s">
        <v>4245</v>
      </c>
      <c r="F2026" s="56"/>
    </row>
    <row r="2027" spans="1:6" ht="15">
      <c r="A2027" s="51">
        <v>290906</v>
      </c>
      <c r="B2027" t="s">
        <v>436</v>
      </c>
      <c r="C2027" s="39" t="s">
        <v>437</v>
      </c>
      <c r="D2027" t="s">
        <v>4248</v>
      </c>
      <c r="F2027" s="56"/>
    </row>
    <row r="2028" spans="1:6" ht="15">
      <c r="A2028" s="51">
        <v>290907</v>
      </c>
      <c r="B2028" t="s">
        <v>1129</v>
      </c>
      <c r="C2028" s="39" t="s">
        <v>258</v>
      </c>
      <c r="D2028">
        <v>9</v>
      </c>
      <c r="F2028" s="56"/>
    </row>
    <row r="2029" spans="1:6" ht="15">
      <c r="A2029" s="51">
        <v>290908</v>
      </c>
      <c r="B2029" t="s">
        <v>257</v>
      </c>
      <c r="C2029" s="39" t="s">
        <v>450</v>
      </c>
      <c r="D2029">
        <v>9</v>
      </c>
      <c r="F2029" s="56"/>
    </row>
    <row r="2030" spans="1:6" ht="15">
      <c r="A2030" s="51">
        <v>290910</v>
      </c>
      <c r="B2030" t="s">
        <v>1862</v>
      </c>
      <c r="C2030" s="39" t="s">
        <v>1863</v>
      </c>
      <c r="D2030">
        <v>9</v>
      </c>
      <c r="F2030" s="56"/>
    </row>
    <row r="2031" spans="1:6" ht="15">
      <c r="A2031" s="51">
        <v>290911</v>
      </c>
      <c r="B2031" t="s">
        <v>443</v>
      </c>
      <c r="C2031" s="39" t="s">
        <v>1864</v>
      </c>
      <c r="D2031">
        <v>9</v>
      </c>
      <c r="F2031" s="56"/>
    </row>
    <row r="2032" spans="1:6" ht="15">
      <c r="A2032" s="51">
        <v>290913</v>
      </c>
      <c r="B2032" t="s">
        <v>444</v>
      </c>
      <c r="C2032" s="39" t="s">
        <v>1865</v>
      </c>
      <c r="D2032">
        <v>9</v>
      </c>
      <c r="F2032" s="56"/>
    </row>
    <row r="2033" spans="1:6" ht="15">
      <c r="A2033" s="51">
        <v>290912</v>
      </c>
      <c r="B2033" t="s">
        <v>446</v>
      </c>
      <c r="C2033" s="39" t="s">
        <v>1866</v>
      </c>
      <c r="D2033">
        <v>9</v>
      </c>
      <c r="F2033" s="56"/>
    </row>
    <row r="2034" spans="1:6" ht="15">
      <c r="A2034" s="51">
        <v>290914</v>
      </c>
      <c r="B2034" t="s">
        <v>1867</v>
      </c>
      <c r="C2034" s="39" t="s">
        <v>1868</v>
      </c>
      <c r="D2034">
        <v>9</v>
      </c>
      <c r="F2034" s="56"/>
    </row>
    <row r="2035" spans="1:6" ht="15">
      <c r="A2035" s="51">
        <v>290915</v>
      </c>
      <c r="B2035" t="s">
        <v>262</v>
      </c>
      <c r="C2035" s="39" t="s">
        <v>1869</v>
      </c>
      <c r="D2035">
        <v>9</v>
      </c>
      <c r="F2035" s="56"/>
    </row>
    <row r="2036" spans="1:6" ht="15">
      <c r="A2036" s="51">
        <v>290916</v>
      </c>
      <c r="B2036" t="s">
        <v>1870</v>
      </c>
      <c r="C2036" s="39" t="s">
        <v>1871</v>
      </c>
      <c r="D2036">
        <v>9</v>
      </c>
      <c r="F2036" s="56"/>
    </row>
    <row r="2037" spans="1:6" ht="15">
      <c r="A2037" s="51">
        <v>290917</v>
      </c>
      <c r="B2037" t="s">
        <v>1872</v>
      </c>
      <c r="C2037" s="39" t="s">
        <v>1873</v>
      </c>
      <c r="D2037">
        <v>9</v>
      </c>
      <c r="F2037" s="56"/>
    </row>
    <row r="2038" spans="1:6" ht="15">
      <c r="A2038" s="51">
        <v>290918</v>
      </c>
      <c r="B2038" t="s">
        <v>1874</v>
      </c>
      <c r="C2038" s="39" t="s">
        <v>1875</v>
      </c>
      <c r="D2038">
        <v>9</v>
      </c>
      <c r="F2038" s="56"/>
    </row>
    <row r="2039" spans="1:6" ht="15">
      <c r="A2039" s="51">
        <v>290919</v>
      </c>
      <c r="B2039" t="s">
        <v>451</v>
      </c>
      <c r="C2039" s="39" t="s">
        <v>1876</v>
      </c>
      <c r="D2039">
        <v>9</v>
      </c>
      <c r="F2039" s="56"/>
    </row>
    <row r="2040" spans="1:6" ht="15">
      <c r="A2040" s="51">
        <v>290920</v>
      </c>
      <c r="B2040" t="s">
        <v>453</v>
      </c>
      <c r="C2040" s="39" t="s">
        <v>1877</v>
      </c>
      <c r="D2040">
        <v>9</v>
      </c>
      <c r="F2040" s="56"/>
    </row>
    <row r="2041" spans="1:6" ht="15">
      <c r="A2041" s="51">
        <v>290921</v>
      </c>
      <c r="B2041" t="s">
        <v>1878</v>
      </c>
      <c r="C2041" s="39" t="s">
        <v>1879</v>
      </c>
      <c r="D2041">
        <v>9</v>
      </c>
      <c r="F2041" s="56"/>
    </row>
    <row r="2042" spans="1:6" ht="15">
      <c r="A2042" s="51">
        <v>290922</v>
      </c>
      <c r="B2042" t="s">
        <v>1880</v>
      </c>
      <c r="C2042" s="39" t="s">
        <v>1881</v>
      </c>
      <c r="D2042">
        <v>9</v>
      </c>
      <c r="F2042" s="56"/>
    </row>
    <row r="2043" spans="1:6" ht="15">
      <c r="A2043" s="51">
        <v>290923</v>
      </c>
      <c r="B2043" t="s">
        <v>1882</v>
      </c>
      <c r="C2043" s="39" t="s">
        <v>1883</v>
      </c>
      <c r="D2043">
        <v>9</v>
      </c>
      <c r="F2043" s="56"/>
    </row>
    <row r="2044" spans="1:6" ht="15">
      <c r="A2044" s="51">
        <v>290924</v>
      </c>
      <c r="B2044" t="s">
        <v>1884</v>
      </c>
      <c r="C2044" s="39" t="s">
        <v>1885</v>
      </c>
      <c r="D2044">
        <v>9</v>
      </c>
      <c r="F2044" s="56"/>
    </row>
    <row r="2045" spans="1:6" ht="15">
      <c r="A2045" s="51">
        <v>290925</v>
      </c>
      <c r="B2045" t="s">
        <v>265</v>
      </c>
      <c r="C2045" s="39" t="s">
        <v>264</v>
      </c>
      <c r="D2045" t="s">
        <v>4245</v>
      </c>
      <c r="F2045" s="56"/>
    </row>
    <row r="2046" spans="1:6" ht="15">
      <c r="A2046" s="51">
        <v>290926</v>
      </c>
      <c r="B2046" t="s">
        <v>72</v>
      </c>
      <c r="C2046" s="39" t="s">
        <v>264</v>
      </c>
      <c r="D2046" t="s">
        <v>4244</v>
      </c>
      <c r="F2046" s="56"/>
    </row>
    <row r="2047" spans="1:6" ht="15">
      <c r="A2047" s="51">
        <v>290927</v>
      </c>
      <c r="B2047" t="s">
        <v>266</v>
      </c>
      <c r="C2047" s="39" t="s">
        <v>264</v>
      </c>
      <c r="D2047" t="s">
        <v>4243</v>
      </c>
      <c r="F2047" s="56"/>
    </row>
    <row r="2048" spans="1:6" ht="15">
      <c r="A2048" s="51">
        <v>290928</v>
      </c>
      <c r="B2048" t="s">
        <v>1886</v>
      </c>
      <c r="C2048" s="39" t="s">
        <v>669</v>
      </c>
      <c r="D2048" t="s">
        <v>4245</v>
      </c>
      <c r="F2048" s="56"/>
    </row>
    <row r="2049" spans="1:6" ht="15">
      <c r="A2049" s="51">
        <v>290929</v>
      </c>
      <c r="B2049" t="s">
        <v>1887</v>
      </c>
      <c r="C2049" s="39" t="s">
        <v>669</v>
      </c>
      <c r="D2049" t="s">
        <v>4246</v>
      </c>
      <c r="F2049" s="56"/>
    </row>
    <row r="2050" spans="1:6" ht="15">
      <c r="A2050" s="51">
        <v>290930</v>
      </c>
      <c r="B2050" t="s">
        <v>1888</v>
      </c>
      <c r="C2050" s="39" t="s">
        <v>669</v>
      </c>
      <c r="D2050" t="s">
        <v>4244</v>
      </c>
      <c r="F2050" s="56"/>
    </row>
    <row r="2051" spans="1:6" ht="15">
      <c r="A2051" s="51">
        <v>290931</v>
      </c>
      <c r="B2051" t="s">
        <v>1889</v>
      </c>
      <c r="C2051" s="39" t="s">
        <v>669</v>
      </c>
      <c r="D2051" t="s">
        <v>4243</v>
      </c>
      <c r="F2051" s="56"/>
    </row>
    <row r="2052" spans="1:6" ht="15">
      <c r="A2052" s="51">
        <v>290932</v>
      </c>
      <c r="B2052" t="s">
        <v>1890</v>
      </c>
      <c r="C2052" s="39" t="s">
        <v>669</v>
      </c>
      <c r="D2052">
        <v>9</v>
      </c>
      <c r="F2052" s="56"/>
    </row>
    <row r="2053" spans="1:6" ht="15">
      <c r="A2053" s="51">
        <v>290933</v>
      </c>
      <c r="B2053" t="s">
        <v>273</v>
      </c>
      <c r="C2053" s="39" t="s">
        <v>274</v>
      </c>
      <c r="D2053" t="s">
        <v>4243</v>
      </c>
      <c r="F2053" s="56"/>
    </row>
    <row r="2054" spans="1:6" ht="15">
      <c r="A2054" s="51">
        <v>290934</v>
      </c>
      <c r="B2054" t="s">
        <v>74</v>
      </c>
      <c r="C2054" s="39" t="s">
        <v>274</v>
      </c>
      <c r="D2054" t="s">
        <v>4243</v>
      </c>
      <c r="F2054" s="56"/>
    </row>
    <row r="2055" spans="1:6" ht="15">
      <c r="A2055" s="51">
        <v>290935</v>
      </c>
      <c r="B2055" t="s">
        <v>1891</v>
      </c>
      <c r="C2055" s="39" t="s">
        <v>274</v>
      </c>
      <c r="D2055" t="s">
        <v>4243</v>
      </c>
      <c r="F2055" s="56"/>
    </row>
    <row r="2056" spans="1:6" ht="15">
      <c r="A2056" s="51">
        <v>290936</v>
      </c>
      <c r="B2056" t="s">
        <v>1265</v>
      </c>
      <c r="C2056" s="39" t="s">
        <v>274</v>
      </c>
      <c r="D2056" t="s">
        <v>4243</v>
      </c>
      <c r="F2056" s="56"/>
    </row>
    <row r="2057" spans="1:6" ht="15">
      <c r="A2057" s="51">
        <v>290938</v>
      </c>
      <c r="B2057" t="s">
        <v>1133</v>
      </c>
      <c r="C2057" s="39" t="s">
        <v>278</v>
      </c>
      <c r="D2057" t="s">
        <v>468</v>
      </c>
      <c r="F2057" s="56"/>
    </row>
    <row r="2058" spans="1:6" ht="15">
      <c r="A2058" s="51">
        <v>290939</v>
      </c>
      <c r="B2058" t="s">
        <v>1135</v>
      </c>
      <c r="C2058" s="39" t="s">
        <v>278</v>
      </c>
      <c r="D2058" t="s">
        <v>468</v>
      </c>
      <c r="F2058" s="56"/>
    </row>
    <row r="2059" spans="1:6" ht="15">
      <c r="A2059" s="51">
        <v>290940</v>
      </c>
      <c r="B2059" t="s">
        <v>1892</v>
      </c>
      <c r="C2059" s="39" t="s">
        <v>278</v>
      </c>
      <c r="D2059">
        <v>8</v>
      </c>
      <c r="F2059" s="56"/>
    </row>
    <row r="2060" spans="1:6" ht="15">
      <c r="A2060" s="51">
        <v>290941</v>
      </c>
      <c r="B2060" t="s">
        <v>1893</v>
      </c>
      <c r="C2060" s="39" t="s">
        <v>1894</v>
      </c>
      <c r="D2060">
        <v>9</v>
      </c>
      <c r="F2060" s="56"/>
    </row>
    <row r="2061" spans="1:6" ht="15">
      <c r="A2061" s="51">
        <v>290942</v>
      </c>
      <c r="B2061" t="s">
        <v>887</v>
      </c>
      <c r="C2061" s="39" t="s">
        <v>283</v>
      </c>
      <c r="D2061">
        <v>8</v>
      </c>
      <c r="F2061" s="56"/>
    </row>
    <row r="2062" spans="1:6" ht="15">
      <c r="A2062" s="51">
        <v>290943</v>
      </c>
      <c r="B2062" t="s">
        <v>279</v>
      </c>
      <c r="C2062" s="39" t="s">
        <v>898</v>
      </c>
      <c r="D2062" t="s">
        <v>4247</v>
      </c>
      <c r="F2062" s="56"/>
    </row>
    <row r="2063" spans="1:6" ht="15">
      <c r="A2063" s="51">
        <v>290944</v>
      </c>
      <c r="B2063" t="s">
        <v>280</v>
      </c>
      <c r="C2063" s="39" t="s">
        <v>898</v>
      </c>
      <c r="D2063" t="s">
        <v>4243</v>
      </c>
      <c r="F2063" s="56"/>
    </row>
    <row r="2064" spans="1:6" ht="15">
      <c r="A2064" s="51">
        <v>1714205</v>
      </c>
      <c r="B2064" t="s">
        <v>1266</v>
      </c>
      <c r="C2064" s="39" t="s">
        <v>1267</v>
      </c>
      <c r="D2064">
        <v>7</v>
      </c>
      <c r="F2064" s="56"/>
    </row>
    <row r="2065" spans="1:6" ht="15">
      <c r="A2065" s="51">
        <v>1714206</v>
      </c>
      <c r="B2065" t="s">
        <v>1895</v>
      </c>
      <c r="C2065" s="39" t="s">
        <v>1896</v>
      </c>
      <c r="D2065" t="s">
        <v>4249</v>
      </c>
      <c r="F2065" s="56"/>
    </row>
    <row r="2066" spans="1:6" ht="15">
      <c r="A2066" s="51">
        <v>1445358</v>
      </c>
      <c r="B2066" t="s">
        <v>537</v>
      </c>
      <c r="C2066" s="39" t="s">
        <v>1897</v>
      </c>
      <c r="D2066" t="s">
        <v>4249</v>
      </c>
      <c r="F2066" s="56"/>
    </row>
    <row r="2067" spans="1:6" ht="15">
      <c r="A2067" s="51">
        <v>319790</v>
      </c>
      <c r="B2067" t="s">
        <v>1898</v>
      </c>
      <c r="C2067" s="39" t="s">
        <v>1899</v>
      </c>
      <c r="D2067" t="s">
        <v>4249</v>
      </c>
      <c r="F2067" s="56"/>
    </row>
    <row r="2068" spans="1:6" ht="15">
      <c r="A2068" s="51">
        <v>319787</v>
      </c>
      <c r="B2068" t="s">
        <v>1900</v>
      </c>
      <c r="C2068" s="39" t="s">
        <v>1901</v>
      </c>
      <c r="D2068" t="s">
        <v>4244</v>
      </c>
      <c r="F2068" s="56"/>
    </row>
    <row r="2069" spans="1:6" ht="15">
      <c r="A2069" s="51">
        <v>3118065</v>
      </c>
      <c r="B2069" t="s">
        <v>1270</v>
      </c>
      <c r="C2069" s="39" t="s">
        <v>1902</v>
      </c>
      <c r="D2069">
        <v>8</v>
      </c>
      <c r="F2069" s="56"/>
    </row>
    <row r="2070" spans="1:6" ht="15">
      <c r="A2070" s="51">
        <v>319789</v>
      </c>
      <c r="B2070" t="s">
        <v>1903</v>
      </c>
      <c r="C2070" s="39" t="s">
        <v>1904</v>
      </c>
      <c r="D2070">
        <v>9</v>
      </c>
      <c r="F2070" s="56"/>
    </row>
    <row r="2071" spans="1:6" ht="15">
      <c r="A2071" s="51">
        <v>291283</v>
      </c>
      <c r="B2071" t="s">
        <v>1905</v>
      </c>
      <c r="C2071" s="39" t="s">
        <v>1338</v>
      </c>
      <c r="D2071" t="s">
        <v>4244</v>
      </c>
      <c r="F2071" s="56"/>
    </row>
    <row r="2072" spans="1:6" ht="15">
      <c r="A2072" s="51">
        <v>291282</v>
      </c>
      <c r="B2072" t="s">
        <v>1906</v>
      </c>
      <c r="C2072" s="39" t="s">
        <v>1338</v>
      </c>
      <c r="D2072" t="s">
        <v>4244</v>
      </c>
      <c r="F2072" s="56"/>
    </row>
    <row r="2073" spans="1:6" ht="15">
      <c r="A2073" s="51">
        <v>291284</v>
      </c>
      <c r="B2073" t="s">
        <v>1907</v>
      </c>
      <c r="C2073" s="39" t="s">
        <v>1338</v>
      </c>
      <c r="D2073">
        <v>8</v>
      </c>
      <c r="F2073" s="56"/>
    </row>
    <row r="2074" spans="1:6" ht="15">
      <c r="A2074" s="51">
        <v>291285</v>
      </c>
      <c r="B2074" t="s">
        <v>1908</v>
      </c>
      <c r="C2074" s="39" t="s">
        <v>1338</v>
      </c>
      <c r="D2074">
        <v>9</v>
      </c>
      <c r="F2074" s="56"/>
    </row>
    <row r="2075" spans="1:6" ht="15">
      <c r="A2075" s="51">
        <v>319785</v>
      </c>
      <c r="B2075" t="s">
        <v>1909</v>
      </c>
      <c r="C2075" s="39" t="s">
        <v>1910</v>
      </c>
      <c r="D2075" t="s">
        <v>4244</v>
      </c>
      <c r="F2075" s="56"/>
    </row>
    <row r="2076" spans="1:6" ht="15">
      <c r="A2076" s="51">
        <v>319786</v>
      </c>
      <c r="B2076" t="s">
        <v>1911</v>
      </c>
      <c r="C2076" s="39" t="s">
        <v>1912</v>
      </c>
      <c r="D2076">
        <v>8</v>
      </c>
      <c r="F2076" s="56"/>
    </row>
    <row r="2077" spans="1:6" ht="15">
      <c r="A2077" s="51">
        <v>319757</v>
      </c>
      <c r="B2077" t="s">
        <v>1913</v>
      </c>
      <c r="C2077" s="39" t="s">
        <v>1274</v>
      </c>
      <c r="D2077" t="s">
        <v>4244</v>
      </c>
      <c r="F2077" s="56"/>
    </row>
    <row r="2078" spans="1:6" ht="15">
      <c r="A2078" s="51">
        <v>319759</v>
      </c>
      <c r="B2078" t="s">
        <v>1273</v>
      </c>
      <c r="C2078" s="39" t="s">
        <v>1274</v>
      </c>
      <c r="D2078">
        <v>7</v>
      </c>
      <c r="F2078" s="56"/>
    </row>
    <row r="2079" spans="1:6" ht="15">
      <c r="A2079" s="51">
        <v>319760</v>
      </c>
      <c r="B2079" t="s">
        <v>1914</v>
      </c>
      <c r="C2079" s="39" t="s">
        <v>1274</v>
      </c>
      <c r="D2079">
        <v>8</v>
      </c>
      <c r="F2079" s="56"/>
    </row>
    <row r="2080" spans="1:6" ht="15">
      <c r="A2080" s="51">
        <v>319761</v>
      </c>
      <c r="B2080" t="s">
        <v>1275</v>
      </c>
      <c r="C2080" s="39" t="s">
        <v>1274</v>
      </c>
      <c r="D2080">
        <v>9</v>
      </c>
      <c r="F2080" s="56"/>
    </row>
    <row r="2081" spans="1:6" ht="15">
      <c r="A2081" s="51">
        <v>318505</v>
      </c>
      <c r="B2081" t="s">
        <v>1915</v>
      </c>
      <c r="C2081" s="39" t="s">
        <v>1916</v>
      </c>
      <c r="D2081" t="s">
        <v>4243</v>
      </c>
      <c r="F2081" s="56"/>
    </row>
    <row r="2082" spans="1:6" ht="15">
      <c r="A2082" s="51">
        <v>319794</v>
      </c>
      <c r="B2082" t="s">
        <v>1278</v>
      </c>
      <c r="C2082" s="39" t="s">
        <v>1279</v>
      </c>
      <c r="D2082">
        <v>9</v>
      </c>
      <c r="F2082" s="56"/>
    </row>
    <row r="2083" spans="1:6" ht="15">
      <c r="A2083" s="51">
        <v>319795</v>
      </c>
      <c r="B2083" t="s">
        <v>1917</v>
      </c>
      <c r="C2083" s="39" t="s">
        <v>1279</v>
      </c>
      <c r="D2083">
        <v>9</v>
      </c>
      <c r="F2083" s="56"/>
    </row>
    <row r="2084" spans="1:6" ht="15">
      <c r="A2084" s="51">
        <v>319782</v>
      </c>
      <c r="B2084" t="s">
        <v>1282</v>
      </c>
      <c r="C2084" s="39" t="s">
        <v>1918</v>
      </c>
      <c r="D2084">
        <v>8</v>
      </c>
      <c r="F2084" s="56"/>
    </row>
    <row r="2085" spans="1:6" ht="15">
      <c r="A2085" s="51">
        <v>319778</v>
      </c>
      <c r="B2085" t="s">
        <v>1283</v>
      </c>
      <c r="C2085" s="39" t="s">
        <v>1284</v>
      </c>
      <c r="D2085">
        <v>8</v>
      </c>
      <c r="F2085" s="56"/>
    </row>
    <row r="2086" spans="1:6" ht="15">
      <c r="A2086" s="51">
        <v>319779</v>
      </c>
      <c r="B2086" t="s">
        <v>1919</v>
      </c>
      <c r="C2086" s="39" t="s">
        <v>1284</v>
      </c>
      <c r="D2086">
        <v>8</v>
      </c>
      <c r="F2086" s="56"/>
    </row>
    <row r="2087" spans="1:6" ht="15">
      <c r="A2087" s="51">
        <v>319780</v>
      </c>
      <c r="B2087" t="s">
        <v>1287</v>
      </c>
      <c r="C2087" s="39" t="s">
        <v>1288</v>
      </c>
      <c r="D2087">
        <v>8</v>
      </c>
      <c r="F2087" s="56"/>
    </row>
    <row r="2088" spans="1:6" ht="15">
      <c r="A2088" s="51">
        <v>318503</v>
      </c>
      <c r="B2088" t="s">
        <v>1920</v>
      </c>
      <c r="C2088" s="39" t="s">
        <v>1921</v>
      </c>
      <c r="D2088">
        <v>8</v>
      </c>
      <c r="F2088" s="56"/>
    </row>
    <row r="2089" spans="1:6" ht="15">
      <c r="A2089" s="51">
        <v>318504</v>
      </c>
      <c r="B2089" t="s">
        <v>1922</v>
      </c>
      <c r="C2089" s="39" t="s">
        <v>1921</v>
      </c>
      <c r="D2089">
        <v>8</v>
      </c>
      <c r="F2089" s="56"/>
    </row>
    <row r="2090" spans="1:6" ht="15">
      <c r="A2090" s="51">
        <v>319791</v>
      </c>
      <c r="B2090" t="s">
        <v>1289</v>
      </c>
      <c r="C2090" s="39" t="s">
        <v>1290</v>
      </c>
      <c r="D2090">
        <v>8</v>
      </c>
      <c r="F2090" s="56"/>
    </row>
    <row r="2091" spans="1:6" ht="15">
      <c r="A2091" s="51">
        <v>319792</v>
      </c>
      <c r="B2091" t="s">
        <v>1291</v>
      </c>
      <c r="C2091" s="39" t="s">
        <v>1290</v>
      </c>
      <c r="D2091">
        <v>8</v>
      </c>
      <c r="F2091" s="56"/>
    </row>
    <row r="2092" spans="1:6" ht="15">
      <c r="A2092" s="51">
        <v>319793</v>
      </c>
      <c r="B2092" t="s">
        <v>1923</v>
      </c>
      <c r="C2092" s="39" t="s">
        <v>1290</v>
      </c>
      <c r="D2092">
        <v>9</v>
      </c>
      <c r="F2092" s="56"/>
    </row>
    <row r="2093" spans="1:6" ht="15">
      <c r="A2093" s="51">
        <v>318502</v>
      </c>
      <c r="B2093" t="s">
        <v>1924</v>
      </c>
      <c r="C2093" s="39" t="s">
        <v>1925</v>
      </c>
      <c r="D2093">
        <v>8</v>
      </c>
      <c r="F2093" s="56"/>
    </row>
    <row r="2094" spans="1:6" ht="15">
      <c r="A2094" s="51">
        <v>319763</v>
      </c>
      <c r="B2094" t="s">
        <v>1296</v>
      </c>
      <c r="C2094" s="39" t="s">
        <v>1297</v>
      </c>
      <c r="D2094">
        <v>8</v>
      </c>
      <c r="F2094" s="56"/>
    </row>
    <row r="2095" spans="1:6" ht="15">
      <c r="A2095" s="51">
        <v>319764</v>
      </c>
      <c r="B2095" t="s">
        <v>1298</v>
      </c>
      <c r="C2095" s="39" t="s">
        <v>1299</v>
      </c>
      <c r="D2095">
        <v>8</v>
      </c>
      <c r="F2095" s="56"/>
    </row>
    <row r="2096" spans="1:6" ht="15">
      <c r="A2096" s="51">
        <v>319765</v>
      </c>
      <c r="B2096" t="s">
        <v>1926</v>
      </c>
      <c r="C2096" s="39" t="s">
        <v>1299</v>
      </c>
      <c r="D2096">
        <v>9</v>
      </c>
      <c r="F2096" s="56"/>
    </row>
    <row r="2097" spans="1:6" ht="15">
      <c r="A2097" s="51">
        <v>319769</v>
      </c>
      <c r="B2097" t="s">
        <v>1300</v>
      </c>
      <c r="C2097" s="39" t="s">
        <v>1301</v>
      </c>
      <c r="D2097">
        <v>8</v>
      </c>
      <c r="F2097" s="56"/>
    </row>
    <row r="2098" spans="1:6" ht="15">
      <c r="A2098" s="51">
        <v>319770</v>
      </c>
      <c r="B2098" t="s">
        <v>1302</v>
      </c>
      <c r="C2098" s="39" t="s">
        <v>1301</v>
      </c>
      <c r="D2098">
        <v>8</v>
      </c>
      <c r="F2098" s="56"/>
    </row>
    <row r="2099" spans="1:6" ht="15">
      <c r="A2099" s="51">
        <v>319771</v>
      </c>
      <c r="B2099" t="s">
        <v>1927</v>
      </c>
      <c r="C2099" s="39" t="s">
        <v>1301</v>
      </c>
      <c r="D2099">
        <v>9</v>
      </c>
      <c r="F2099" s="56"/>
    </row>
    <row r="2100" spans="1:6" ht="15">
      <c r="A2100" s="51">
        <v>319772</v>
      </c>
      <c r="B2100" t="s">
        <v>1303</v>
      </c>
      <c r="C2100" s="39" t="s">
        <v>1304</v>
      </c>
      <c r="D2100">
        <v>8</v>
      </c>
      <c r="F2100" s="56"/>
    </row>
    <row r="2101" spans="1:6" ht="15">
      <c r="A2101" s="51">
        <v>319777</v>
      </c>
      <c r="B2101" t="s">
        <v>1305</v>
      </c>
      <c r="C2101" s="39" t="s">
        <v>1306</v>
      </c>
      <c r="D2101">
        <v>8</v>
      </c>
      <c r="F2101" s="56"/>
    </row>
    <row r="2102" spans="1:6" ht="15">
      <c r="A2102" s="51">
        <v>319766</v>
      </c>
      <c r="B2102" t="s">
        <v>1307</v>
      </c>
      <c r="C2102" s="39" t="s">
        <v>1308</v>
      </c>
      <c r="D2102">
        <v>8</v>
      </c>
      <c r="F2102" s="56"/>
    </row>
    <row r="2103" spans="1:6" ht="15">
      <c r="A2103" s="51">
        <v>319767</v>
      </c>
      <c r="B2103" t="s">
        <v>1309</v>
      </c>
      <c r="C2103" s="39" t="s">
        <v>1308</v>
      </c>
      <c r="D2103">
        <v>8</v>
      </c>
      <c r="F2103" s="56"/>
    </row>
    <row r="2104" spans="1:6" ht="15">
      <c r="A2104" s="51">
        <v>319768</v>
      </c>
      <c r="B2104" t="s">
        <v>1310</v>
      </c>
      <c r="C2104" s="39" t="s">
        <v>1308</v>
      </c>
      <c r="D2104">
        <v>9</v>
      </c>
      <c r="F2104" s="56"/>
    </row>
    <row r="2105" spans="1:6" ht="15">
      <c r="A2105" s="51">
        <v>319775</v>
      </c>
      <c r="B2105" t="s">
        <v>1928</v>
      </c>
      <c r="C2105" s="39" t="s">
        <v>1929</v>
      </c>
      <c r="D2105">
        <v>8</v>
      </c>
      <c r="F2105" s="56"/>
    </row>
    <row r="2106" spans="1:6" ht="15">
      <c r="A2106" s="51">
        <v>1451677</v>
      </c>
      <c r="B2106" t="s">
        <v>1930</v>
      </c>
      <c r="C2106" s="39" t="s">
        <v>1931</v>
      </c>
      <c r="D2106">
        <v>8</v>
      </c>
      <c r="F2106" s="56"/>
    </row>
    <row r="2107" spans="1:6" ht="15">
      <c r="A2107" s="51">
        <v>1460217</v>
      </c>
      <c r="B2107" t="s">
        <v>1932</v>
      </c>
      <c r="C2107" s="39" t="s">
        <v>1931</v>
      </c>
      <c r="D2107">
        <v>9</v>
      </c>
      <c r="F2107" s="56"/>
    </row>
    <row r="2108" spans="1:6" ht="15">
      <c r="A2108" s="51">
        <v>1460219</v>
      </c>
      <c r="B2108" t="s">
        <v>1933</v>
      </c>
      <c r="C2108" s="39" t="s">
        <v>1934</v>
      </c>
      <c r="D2108">
        <v>9</v>
      </c>
      <c r="F2108" s="56"/>
    </row>
    <row r="2109" spans="1:6" ht="15">
      <c r="A2109" s="51">
        <v>1460228</v>
      </c>
      <c r="B2109" t="s">
        <v>1935</v>
      </c>
      <c r="C2109" s="39" t="s">
        <v>1314</v>
      </c>
      <c r="D2109">
        <v>8</v>
      </c>
      <c r="F2109" s="56"/>
    </row>
    <row r="2110" spans="1:6" ht="15">
      <c r="A2110" s="51">
        <v>319797</v>
      </c>
      <c r="B2110" t="s">
        <v>1315</v>
      </c>
      <c r="C2110" s="39" t="s">
        <v>1316</v>
      </c>
      <c r="D2110">
        <v>8</v>
      </c>
      <c r="F2110" s="56"/>
    </row>
    <row r="2111" spans="1:6" ht="15">
      <c r="A2111" s="51">
        <v>319798</v>
      </c>
      <c r="B2111" t="s">
        <v>1936</v>
      </c>
      <c r="C2111" s="39" t="s">
        <v>1316</v>
      </c>
      <c r="D2111">
        <v>9</v>
      </c>
      <c r="F2111" s="56"/>
    </row>
    <row r="2112" spans="1:6" ht="15">
      <c r="A2112" s="51">
        <v>1460836</v>
      </c>
      <c r="B2112" t="s">
        <v>1937</v>
      </c>
      <c r="C2112" s="39" t="s">
        <v>1938</v>
      </c>
      <c r="D2112">
        <v>8</v>
      </c>
      <c r="F2112" s="56"/>
    </row>
    <row r="2113" spans="1:6" ht="15">
      <c r="A2113" s="51">
        <v>1460837</v>
      </c>
      <c r="B2113" t="s">
        <v>1939</v>
      </c>
      <c r="C2113" s="39" t="s">
        <v>1938</v>
      </c>
      <c r="D2113">
        <v>8</v>
      </c>
      <c r="F2113" s="56"/>
    </row>
    <row r="2114" spans="1:6" ht="15">
      <c r="A2114" s="51">
        <v>1460838</v>
      </c>
      <c r="B2114" t="s">
        <v>1940</v>
      </c>
      <c r="C2114" s="39" t="s">
        <v>1941</v>
      </c>
      <c r="D2114">
        <v>9</v>
      </c>
      <c r="F2114" s="56"/>
    </row>
    <row r="2115" spans="1:6" ht="15">
      <c r="A2115" s="51">
        <v>319801</v>
      </c>
      <c r="B2115" t="s">
        <v>1319</v>
      </c>
      <c r="C2115" s="39" t="s">
        <v>1320</v>
      </c>
      <c r="D2115">
        <v>8</v>
      </c>
      <c r="F2115" s="56"/>
    </row>
    <row r="2116" spans="1:6" ht="15">
      <c r="A2116" s="51">
        <v>319802</v>
      </c>
      <c r="B2116" t="s">
        <v>1321</v>
      </c>
      <c r="C2116" s="39" t="s">
        <v>1320</v>
      </c>
      <c r="D2116">
        <v>8</v>
      </c>
      <c r="F2116" s="56"/>
    </row>
    <row r="2117" spans="1:6" ht="15">
      <c r="A2117" s="51">
        <v>319803</v>
      </c>
      <c r="B2117" t="s">
        <v>1322</v>
      </c>
      <c r="C2117" s="39" t="s">
        <v>1320</v>
      </c>
      <c r="D2117">
        <v>9</v>
      </c>
      <c r="F2117" s="56"/>
    </row>
    <row r="2118" spans="1:6" ht="15">
      <c r="A2118" s="51">
        <v>1468791</v>
      </c>
      <c r="B2118" t="s">
        <v>1942</v>
      </c>
      <c r="C2118" s="39" t="s">
        <v>1326</v>
      </c>
      <c r="D2118">
        <v>8</v>
      </c>
      <c r="F2118" s="56"/>
    </row>
    <row r="2119" spans="1:6" ht="15">
      <c r="A2119" s="51">
        <v>1468792</v>
      </c>
      <c r="B2119" t="s">
        <v>1325</v>
      </c>
      <c r="C2119" s="39" t="s">
        <v>1326</v>
      </c>
      <c r="D2119">
        <v>9</v>
      </c>
      <c r="F2119" s="56"/>
    </row>
    <row r="2120" spans="1:6" ht="15">
      <c r="A2120" s="51">
        <v>1468793</v>
      </c>
      <c r="B2120" t="s">
        <v>1329</v>
      </c>
      <c r="C2120" s="39" t="s">
        <v>1330</v>
      </c>
      <c r="D2120">
        <v>9</v>
      </c>
      <c r="F2120" s="56"/>
    </row>
    <row r="2121" spans="1:6" ht="15">
      <c r="A2121" s="51">
        <v>319812</v>
      </c>
      <c r="B2121" t="s">
        <v>1943</v>
      </c>
      <c r="C2121" s="39" t="s">
        <v>1944</v>
      </c>
      <c r="D2121">
        <v>9</v>
      </c>
      <c r="F2121" s="56"/>
    </row>
    <row r="2122" spans="1:6" ht="15">
      <c r="A2122" s="51">
        <v>319813</v>
      </c>
      <c r="B2122" t="s">
        <v>1945</v>
      </c>
      <c r="C2122" s="39" t="s">
        <v>1946</v>
      </c>
      <c r="D2122">
        <v>9</v>
      </c>
      <c r="F2122" s="56"/>
    </row>
    <row r="2123" spans="1:6" ht="15">
      <c r="A2123" s="51">
        <v>319814</v>
      </c>
      <c r="B2123" t="s">
        <v>1947</v>
      </c>
      <c r="C2123" s="39" t="s">
        <v>1948</v>
      </c>
      <c r="D2123">
        <v>9</v>
      </c>
      <c r="F2123" s="56"/>
    </row>
    <row r="2124" spans="1:6" ht="15">
      <c r="A2124" s="51">
        <v>1539441</v>
      </c>
      <c r="B2124" t="s">
        <v>1949</v>
      </c>
      <c r="C2124" s="39" t="s">
        <v>1950</v>
      </c>
      <c r="D2124">
        <v>9</v>
      </c>
      <c r="F2124" s="56"/>
    </row>
    <row r="2125" spans="1:6" ht="15">
      <c r="A2125" s="51">
        <v>319811</v>
      </c>
      <c r="B2125" t="s">
        <v>1951</v>
      </c>
      <c r="C2125" s="39" t="s">
        <v>1952</v>
      </c>
      <c r="D2125">
        <v>9</v>
      </c>
      <c r="F2125" s="56"/>
    </row>
    <row r="2126" spans="1:6" ht="15">
      <c r="A2126" s="51">
        <v>318499</v>
      </c>
      <c r="B2126" t="s">
        <v>1953</v>
      </c>
      <c r="C2126" s="39" t="s">
        <v>1954</v>
      </c>
      <c r="D2126">
        <v>9</v>
      </c>
      <c r="F2126" s="56"/>
    </row>
    <row r="2127" spans="1:6" ht="15">
      <c r="A2127" s="51">
        <v>318500</v>
      </c>
      <c r="B2127" t="s">
        <v>1955</v>
      </c>
      <c r="C2127" s="39" t="s">
        <v>1954</v>
      </c>
      <c r="D2127">
        <v>9</v>
      </c>
      <c r="F2127" s="56"/>
    </row>
    <row r="2128" spans="1:6" ht="15">
      <c r="A2128" s="51">
        <v>318501</v>
      </c>
      <c r="B2128" t="s">
        <v>1956</v>
      </c>
      <c r="C2128" s="39" t="s">
        <v>1957</v>
      </c>
      <c r="D2128">
        <v>9</v>
      </c>
      <c r="F2128" s="56"/>
    </row>
    <row r="2129" spans="1:6" ht="15">
      <c r="A2129" s="51">
        <v>291286</v>
      </c>
      <c r="B2129" t="s">
        <v>1958</v>
      </c>
      <c r="C2129" s="39" t="s">
        <v>1338</v>
      </c>
      <c r="D2129" t="s">
        <v>4244</v>
      </c>
      <c r="F2129" s="56"/>
    </row>
    <row r="2130" spans="1:6" ht="15">
      <c r="A2130" s="51">
        <v>291287</v>
      </c>
      <c r="B2130" t="s">
        <v>1959</v>
      </c>
      <c r="C2130" s="39" t="s">
        <v>1338</v>
      </c>
      <c r="D2130" t="s">
        <v>4244</v>
      </c>
      <c r="F2130" s="56"/>
    </row>
    <row r="2131" spans="1:6" ht="15">
      <c r="A2131" s="51">
        <v>291288</v>
      </c>
      <c r="B2131" t="s">
        <v>1960</v>
      </c>
      <c r="C2131" s="39" t="s">
        <v>1338</v>
      </c>
      <c r="D2131" t="s">
        <v>4244</v>
      </c>
      <c r="F2131" s="56"/>
    </row>
    <row r="2132" spans="1:6" ht="15">
      <c r="A2132" s="51">
        <v>291289</v>
      </c>
      <c r="B2132" t="s">
        <v>1961</v>
      </c>
      <c r="C2132" s="39" t="s">
        <v>1338</v>
      </c>
      <c r="D2132">
        <v>8</v>
      </c>
      <c r="F2132" s="56"/>
    </row>
    <row r="2133" spans="1:6" ht="15">
      <c r="A2133" s="51">
        <v>291290</v>
      </c>
      <c r="B2133" t="s">
        <v>1962</v>
      </c>
      <c r="C2133" s="39" t="s">
        <v>1338</v>
      </c>
      <c r="D2133">
        <v>9</v>
      </c>
      <c r="F2133" s="56"/>
    </row>
    <row r="2134" spans="1:6" ht="15">
      <c r="A2134" s="51">
        <v>291296</v>
      </c>
      <c r="B2134" t="s">
        <v>1963</v>
      </c>
      <c r="C2134" s="39" t="s">
        <v>1343</v>
      </c>
      <c r="D2134">
        <v>8</v>
      </c>
      <c r="F2134" s="56"/>
    </row>
    <row r="2135" spans="1:6" ht="15">
      <c r="A2135" s="51">
        <v>291295</v>
      </c>
      <c r="B2135" t="s">
        <v>1964</v>
      </c>
      <c r="C2135" s="39" t="s">
        <v>1343</v>
      </c>
      <c r="D2135">
        <v>8</v>
      </c>
      <c r="F2135" s="56"/>
    </row>
    <row r="2136" spans="1:6" ht="15">
      <c r="A2136" s="51">
        <v>291302</v>
      </c>
      <c r="B2136" t="s">
        <v>972</v>
      </c>
      <c r="C2136" s="39" t="s">
        <v>1350</v>
      </c>
      <c r="D2136" t="s">
        <v>468</v>
      </c>
      <c r="F2136" s="56"/>
    </row>
    <row r="2137" spans="1:6" ht="15">
      <c r="A2137" s="51">
        <v>291301</v>
      </c>
      <c r="B2137" t="s">
        <v>1785</v>
      </c>
      <c r="C2137" s="39" t="s">
        <v>1350</v>
      </c>
      <c r="D2137" t="s">
        <v>1596</v>
      </c>
      <c r="F2137" s="56"/>
    </row>
    <row r="2138" spans="1:6" ht="15">
      <c r="A2138" s="51">
        <v>291304</v>
      </c>
      <c r="B2138" t="s">
        <v>1353</v>
      </c>
      <c r="C2138" s="39" t="s">
        <v>1301</v>
      </c>
      <c r="D2138" t="s">
        <v>4244</v>
      </c>
      <c r="F2138" s="56"/>
    </row>
    <row r="2139" spans="1:6" ht="15">
      <c r="A2139" s="51">
        <v>291303</v>
      </c>
      <c r="B2139" t="s">
        <v>1354</v>
      </c>
      <c r="C2139" s="39" t="s">
        <v>1301</v>
      </c>
      <c r="D2139">
        <v>7</v>
      </c>
      <c r="F2139" s="56"/>
    </row>
    <row r="2140" spans="1:6" ht="15">
      <c r="A2140" s="51">
        <v>291308</v>
      </c>
      <c r="B2140" t="s">
        <v>994</v>
      </c>
      <c r="C2140" s="39" t="s">
        <v>1301</v>
      </c>
      <c r="D2140">
        <v>8</v>
      </c>
      <c r="F2140" s="56"/>
    </row>
    <row r="2141" spans="1:6" ht="15">
      <c r="A2141" s="51">
        <v>291307</v>
      </c>
      <c r="B2141" t="s">
        <v>311</v>
      </c>
      <c r="C2141" s="39" t="s">
        <v>1301</v>
      </c>
      <c r="D2141">
        <v>8</v>
      </c>
      <c r="F2141" s="56"/>
    </row>
    <row r="2142" spans="1:6" ht="15">
      <c r="A2142" s="51">
        <v>291306</v>
      </c>
      <c r="B2142" t="s">
        <v>1355</v>
      </c>
      <c r="C2142" s="39" t="s">
        <v>1301</v>
      </c>
      <c r="D2142">
        <v>9</v>
      </c>
      <c r="F2142" s="56"/>
    </row>
    <row r="2143" spans="1:6" ht="15">
      <c r="A2143" s="51">
        <v>1020314</v>
      </c>
      <c r="B2143" t="s">
        <v>1965</v>
      </c>
      <c r="C2143" s="39" t="s">
        <v>1301</v>
      </c>
      <c r="D2143">
        <v>9</v>
      </c>
      <c r="F2143" s="56"/>
    </row>
    <row r="2144" spans="1:6" ht="15">
      <c r="A2144" s="51">
        <v>291310</v>
      </c>
      <c r="B2144" t="s">
        <v>1966</v>
      </c>
      <c r="C2144" s="39" t="s">
        <v>1299</v>
      </c>
      <c r="D2144">
        <v>8</v>
      </c>
      <c r="F2144" s="56"/>
    </row>
    <row r="2145" spans="1:6" ht="15">
      <c r="A2145" s="51">
        <v>291309</v>
      </c>
      <c r="B2145" t="s">
        <v>313</v>
      </c>
      <c r="C2145" s="39" t="s">
        <v>1299</v>
      </c>
      <c r="D2145">
        <v>8</v>
      </c>
      <c r="F2145" s="56"/>
    </row>
    <row r="2146" spans="1:6" ht="15">
      <c r="A2146" s="51">
        <v>298197</v>
      </c>
      <c r="B2146" t="s">
        <v>1967</v>
      </c>
      <c r="C2146" s="39" t="s">
        <v>1363</v>
      </c>
      <c r="D2146" t="s">
        <v>4245</v>
      </c>
      <c r="F2146" s="56"/>
    </row>
    <row r="2147" spans="1:6" ht="15">
      <c r="A2147" s="51">
        <v>1714207</v>
      </c>
      <c r="B2147" t="s">
        <v>330</v>
      </c>
      <c r="C2147" s="39" t="s">
        <v>1365</v>
      </c>
      <c r="D2147" t="s">
        <v>4243</v>
      </c>
      <c r="F2147" s="56"/>
    </row>
    <row r="2148" spans="1:6" ht="15">
      <c r="A2148" s="51">
        <v>1714208</v>
      </c>
      <c r="B2148" t="s">
        <v>1968</v>
      </c>
      <c r="C2148" s="39" t="s">
        <v>1969</v>
      </c>
      <c r="D2148" t="s">
        <v>4243</v>
      </c>
      <c r="F2148" s="56"/>
    </row>
    <row r="2149" spans="1:6" ht="15">
      <c r="A2149" s="51">
        <v>1714209</v>
      </c>
      <c r="B2149" t="s">
        <v>1970</v>
      </c>
      <c r="C2149" s="39" t="s">
        <v>698</v>
      </c>
      <c r="D2149" t="s">
        <v>4243</v>
      </c>
      <c r="F2149" s="56"/>
    </row>
    <row r="2150" spans="1:6" ht="15">
      <c r="A2150" s="51">
        <v>316469</v>
      </c>
      <c r="B2150" t="s">
        <v>1971</v>
      </c>
      <c r="C2150" s="39" t="s">
        <v>1347</v>
      </c>
      <c r="D2150">
        <v>7</v>
      </c>
      <c r="F2150" s="56"/>
    </row>
    <row r="2151" spans="1:6" ht="15">
      <c r="A2151" s="51">
        <v>316468</v>
      </c>
      <c r="B2151" t="s">
        <v>1239</v>
      </c>
      <c r="C2151" s="39" t="s">
        <v>1347</v>
      </c>
      <c r="D2151">
        <v>8</v>
      </c>
      <c r="F2151" s="56"/>
    </row>
    <row r="2152" spans="1:6" ht="15">
      <c r="A2152" s="51">
        <v>316467</v>
      </c>
      <c r="B2152" t="s">
        <v>1240</v>
      </c>
      <c r="C2152" s="39" t="s">
        <v>1347</v>
      </c>
      <c r="D2152">
        <v>8</v>
      </c>
      <c r="F2152" s="56"/>
    </row>
    <row r="2153" spans="1:6" ht="15">
      <c r="A2153" s="51">
        <v>316466</v>
      </c>
      <c r="B2153" t="s">
        <v>1972</v>
      </c>
      <c r="C2153" s="39" t="s">
        <v>1347</v>
      </c>
      <c r="D2153">
        <v>8</v>
      </c>
      <c r="F2153" s="56"/>
    </row>
    <row r="2154" spans="1:6" ht="15">
      <c r="A2154" s="51">
        <v>316029</v>
      </c>
      <c r="B2154" t="s">
        <v>341</v>
      </c>
      <c r="C2154" s="39" t="s">
        <v>1797</v>
      </c>
      <c r="D2154" t="s">
        <v>4246</v>
      </c>
      <c r="F2154" s="56"/>
    </row>
    <row r="2155" spans="1:6" ht="15">
      <c r="A2155" s="51">
        <v>316030</v>
      </c>
      <c r="B2155" t="s">
        <v>343</v>
      </c>
      <c r="C2155" s="39" t="s">
        <v>1797</v>
      </c>
      <c r="D2155" t="s">
        <v>4244</v>
      </c>
      <c r="F2155" s="56"/>
    </row>
    <row r="2156" spans="1:6" ht="15">
      <c r="A2156" s="51">
        <v>316437</v>
      </c>
      <c r="B2156" t="s">
        <v>111</v>
      </c>
      <c r="C2156" s="39" t="s">
        <v>1367</v>
      </c>
      <c r="D2156" t="s">
        <v>4243</v>
      </c>
      <c r="F2156" s="56"/>
    </row>
    <row r="2157" spans="1:6" ht="15">
      <c r="A2157" s="51">
        <v>316438</v>
      </c>
      <c r="B2157" t="s">
        <v>112</v>
      </c>
      <c r="C2157" s="39" t="s">
        <v>1367</v>
      </c>
      <c r="D2157">
        <v>7</v>
      </c>
      <c r="F2157" s="56"/>
    </row>
    <row r="2158" spans="1:6" ht="15">
      <c r="A2158" s="51">
        <v>316439</v>
      </c>
      <c r="B2158" t="s">
        <v>113</v>
      </c>
      <c r="C2158" s="39" t="s">
        <v>1367</v>
      </c>
      <c r="D2158">
        <v>8</v>
      </c>
      <c r="F2158" s="56"/>
    </row>
    <row r="2159" spans="1:6" ht="15">
      <c r="A2159" s="51">
        <v>316440</v>
      </c>
      <c r="B2159" t="s">
        <v>844</v>
      </c>
      <c r="C2159" s="39" t="s">
        <v>1367</v>
      </c>
      <c r="D2159">
        <v>9</v>
      </c>
      <c r="F2159" s="56"/>
    </row>
    <row r="2160" spans="1:6" ht="15">
      <c r="A2160" s="51">
        <v>1714214</v>
      </c>
      <c r="B2160" t="s">
        <v>1242</v>
      </c>
      <c r="C2160" s="39" t="s">
        <v>1973</v>
      </c>
      <c r="D2160">
        <v>8</v>
      </c>
      <c r="F2160" s="56"/>
    </row>
    <row r="2161" spans="1:6" ht="15">
      <c r="A2161" s="51">
        <v>316443</v>
      </c>
      <c r="B2161" t="s">
        <v>347</v>
      </c>
      <c r="C2161" s="39" t="s">
        <v>1692</v>
      </c>
      <c r="D2161" t="s">
        <v>4246</v>
      </c>
      <c r="F2161" s="56"/>
    </row>
    <row r="2162" spans="1:6" ht="15">
      <c r="A2162" s="51">
        <v>316444</v>
      </c>
      <c r="B2162" t="s">
        <v>1371</v>
      </c>
      <c r="C2162" s="39" t="s">
        <v>1692</v>
      </c>
      <c r="D2162" t="s">
        <v>4244</v>
      </c>
      <c r="F2162" s="56"/>
    </row>
    <row r="2163" spans="1:6" ht="15">
      <c r="A2163" s="51">
        <v>316445</v>
      </c>
      <c r="B2163" t="s">
        <v>1704</v>
      </c>
      <c r="C2163" s="39" t="s">
        <v>1692</v>
      </c>
      <c r="D2163" t="s">
        <v>4243</v>
      </c>
      <c r="F2163" s="56"/>
    </row>
    <row r="2164" spans="1:6" ht="15">
      <c r="A2164" s="51">
        <v>316448</v>
      </c>
      <c r="B2164" t="s">
        <v>1158</v>
      </c>
      <c r="C2164" s="39" t="s">
        <v>1706</v>
      </c>
      <c r="D2164">
        <v>8</v>
      </c>
      <c r="F2164" s="56"/>
    </row>
    <row r="2165" spans="1:6" ht="15">
      <c r="A2165" s="51">
        <v>316449</v>
      </c>
      <c r="B2165" t="s">
        <v>1159</v>
      </c>
      <c r="C2165" s="39" t="s">
        <v>1706</v>
      </c>
      <c r="D2165">
        <v>8</v>
      </c>
      <c r="F2165" s="56"/>
    </row>
    <row r="2166" spans="1:6" ht="15">
      <c r="A2166" s="51">
        <v>316453</v>
      </c>
      <c r="B2166" t="s">
        <v>350</v>
      </c>
      <c r="C2166" s="39" t="s">
        <v>1711</v>
      </c>
      <c r="D2166">
        <v>8</v>
      </c>
      <c r="F2166" s="56"/>
    </row>
    <row r="2167" spans="1:6" ht="15">
      <c r="A2167" s="51">
        <v>316452</v>
      </c>
      <c r="B2167" t="s">
        <v>351</v>
      </c>
      <c r="C2167" s="39" t="s">
        <v>1711</v>
      </c>
      <c r="D2167">
        <v>8</v>
      </c>
      <c r="F2167" s="56"/>
    </row>
    <row r="2168" spans="1:6" ht="15">
      <c r="A2168" s="51">
        <v>316451</v>
      </c>
      <c r="B2168" t="s">
        <v>352</v>
      </c>
      <c r="C2168" s="39" t="s">
        <v>1711</v>
      </c>
      <c r="D2168">
        <v>8</v>
      </c>
      <c r="F2168" s="56"/>
    </row>
    <row r="2169" spans="1:6" ht="15">
      <c r="A2169" s="51">
        <v>1020318</v>
      </c>
      <c r="B2169" t="s">
        <v>1974</v>
      </c>
      <c r="C2169" s="39" t="s">
        <v>1711</v>
      </c>
      <c r="D2169">
        <v>9</v>
      </c>
      <c r="F2169" s="56"/>
    </row>
    <row r="2170" spans="1:6" ht="15">
      <c r="A2170" s="51">
        <v>316455</v>
      </c>
      <c r="B2170" t="s">
        <v>845</v>
      </c>
      <c r="C2170" s="39" t="s">
        <v>547</v>
      </c>
      <c r="D2170" t="s">
        <v>4244</v>
      </c>
      <c r="F2170" s="56"/>
    </row>
    <row r="2171" spans="1:6" ht="15">
      <c r="A2171" s="51">
        <v>316456</v>
      </c>
      <c r="B2171" t="s">
        <v>1975</v>
      </c>
      <c r="C2171" s="39" t="s">
        <v>346</v>
      </c>
      <c r="D2171" t="s">
        <v>4246</v>
      </c>
      <c r="F2171" s="56"/>
    </row>
    <row r="2172" spans="1:6" ht="15">
      <c r="A2172" s="51">
        <v>316457</v>
      </c>
      <c r="B2172" t="s">
        <v>1976</v>
      </c>
      <c r="C2172" s="39" t="s">
        <v>346</v>
      </c>
      <c r="D2172" t="s">
        <v>4246</v>
      </c>
      <c r="F2172" s="56"/>
    </row>
    <row r="2173" spans="1:6" ht="15">
      <c r="A2173" s="51">
        <v>316458</v>
      </c>
      <c r="B2173" t="s">
        <v>1705</v>
      </c>
      <c r="C2173" s="39" t="s">
        <v>542</v>
      </c>
      <c r="D2173" t="s">
        <v>4246</v>
      </c>
      <c r="F2173" s="56"/>
    </row>
    <row r="2174" spans="1:6" ht="15">
      <c r="A2174" s="51">
        <v>316461</v>
      </c>
      <c r="B2174" t="s">
        <v>1009</v>
      </c>
      <c r="C2174" s="39" t="s">
        <v>1347</v>
      </c>
      <c r="D2174">
        <v>7</v>
      </c>
      <c r="F2174" s="56"/>
    </row>
    <row r="2175" spans="1:6" ht="15">
      <c r="A2175" s="51">
        <v>316462</v>
      </c>
      <c r="B2175" t="s">
        <v>119</v>
      </c>
      <c r="C2175" s="39" t="s">
        <v>1347</v>
      </c>
      <c r="D2175">
        <v>7</v>
      </c>
      <c r="F2175" s="56"/>
    </row>
    <row r="2176" spans="1:6" ht="15">
      <c r="A2176" s="51">
        <v>316463</v>
      </c>
      <c r="B2176" t="s">
        <v>121</v>
      </c>
      <c r="C2176" s="39" t="s">
        <v>1347</v>
      </c>
      <c r="D2176">
        <v>8</v>
      </c>
      <c r="F2176" s="56"/>
    </row>
    <row r="2177" spans="1:6" ht="15">
      <c r="A2177" s="51">
        <v>316464</v>
      </c>
      <c r="B2177" t="s">
        <v>1977</v>
      </c>
      <c r="C2177" s="39" t="s">
        <v>1347</v>
      </c>
      <c r="D2177">
        <v>8</v>
      </c>
      <c r="F2177" s="56"/>
    </row>
    <row r="2178" spans="1:6" ht="15">
      <c r="A2178" s="51">
        <v>316465</v>
      </c>
      <c r="B2178" t="s">
        <v>1978</v>
      </c>
      <c r="C2178" s="39" t="s">
        <v>1347</v>
      </c>
      <c r="D2178">
        <v>9</v>
      </c>
      <c r="F2178" s="56"/>
    </row>
    <row r="2179" spans="1:6" ht="15">
      <c r="A2179" s="51">
        <v>1714413</v>
      </c>
      <c r="B2179" t="s">
        <v>1979</v>
      </c>
      <c r="C2179" s="39" t="s">
        <v>1378</v>
      </c>
      <c r="D2179" t="s">
        <v>4244</v>
      </c>
      <c r="F2179" s="56"/>
    </row>
    <row r="2180" spans="1:6" ht="15">
      <c r="A2180" s="51">
        <v>316472</v>
      </c>
      <c r="B2180" t="s">
        <v>1714</v>
      </c>
      <c r="C2180" s="39" t="s">
        <v>355</v>
      </c>
      <c r="D2180" t="s">
        <v>4247</v>
      </c>
      <c r="F2180" s="56"/>
    </row>
    <row r="2181" spans="1:6" ht="15">
      <c r="A2181" s="51">
        <v>316471</v>
      </c>
      <c r="B2181" t="s">
        <v>846</v>
      </c>
      <c r="C2181" s="39" t="s">
        <v>355</v>
      </c>
      <c r="D2181" t="s">
        <v>4247</v>
      </c>
      <c r="F2181" s="56"/>
    </row>
    <row r="2182" spans="1:6" ht="15">
      <c r="A2182" s="51">
        <v>1714414</v>
      </c>
      <c r="B2182" t="s">
        <v>1384</v>
      </c>
      <c r="C2182" s="39" t="s">
        <v>1980</v>
      </c>
      <c r="D2182" t="s">
        <v>4243</v>
      </c>
      <c r="F2182" s="56"/>
    </row>
    <row r="2183" spans="1:6" ht="15">
      <c r="A2183" s="51">
        <v>316474</v>
      </c>
      <c r="B2183" t="s">
        <v>1717</v>
      </c>
      <c r="C2183" s="39" t="s">
        <v>1388</v>
      </c>
      <c r="D2183" t="s">
        <v>4247</v>
      </c>
      <c r="F2183" s="56"/>
    </row>
    <row r="2184" spans="1:6" ht="15">
      <c r="A2184" s="51">
        <v>316473</v>
      </c>
      <c r="B2184" t="s">
        <v>1386</v>
      </c>
      <c r="C2184" s="39" t="s">
        <v>1388</v>
      </c>
      <c r="D2184" t="s">
        <v>4247</v>
      </c>
      <c r="F2184" s="56"/>
    </row>
    <row r="2185" spans="1:6" ht="15">
      <c r="A2185" s="51">
        <v>316475</v>
      </c>
      <c r="B2185" t="s">
        <v>1166</v>
      </c>
      <c r="C2185" s="39" t="s">
        <v>1390</v>
      </c>
      <c r="D2185" t="s">
        <v>4244</v>
      </c>
      <c r="F2185" s="56"/>
    </row>
    <row r="2186" spans="1:6" ht="15">
      <c r="A2186" s="51">
        <v>316476</v>
      </c>
      <c r="B2186" t="s">
        <v>126</v>
      </c>
      <c r="C2186" s="39" t="s">
        <v>1390</v>
      </c>
      <c r="D2186" t="s">
        <v>4244</v>
      </c>
      <c r="F2186" s="56"/>
    </row>
    <row r="2187" spans="1:6" ht="15">
      <c r="A2187" s="51">
        <v>316494</v>
      </c>
      <c r="B2187" t="s">
        <v>1981</v>
      </c>
      <c r="C2187" s="39" t="s">
        <v>1982</v>
      </c>
      <c r="D2187" t="s">
        <v>4243</v>
      </c>
      <c r="F2187" s="56"/>
    </row>
    <row r="2188" spans="1:6" ht="15">
      <c r="A2188" s="51">
        <v>316493</v>
      </c>
      <c r="B2188" t="s">
        <v>1983</v>
      </c>
      <c r="C2188" s="39" t="s">
        <v>1982</v>
      </c>
      <c r="D2188">
        <v>7</v>
      </c>
      <c r="F2188" s="56"/>
    </row>
    <row r="2189" spans="1:6" ht="15">
      <c r="A2189" s="51">
        <v>316633</v>
      </c>
      <c r="B2189" t="s">
        <v>1720</v>
      </c>
      <c r="C2189" s="39" t="s">
        <v>781</v>
      </c>
      <c r="D2189" t="s">
        <v>4244</v>
      </c>
      <c r="F2189" s="56"/>
    </row>
    <row r="2190" spans="1:6" ht="15">
      <c r="A2190" s="51">
        <v>316632</v>
      </c>
      <c r="B2190" t="s">
        <v>1721</v>
      </c>
      <c r="C2190" s="39" t="s">
        <v>781</v>
      </c>
      <c r="D2190" t="s">
        <v>4243</v>
      </c>
      <c r="F2190" s="56"/>
    </row>
    <row r="2191" spans="1:6" ht="15">
      <c r="A2191" s="51">
        <v>316631</v>
      </c>
      <c r="B2191" t="s">
        <v>1984</v>
      </c>
      <c r="C2191" s="39" t="s">
        <v>781</v>
      </c>
      <c r="D2191">
        <v>8</v>
      </c>
      <c r="F2191" s="56"/>
    </row>
    <row r="2192" spans="1:6" ht="15">
      <c r="A2192" s="51">
        <v>291299</v>
      </c>
      <c r="B2192" t="s">
        <v>1726</v>
      </c>
      <c r="C2192" s="39" t="s">
        <v>1904</v>
      </c>
      <c r="D2192" t="s">
        <v>4244</v>
      </c>
      <c r="F2192" s="56"/>
    </row>
    <row r="2193" spans="1:6" ht="15">
      <c r="A2193" s="51">
        <v>316634</v>
      </c>
      <c r="B2193" t="s">
        <v>360</v>
      </c>
      <c r="C2193" s="39" t="s">
        <v>359</v>
      </c>
      <c r="D2193" t="s">
        <v>4246</v>
      </c>
      <c r="F2193" s="56"/>
    </row>
    <row r="2194" spans="1:6" ht="15">
      <c r="A2194" s="51">
        <v>298096</v>
      </c>
      <c r="B2194" t="s">
        <v>1534</v>
      </c>
      <c r="C2194" s="39" t="s">
        <v>132</v>
      </c>
      <c r="D2194">
        <v>8</v>
      </c>
      <c r="F2194" s="56"/>
    </row>
    <row r="2195" spans="1:6" ht="15">
      <c r="A2195" s="51">
        <v>1468890</v>
      </c>
      <c r="B2195" t="s">
        <v>1729</v>
      </c>
      <c r="C2195" s="39" t="s">
        <v>1985</v>
      </c>
      <c r="D2195" t="s">
        <v>4244</v>
      </c>
      <c r="F2195" s="56"/>
    </row>
    <row r="2196" spans="1:6" ht="15">
      <c r="A2196" s="51">
        <v>1468891</v>
      </c>
      <c r="B2196" t="s">
        <v>1731</v>
      </c>
      <c r="C2196" s="39" t="s">
        <v>1985</v>
      </c>
      <c r="D2196">
        <v>7</v>
      </c>
      <c r="F2196" s="56"/>
    </row>
    <row r="2197" spans="1:6" ht="15">
      <c r="A2197" s="51">
        <v>1468892</v>
      </c>
      <c r="B2197" t="s">
        <v>1732</v>
      </c>
      <c r="C2197" s="39" t="s">
        <v>1985</v>
      </c>
      <c r="D2197">
        <v>8</v>
      </c>
      <c r="F2197" s="56"/>
    </row>
    <row r="2198" spans="1:6" ht="15">
      <c r="A2198" s="51">
        <v>1468893</v>
      </c>
      <c r="B2198" t="s">
        <v>1986</v>
      </c>
      <c r="C2198" s="39" t="s">
        <v>1987</v>
      </c>
      <c r="D2198">
        <v>9</v>
      </c>
      <c r="F2198" s="56"/>
    </row>
    <row r="2199" spans="1:6" ht="15">
      <c r="A2199" s="51">
        <v>291311</v>
      </c>
      <c r="B2199" t="s">
        <v>1988</v>
      </c>
      <c r="C2199" s="39" t="s">
        <v>1730</v>
      </c>
      <c r="D2199">
        <v>8</v>
      </c>
      <c r="F2199" s="56"/>
    </row>
    <row r="2200" spans="1:6" ht="15">
      <c r="A2200" s="51">
        <v>1407450</v>
      </c>
      <c r="B2200" t="s">
        <v>1989</v>
      </c>
      <c r="C2200" s="39" t="s">
        <v>134</v>
      </c>
      <c r="D2200">
        <v>9</v>
      </c>
      <c r="F2200" s="56"/>
    </row>
    <row r="2201" spans="1:6" ht="15">
      <c r="A2201" s="51">
        <v>298175</v>
      </c>
      <c r="B2201" t="s">
        <v>1990</v>
      </c>
      <c r="C2201" s="39" t="s">
        <v>1396</v>
      </c>
      <c r="D2201">
        <v>8</v>
      </c>
      <c r="F2201" s="56"/>
    </row>
    <row r="2202" spans="1:6" ht="15">
      <c r="A2202" s="51">
        <v>298176</v>
      </c>
      <c r="B2202" t="s">
        <v>1991</v>
      </c>
      <c r="C2202" s="39" t="s">
        <v>1396</v>
      </c>
      <c r="D2202">
        <v>8</v>
      </c>
      <c r="F2202" s="56"/>
    </row>
    <row r="2203" spans="1:6" ht="15">
      <c r="A2203" s="51">
        <v>298195</v>
      </c>
      <c r="B2203" t="s">
        <v>1992</v>
      </c>
      <c r="C2203" s="39" t="s">
        <v>1396</v>
      </c>
      <c r="D2203">
        <v>8</v>
      </c>
      <c r="F2203" s="56"/>
    </row>
    <row r="2204" spans="1:6" ht="15">
      <c r="A2204" s="51">
        <v>1029562</v>
      </c>
      <c r="B2204" t="s">
        <v>1993</v>
      </c>
      <c r="C2204" s="39" t="s">
        <v>1396</v>
      </c>
      <c r="D2204">
        <v>9</v>
      </c>
      <c r="F2204" s="56"/>
    </row>
    <row r="2205" spans="1:6" ht="15">
      <c r="A2205" s="51">
        <v>1468804</v>
      </c>
      <c r="B2205" t="s">
        <v>364</v>
      </c>
      <c r="C2205" s="39" t="s">
        <v>1994</v>
      </c>
      <c r="D2205" t="s">
        <v>4244</v>
      </c>
      <c r="F2205" s="56"/>
    </row>
    <row r="2206" spans="1:6" ht="15">
      <c r="A2206" s="51">
        <v>1714415</v>
      </c>
      <c r="B2206" t="s">
        <v>1995</v>
      </c>
      <c r="C2206" s="39" t="s">
        <v>138</v>
      </c>
      <c r="D2206">
        <v>9</v>
      </c>
      <c r="F2206" s="56"/>
    </row>
    <row r="2207" spans="1:6" ht="15">
      <c r="A2207" s="51">
        <v>319241</v>
      </c>
      <c r="B2207" t="s">
        <v>1996</v>
      </c>
      <c r="C2207" s="39" t="s">
        <v>1536</v>
      </c>
      <c r="D2207" t="s">
        <v>4246</v>
      </c>
      <c r="F2207" s="56"/>
    </row>
    <row r="2208" spans="1:6" ht="15">
      <c r="A2208" s="51">
        <v>319242</v>
      </c>
      <c r="B2208" t="s">
        <v>1997</v>
      </c>
      <c r="C2208" s="39" t="s">
        <v>1536</v>
      </c>
      <c r="D2208" t="s">
        <v>4244</v>
      </c>
      <c r="F2208" s="56"/>
    </row>
    <row r="2209" spans="1:6" ht="15">
      <c r="A2209" s="51">
        <v>1714416</v>
      </c>
      <c r="B2209" t="s">
        <v>1998</v>
      </c>
      <c r="C2209" s="39" t="s">
        <v>1406</v>
      </c>
      <c r="D2209">
        <v>8</v>
      </c>
      <c r="F2209" s="56"/>
    </row>
    <row r="2210" spans="1:6" ht="15">
      <c r="A2210" s="51">
        <v>319293</v>
      </c>
      <c r="B2210" t="s">
        <v>1999</v>
      </c>
      <c r="C2210" s="39" t="s">
        <v>1412</v>
      </c>
      <c r="D2210" t="s">
        <v>4244</v>
      </c>
      <c r="F2210" s="56"/>
    </row>
    <row r="2211" spans="1:6" ht="15">
      <c r="A2211" s="51">
        <v>1468895</v>
      </c>
      <c r="B2211" t="s">
        <v>2000</v>
      </c>
      <c r="C2211" s="39" t="s">
        <v>157</v>
      </c>
      <c r="D2211" t="s">
        <v>1596</v>
      </c>
      <c r="F2211" s="56"/>
    </row>
    <row r="2212" spans="1:6" ht="15">
      <c r="A2212" s="51">
        <v>1468896</v>
      </c>
      <c r="B2212" t="s">
        <v>1649</v>
      </c>
      <c r="C2212" s="39" t="s">
        <v>157</v>
      </c>
      <c r="D2212" t="s">
        <v>471</v>
      </c>
      <c r="F2212" s="56"/>
    </row>
    <row r="2213" spans="1:6" ht="15">
      <c r="A2213" s="51">
        <v>1468897</v>
      </c>
      <c r="B2213" t="s">
        <v>2001</v>
      </c>
      <c r="C2213" s="39" t="s">
        <v>157</v>
      </c>
      <c r="D2213">
        <v>8</v>
      </c>
      <c r="F2213" s="56"/>
    </row>
    <row r="2214" spans="1:6" ht="15">
      <c r="A2214" s="51">
        <v>319206</v>
      </c>
      <c r="B2214" t="s">
        <v>2002</v>
      </c>
      <c r="C2214" s="39" t="s">
        <v>2003</v>
      </c>
      <c r="D2214" t="s">
        <v>4246</v>
      </c>
      <c r="F2214" s="56"/>
    </row>
    <row r="2215" spans="1:6" ht="15">
      <c r="A2215" s="51">
        <v>1468899</v>
      </c>
      <c r="B2215" t="s">
        <v>2004</v>
      </c>
      <c r="C2215" s="39" t="s">
        <v>157</v>
      </c>
      <c r="D2215" t="s">
        <v>468</v>
      </c>
      <c r="F2215" s="56"/>
    </row>
    <row r="2216" spans="1:6" ht="15">
      <c r="A2216" s="51">
        <v>1468900</v>
      </c>
      <c r="B2216" t="s">
        <v>1036</v>
      </c>
      <c r="C2216" s="39" t="s">
        <v>157</v>
      </c>
      <c r="D2216" t="s">
        <v>1596</v>
      </c>
      <c r="F2216" s="56"/>
    </row>
    <row r="2217" spans="1:6" ht="15">
      <c r="A2217" s="51">
        <v>319727</v>
      </c>
      <c r="B2217" t="s">
        <v>1446</v>
      </c>
      <c r="C2217" s="39" t="s">
        <v>2005</v>
      </c>
      <c r="D2217">
        <v>9</v>
      </c>
      <c r="F2217" s="56"/>
    </row>
    <row r="2218" spans="1:6" ht="15">
      <c r="A2218" s="51">
        <v>1468902</v>
      </c>
      <c r="B2218" t="s">
        <v>2006</v>
      </c>
      <c r="C2218" s="39" t="s">
        <v>157</v>
      </c>
      <c r="D2218" t="s">
        <v>471</v>
      </c>
      <c r="F2218" s="56"/>
    </row>
    <row r="2219" spans="1:6" ht="15">
      <c r="A2219" s="51">
        <v>1468903</v>
      </c>
      <c r="B2219" t="s">
        <v>2007</v>
      </c>
      <c r="C2219" s="39" t="s">
        <v>157</v>
      </c>
      <c r="D2219" t="s">
        <v>468</v>
      </c>
      <c r="F2219" s="56"/>
    </row>
    <row r="2220" spans="1:6" ht="15">
      <c r="A2220" s="51">
        <v>319273</v>
      </c>
      <c r="B2220" t="s">
        <v>152</v>
      </c>
      <c r="C2220" s="39" t="s">
        <v>1290</v>
      </c>
      <c r="D2220">
        <v>8</v>
      </c>
      <c r="F2220" s="56"/>
    </row>
    <row r="2221" spans="1:6" ht="15">
      <c r="A2221" s="51">
        <v>319274</v>
      </c>
      <c r="B2221" t="s">
        <v>153</v>
      </c>
      <c r="C2221" s="39" t="s">
        <v>1290</v>
      </c>
      <c r="D2221">
        <v>8</v>
      </c>
      <c r="F2221" s="56"/>
    </row>
    <row r="2222" spans="1:6" ht="15">
      <c r="A2222" s="51">
        <v>1029919</v>
      </c>
      <c r="B2222" t="s">
        <v>2008</v>
      </c>
      <c r="C2222" s="39" t="s">
        <v>1326</v>
      </c>
      <c r="D2222">
        <v>9</v>
      </c>
      <c r="F2222" s="56"/>
    </row>
    <row r="2223" spans="1:6" ht="15">
      <c r="A2223" s="51">
        <v>319235</v>
      </c>
      <c r="B2223" t="s">
        <v>1037</v>
      </c>
      <c r="C2223" s="39" t="s">
        <v>2009</v>
      </c>
      <c r="D2223">
        <v>8</v>
      </c>
      <c r="F2223" s="56"/>
    </row>
    <row r="2224" spans="1:6" ht="15">
      <c r="A2224" s="51">
        <v>1029920</v>
      </c>
      <c r="B2224" t="s">
        <v>2010</v>
      </c>
      <c r="C2224" s="39" t="s">
        <v>2009</v>
      </c>
      <c r="D2224">
        <v>9</v>
      </c>
      <c r="F2224" s="56"/>
    </row>
    <row r="2225" spans="1:6" ht="15">
      <c r="A2225" s="51">
        <v>319286</v>
      </c>
      <c r="B2225" t="s">
        <v>2011</v>
      </c>
      <c r="C2225" s="39" t="s">
        <v>1426</v>
      </c>
      <c r="D2225" t="s">
        <v>4246</v>
      </c>
      <c r="F2225" s="56"/>
    </row>
    <row r="2226" spans="1:6" ht="15">
      <c r="A2226" s="51">
        <v>319287</v>
      </c>
      <c r="B2226" t="s">
        <v>2012</v>
      </c>
      <c r="C2226" s="39" t="s">
        <v>1426</v>
      </c>
      <c r="D2226" t="s">
        <v>4243</v>
      </c>
      <c r="F2226" s="56"/>
    </row>
    <row r="2227" spans="1:6" ht="15">
      <c r="A2227" s="51">
        <v>319741</v>
      </c>
      <c r="B2227" t="s">
        <v>2013</v>
      </c>
      <c r="C2227" s="39" t="s">
        <v>1426</v>
      </c>
      <c r="D2227">
        <v>8</v>
      </c>
      <c r="F2227" s="56"/>
    </row>
    <row r="2228" spans="1:6" ht="15">
      <c r="A2228" s="51">
        <v>319742</v>
      </c>
      <c r="B2228" t="s">
        <v>2014</v>
      </c>
      <c r="C2228" s="39" t="s">
        <v>1426</v>
      </c>
      <c r="D2228">
        <v>8</v>
      </c>
      <c r="F2228" s="56"/>
    </row>
    <row r="2229" spans="1:6" ht="15">
      <c r="A2229" s="51">
        <v>319162</v>
      </c>
      <c r="B2229" t="s">
        <v>2015</v>
      </c>
      <c r="C2229" s="39" t="s">
        <v>2016</v>
      </c>
      <c r="D2229" t="s">
        <v>4244</v>
      </c>
      <c r="F2229" s="56"/>
    </row>
    <row r="2230" spans="1:6" ht="15">
      <c r="A2230" s="51">
        <v>319171</v>
      </c>
      <c r="B2230" t="s">
        <v>2017</v>
      </c>
      <c r="C2230" s="39" t="s">
        <v>2016</v>
      </c>
      <c r="D2230" t="s">
        <v>4244</v>
      </c>
      <c r="F2230" s="56"/>
    </row>
    <row r="2231" spans="1:6" ht="15">
      <c r="A2231" s="51">
        <v>1714417</v>
      </c>
      <c r="B2231" t="s">
        <v>2018</v>
      </c>
      <c r="C2231" s="39" t="s">
        <v>1758</v>
      </c>
      <c r="D2231">
        <v>8</v>
      </c>
      <c r="F2231" s="56"/>
    </row>
    <row r="2232" spans="1:6" ht="15">
      <c r="A2232" s="51">
        <v>1714418</v>
      </c>
      <c r="B2232" t="s">
        <v>2019</v>
      </c>
      <c r="C2232" s="39" t="s">
        <v>1431</v>
      </c>
      <c r="D2232" t="s">
        <v>4246</v>
      </c>
      <c r="F2232" s="56"/>
    </row>
    <row r="2233" spans="1:6" ht="15">
      <c r="A2233" s="51">
        <v>319295</v>
      </c>
      <c r="B2233" t="s">
        <v>2020</v>
      </c>
      <c r="C2233" s="39" t="s">
        <v>1312</v>
      </c>
      <c r="D2233">
        <v>8</v>
      </c>
      <c r="F2233" s="56"/>
    </row>
    <row r="2234" spans="1:6" ht="15">
      <c r="A2234" s="51">
        <v>1033035</v>
      </c>
      <c r="B2234" t="s">
        <v>2021</v>
      </c>
      <c r="C2234" s="39" t="s">
        <v>1312</v>
      </c>
      <c r="D2234">
        <v>9</v>
      </c>
      <c r="F2234" s="56"/>
    </row>
    <row r="2235" spans="1:6" ht="15">
      <c r="A2235" s="51">
        <v>319288</v>
      </c>
      <c r="B2235" t="s">
        <v>186</v>
      </c>
      <c r="C2235" s="39" t="s">
        <v>1439</v>
      </c>
      <c r="D2235" t="s">
        <v>4243</v>
      </c>
      <c r="F2235" s="56"/>
    </row>
    <row r="2236" spans="1:6" ht="15">
      <c r="A2236" s="51">
        <v>319743</v>
      </c>
      <c r="B2236" t="s">
        <v>395</v>
      </c>
      <c r="C2236" s="39" t="s">
        <v>1439</v>
      </c>
      <c r="D2236">
        <v>8</v>
      </c>
      <c r="F2236" s="56"/>
    </row>
    <row r="2237" spans="1:6" ht="15">
      <c r="A2237" s="51">
        <v>319243</v>
      </c>
      <c r="B2237" t="s">
        <v>2022</v>
      </c>
      <c r="C2237" s="39" t="s">
        <v>1442</v>
      </c>
      <c r="D2237" t="s">
        <v>4244</v>
      </c>
      <c r="F2237" s="56"/>
    </row>
    <row r="2238" spans="1:6" ht="15">
      <c r="A2238" s="51">
        <v>319244</v>
      </c>
      <c r="B2238" t="s">
        <v>188</v>
      </c>
      <c r="C2238" s="39" t="s">
        <v>1442</v>
      </c>
      <c r="D2238" t="s">
        <v>4244</v>
      </c>
      <c r="F2238" s="56"/>
    </row>
    <row r="2239" spans="1:6" ht="15">
      <c r="A2239" s="51">
        <v>1714419</v>
      </c>
      <c r="B2239" t="s">
        <v>2023</v>
      </c>
      <c r="C2239" s="39" t="s">
        <v>1444</v>
      </c>
      <c r="D2239">
        <v>8</v>
      </c>
      <c r="F2239" s="56"/>
    </row>
    <row r="2240" spans="1:6" ht="15">
      <c r="A2240" s="51">
        <v>319747</v>
      </c>
      <c r="B2240" t="s">
        <v>863</v>
      </c>
      <c r="C2240" s="39" t="s">
        <v>1284</v>
      </c>
      <c r="D2240" t="s">
        <v>4246</v>
      </c>
      <c r="F2240" s="56"/>
    </row>
    <row r="2241" spans="1:6" ht="15">
      <c r="A2241" s="51">
        <v>319748</v>
      </c>
      <c r="B2241" t="s">
        <v>864</v>
      </c>
      <c r="C2241" s="39" t="s">
        <v>1284</v>
      </c>
      <c r="D2241" t="s">
        <v>4244</v>
      </c>
      <c r="F2241" s="56"/>
    </row>
    <row r="2242" spans="1:6" ht="15">
      <c r="A2242" s="51">
        <v>298099</v>
      </c>
      <c r="B2242" t="s">
        <v>1664</v>
      </c>
      <c r="C2242" s="39" t="s">
        <v>1284</v>
      </c>
      <c r="D2242">
        <v>8</v>
      </c>
      <c r="F2242" s="56"/>
    </row>
    <row r="2243" spans="1:6" ht="15">
      <c r="A2243" s="51">
        <v>319270</v>
      </c>
      <c r="B2243" t="s">
        <v>1666</v>
      </c>
      <c r="C2243" s="39" t="s">
        <v>1284</v>
      </c>
      <c r="D2243">
        <v>8</v>
      </c>
      <c r="F2243" s="56"/>
    </row>
    <row r="2244" spans="1:6" ht="15">
      <c r="A2244" s="51">
        <v>319271</v>
      </c>
      <c r="B2244" t="s">
        <v>2024</v>
      </c>
      <c r="C2244" s="39" t="s">
        <v>1284</v>
      </c>
      <c r="D2244">
        <v>8</v>
      </c>
      <c r="F2244" s="56"/>
    </row>
    <row r="2245" spans="1:6" ht="15">
      <c r="A2245" s="51">
        <v>1033036</v>
      </c>
      <c r="B2245" t="s">
        <v>2025</v>
      </c>
      <c r="C2245" s="39" t="s">
        <v>1284</v>
      </c>
      <c r="D2245">
        <v>8</v>
      </c>
      <c r="F2245" s="56"/>
    </row>
    <row r="2246" spans="1:6" ht="15">
      <c r="A2246" s="51">
        <v>1033057</v>
      </c>
      <c r="B2246" t="s">
        <v>2026</v>
      </c>
      <c r="C2246" s="39" t="s">
        <v>2027</v>
      </c>
      <c r="D2246">
        <v>9</v>
      </c>
      <c r="F2246" s="56"/>
    </row>
    <row r="2247" spans="1:6" ht="15">
      <c r="A2247" s="51">
        <v>319267</v>
      </c>
      <c r="B2247" t="s">
        <v>868</v>
      </c>
      <c r="C2247" s="39" t="s">
        <v>1918</v>
      </c>
      <c r="D2247">
        <v>8</v>
      </c>
      <c r="F2247" s="56"/>
    </row>
    <row r="2248" spans="1:6" ht="15">
      <c r="A2248" s="51">
        <v>319268</v>
      </c>
      <c r="B2248" t="s">
        <v>870</v>
      </c>
      <c r="C2248" s="39" t="s">
        <v>1918</v>
      </c>
      <c r="D2248">
        <v>8</v>
      </c>
      <c r="F2248" s="56"/>
    </row>
    <row r="2249" spans="1:6" ht="15">
      <c r="A2249" s="51">
        <v>1033058</v>
      </c>
      <c r="B2249" t="s">
        <v>2028</v>
      </c>
      <c r="C2249" s="39" t="s">
        <v>1918</v>
      </c>
      <c r="D2249">
        <v>9</v>
      </c>
      <c r="F2249" s="56"/>
    </row>
    <row r="2250" spans="1:6" ht="15">
      <c r="A2250" s="51">
        <v>319264</v>
      </c>
      <c r="B2250" t="s">
        <v>1253</v>
      </c>
      <c r="C2250" s="39" t="s">
        <v>1449</v>
      </c>
      <c r="D2250" t="s">
        <v>4244</v>
      </c>
      <c r="F2250" s="56"/>
    </row>
    <row r="2251" spans="1:6" ht="15">
      <c r="A2251" s="51">
        <v>319728</v>
      </c>
      <c r="B2251" t="s">
        <v>875</v>
      </c>
      <c r="C2251" s="39" t="s">
        <v>2005</v>
      </c>
      <c r="D2251">
        <v>9</v>
      </c>
      <c r="F2251" s="56"/>
    </row>
    <row r="2252" spans="1:6" ht="15">
      <c r="A2252" s="51">
        <v>319734</v>
      </c>
      <c r="B2252" t="s">
        <v>2029</v>
      </c>
      <c r="C2252" s="39" t="s">
        <v>1316</v>
      </c>
      <c r="D2252">
        <v>8</v>
      </c>
      <c r="F2252" s="56"/>
    </row>
    <row r="2253" spans="1:6" ht="15">
      <c r="A2253" s="51">
        <v>319735</v>
      </c>
      <c r="B2253" t="s">
        <v>2030</v>
      </c>
      <c r="C2253" s="39" t="s">
        <v>1316</v>
      </c>
      <c r="D2253">
        <v>8</v>
      </c>
      <c r="F2253" s="56"/>
    </row>
    <row r="2254" spans="1:6" ht="15">
      <c r="A2254" s="51">
        <v>1714420</v>
      </c>
      <c r="B2254" t="s">
        <v>2031</v>
      </c>
      <c r="C2254" s="39" t="s">
        <v>2032</v>
      </c>
      <c r="D2254" t="s">
        <v>4243</v>
      </c>
      <c r="F2254" s="56"/>
    </row>
    <row r="2255" spans="1:6" ht="15">
      <c r="A2255" s="51">
        <v>319238</v>
      </c>
      <c r="B2255" t="s">
        <v>2033</v>
      </c>
      <c r="C2255" s="39" t="s">
        <v>2034</v>
      </c>
      <c r="D2255" t="s">
        <v>1595</v>
      </c>
      <c r="F2255" s="56"/>
    </row>
    <row r="2256" spans="1:6" ht="15">
      <c r="A2256" s="51">
        <v>319237</v>
      </c>
      <c r="B2256" t="s">
        <v>1454</v>
      </c>
      <c r="C2256" s="39" t="s">
        <v>2034</v>
      </c>
      <c r="D2256" t="s">
        <v>469</v>
      </c>
      <c r="F2256" s="56"/>
    </row>
    <row r="2257" spans="1:6" ht="15">
      <c r="A2257" s="51">
        <v>319239</v>
      </c>
      <c r="B2257" t="s">
        <v>2035</v>
      </c>
      <c r="C2257" s="39" t="s">
        <v>2034</v>
      </c>
      <c r="D2257" t="s">
        <v>471</v>
      </c>
      <c r="F2257" s="56"/>
    </row>
    <row r="2258" spans="1:6" ht="15">
      <c r="A2258" s="51">
        <v>319233</v>
      </c>
      <c r="B2258" t="s">
        <v>1191</v>
      </c>
      <c r="C2258" s="39" t="s">
        <v>561</v>
      </c>
      <c r="D2258" t="s">
        <v>4247</v>
      </c>
      <c r="F2258" s="56"/>
    </row>
    <row r="2259" spans="1:6" ht="15">
      <c r="A2259" s="51">
        <v>319234</v>
      </c>
      <c r="B2259" t="s">
        <v>1192</v>
      </c>
      <c r="C2259" s="39" t="s">
        <v>561</v>
      </c>
      <c r="D2259" t="s">
        <v>4247</v>
      </c>
      <c r="F2259" s="56"/>
    </row>
    <row r="2260" spans="1:6" ht="15">
      <c r="A2260" s="51">
        <v>319291</v>
      </c>
      <c r="B2260" t="s">
        <v>2036</v>
      </c>
      <c r="C2260" s="39" t="s">
        <v>1457</v>
      </c>
      <c r="D2260" t="s">
        <v>4244</v>
      </c>
      <c r="F2260" s="56"/>
    </row>
    <row r="2261" spans="1:6" ht="15">
      <c r="A2261" s="51">
        <v>1714421</v>
      </c>
      <c r="B2261" t="s">
        <v>2037</v>
      </c>
      <c r="C2261" s="39" t="s">
        <v>1573</v>
      </c>
      <c r="D2261" t="s">
        <v>4248</v>
      </c>
      <c r="F2261" s="56"/>
    </row>
    <row r="2262" spans="1:6" ht="15">
      <c r="A2262" s="51">
        <v>1714422</v>
      </c>
      <c r="B2262" t="s">
        <v>2038</v>
      </c>
      <c r="C2262" s="39" t="s">
        <v>2039</v>
      </c>
      <c r="D2262" t="s">
        <v>4248</v>
      </c>
      <c r="F2262" s="56"/>
    </row>
    <row r="2263" spans="1:6" ht="15">
      <c r="A2263" s="51">
        <v>1710629</v>
      </c>
      <c r="B2263" t="s">
        <v>1679</v>
      </c>
      <c r="C2263" s="39" t="s">
        <v>228</v>
      </c>
      <c r="D2263">
        <v>9</v>
      </c>
      <c r="F2263" s="56"/>
    </row>
    <row r="2264" spans="1:6" ht="15">
      <c r="A2264" s="51">
        <v>296106</v>
      </c>
      <c r="B2264" t="s">
        <v>2040</v>
      </c>
      <c r="C2264" s="39" t="s">
        <v>228</v>
      </c>
      <c r="D2264">
        <v>9</v>
      </c>
      <c r="F2264" s="56"/>
    </row>
    <row r="2265" spans="1:6" ht="15">
      <c r="A2265" s="51">
        <v>319306</v>
      </c>
      <c r="B2265" t="s">
        <v>1468</v>
      </c>
      <c r="C2265" s="39" t="s">
        <v>2041</v>
      </c>
      <c r="D2265" t="s">
        <v>4245</v>
      </c>
      <c r="F2265" s="56"/>
    </row>
    <row r="2266" spans="1:6" ht="15">
      <c r="A2266" s="51">
        <v>319307</v>
      </c>
      <c r="B2266" t="s">
        <v>2042</v>
      </c>
      <c r="C2266" s="39" t="s">
        <v>2041</v>
      </c>
      <c r="D2266" t="s">
        <v>4244</v>
      </c>
      <c r="F2266" s="56"/>
    </row>
    <row r="2267" spans="1:6" ht="15">
      <c r="A2267" s="51">
        <v>319308</v>
      </c>
      <c r="B2267" t="s">
        <v>2043</v>
      </c>
      <c r="C2267" s="39" t="s">
        <v>2041</v>
      </c>
      <c r="D2267" t="s">
        <v>4243</v>
      </c>
      <c r="F2267" s="56"/>
    </row>
    <row r="2268" spans="1:6" ht="15">
      <c r="A2268" s="51">
        <v>319309</v>
      </c>
      <c r="B2268" t="s">
        <v>2044</v>
      </c>
      <c r="C2268" s="39" t="s">
        <v>2041</v>
      </c>
      <c r="D2268">
        <v>8</v>
      </c>
      <c r="F2268" s="56"/>
    </row>
    <row r="2269" spans="1:6" ht="15">
      <c r="A2269" s="51">
        <v>1714423</v>
      </c>
      <c r="B2269" t="s">
        <v>2045</v>
      </c>
      <c r="C2269" s="39" t="s">
        <v>2046</v>
      </c>
      <c r="D2269">
        <v>7</v>
      </c>
      <c r="F2269" s="56"/>
    </row>
    <row r="2270" spans="1:6" ht="15">
      <c r="A2270" s="51">
        <v>319245</v>
      </c>
      <c r="B2270" t="s">
        <v>2047</v>
      </c>
      <c r="C2270" s="39" t="s">
        <v>2048</v>
      </c>
      <c r="D2270">
        <v>7</v>
      </c>
      <c r="F2270" s="56"/>
    </row>
    <row r="2271" spans="1:6" ht="15">
      <c r="A2271" s="51">
        <v>319246</v>
      </c>
      <c r="B2271" t="s">
        <v>2049</v>
      </c>
      <c r="C2271" s="39" t="s">
        <v>2048</v>
      </c>
      <c r="D2271">
        <v>7</v>
      </c>
      <c r="F2271" s="56"/>
    </row>
    <row r="2272" spans="1:6" ht="15">
      <c r="A2272" s="51">
        <v>319247</v>
      </c>
      <c r="B2272" t="s">
        <v>2050</v>
      </c>
      <c r="C2272" s="39" t="s">
        <v>2048</v>
      </c>
      <c r="D2272">
        <v>8</v>
      </c>
      <c r="F2272" s="56"/>
    </row>
    <row r="2273" spans="1:6" ht="15">
      <c r="A2273" s="51">
        <v>1033060</v>
      </c>
      <c r="B2273" t="s">
        <v>2051</v>
      </c>
      <c r="C2273" s="39" t="s">
        <v>2048</v>
      </c>
      <c r="D2273">
        <v>8</v>
      </c>
      <c r="F2273" s="56"/>
    </row>
    <row r="2274" spans="1:6" ht="15">
      <c r="A2274" s="51">
        <v>319279</v>
      </c>
      <c r="B2274" t="s">
        <v>2052</v>
      </c>
      <c r="C2274" s="39" t="s">
        <v>2053</v>
      </c>
      <c r="D2274" t="s">
        <v>4246</v>
      </c>
      <c r="F2274" s="56"/>
    </row>
    <row r="2275" spans="1:6" ht="15">
      <c r="A2275" s="51">
        <v>1714424</v>
      </c>
      <c r="B2275" t="s">
        <v>2054</v>
      </c>
      <c r="C2275" s="39" t="s">
        <v>2055</v>
      </c>
      <c r="D2275" t="s">
        <v>4245</v>
      </c>
      <c r="F2275" s="56"/>
    </row>
    <row r="2276" spans="1:6" ht="15">
      <c r="A2276" s="51">
        <v>319283</v>
      </c>
      <c r="B2276" t="s">
        <v>1475</v>
      </c>
      <c r="C2276" s="39" t="s">
        <v>2056</v>
      </c>
      <c r="D2276" t="s">
        <v>4245</v>
      </c>
      <c r="F2276" s="56"/>
    </row>
    <row r="2277" spans="1:6" ht="15">
      <c r="A2277" s="51">
        <v>319284</v>
      </c>
      <c r="B2277" t="s">
        <v>1476</v>
      </c>
      <c r="C2277" s="39" t="s">
        <v>2056</v>
      </c>
      <c r="D2277" t="s">
        <v>4244</v>
      </c>
      <c r="F2277" s="56"/>
    </row>
    <row r="2278" spans="1:6" ht="15">
      <c r="A2278" s="51">
        <v>319285</v>
      </c>
      <c r="B2278" t="s">
        <v>1577</v>
      </c>
      <c r="C2278" s="39" t="s">
        <v>2056</v>
      </c>
      <c r="D2278">
        <v>7</v>
      </c>
      <c r="F2278" s="56"/>
    </row>
    <row r="2279" spans="1:6" ht="15">
      <c r="A2279" s="51">
        <v>319739</v>
      </c>
      <c r="B2279" t="s">
        <v>1581</v>
      </c>
      <c r="C2279" s="39" t="s">
        <v>2056</v>
      </c>
      <c r="D2279">
        <v>8</v>
      </c>
      <c r="F2279" s="56"/>
    </row>
    <row r="2280" spans="1:6" ht="15">
      <c r="A2280" s="51">
        <v>319740</v>
      </c>
      <c r="B2280" t="s">
        <v>2057</v>
      </c>
      <c r="C2280" s="39" t="s">
        <v>2056</v>
      </c>
      <c r="D2280">
        <v>8</v>
      </c>
      <c r="F2280" s="56"/>
    </row>
    <row r="2281" spans="1:6" ht="15">
      <c r="A2281" s="51">
        <v>319744</v>
      </c>
      <c r="B2281" t="s">
        <v>1768</v>
      </c>
      <c r="C2281" s="39" t="s">
        <v>2058</v>
      </c>
      <c r="D2281">
        <v>8</v>
      </c>
      <c r="F2281" s="56"/>
    </row>
    <row r="2282" spans="1:6" ht="15">
      <c r="A2282" s="51">
        <v>319745</v>
      </c>
      <c r="B2282" t="s">
        <v>2059</v>
      </c>
      <c r="C2282" s="39" t="s">
        <v>2058</v>
      </c>
      <c r="D2282">
        <v>8</v>
      </c>
      <c r="F2282" s="56"/>
    </row>
    <row r="2283" spans="1:6" ht="15">
      <c r="A2283" s="51">
        <v>319289</v>
      </c>
      <c r="B2283" t="s">
        <v>2060</v>
      </c>
      <c r="C2283" s="39" t="s">
        <v>2058</v>
      </c>
      <c r="D2283" t="s">
        <v>4244</v>
      </c>
      <c r="F2283" s="56"/>
    </row>
    <row r="2284" spans="1:6" ht="15">
      <c r="A2284" s="51">
        <v>319290</v>
      </c>
      <c r="B2284" t="s">
        <v>2061</v>
      </c>
      <c r="C2284" s="39" t="s">
        <v>2058</v>
      </c>
      <c r="D2284">
        <v>7</v>
      </c>
      <c r="F2284" s="56"/>
    </row>
    <row r="2285" spans="1:6" ht="15">
      <c r="A2285" s="51">
        <v>319736</v>
      </c>
      <c r="B2285" t="s">
        <v>2062</v>
      </c>
      <c r="C2285" s="39" t="s">
        <v>1320</v>
      </c>
      <c r="D2285">
        <v>8</v>
      </c>
      <c r="F2285" s="56"/>
    </row>
    <row r="2286" spans="1:6" ht="15">
      <c r="A2286" s="51">
        <v>319737</v>
      </c>
      <c r="B2286" t="s">
        <v>2063</v>
      </c>
      <c r="C2286" s="39" t="s">
        <v>1320</v>
      </c>
      <c r="D2286">
        <v>8</v>
      </c>
      <c r="F2286" s="56"/>
    </row>
    <row r="2287" spans="1:6" ht="15">
      <c r="A2287" s="51">
        <v>1407451</v>
      </c>
      <c r="B2287" t="s">
        <v>2064</v>
      </c>
      <c r="C2287" s="39" t="s">
        <v>1320</v>
      </c>
      <c r="D2287">
        <v>9</v>
      </c>
      <c r="F2287" s="56"/>
    </row>
    <row r="2288" spans="1:6" ht="15">
      <c r="A2288" s="51">
        <v>1714437</v>
      </c>
      <c r="B2288" t="s">
        <v>1853</v>
      </c>
      <c r="C2288" s="39" t="s">
        <v>2065</v>
      </c>
      <c r="D2288">
        <v>7</v>
      </c>
      <c r="F2288" s="56"/>
    </row>
    <row r="2289" spans="1:6" ht="15">
      <c r="A2289" s="51">
        <v>1407454</v>
      </c>
      <c r="B2289" t="s">
        <v>2066</v>
      </c>
      <c r="C2289" s="39" t="s">
        <v>2067</v>
      </c>
      <c r="D2289">
        <v>9</v>
      </c>
      <c r="F2289" s="56"/>
    </row>
    <row r="2290" spans="1:6" ht="15">
      <c r="A2290" s="51">
        <v>319292</v>
      </c>
      <c r="B2290" t="s">
        <v>2068</v>
      </c>
      <c r="C2290" s="39" t="s">
        <v>1482</v>
      </c>
      <c r="D2290" t="s">
        <v>4244</v>
      </c>
      <c r="F2290" s="56"/>
    </row>
    <row r="2291" spans="1:6" ht="15">
      <c r="A2291" s="51">
        <v>1714425</v>
      </c>
      <c r="B2291" t="s">
        <v>2069</v>
      </c>
      <c r="C2291" s="39" t="s">
        <v>2070</v>
      </c>
      <c r="D2291" t="s">
        <v>4243</v>
      </c>
      <c r="F2291" s="56"/>
    </row>
    <row r="2292" spans="1:6" ht="15">
      <c r="A2292" s="51">
        <v>1714426</v>
      </c>
      <c r="B2292" t="s">
        <v>2071</v>
      </c>
      <c r="C2292" s="39" t="s">
        <v>2072</v>
      </c>
      <c r="D2292">
        <v>8</v>
      </c>
      <c r="F2292" s="56"/>
    </row>
    <row r="2293" spans="1:6" ht="15">
      <c r="A2293" s="51">
        <v>1714427</v>
      </c>
      <c r="B2293" t="s">
        <v>2073</v>
      </c>
      <c r="C2293" s="39" t="s">
        <v>2074</v>
      </c>
      <c r="D2293">
        <v>8</v>
      </c>
      <c r="F2293" s="56"/>
    </row>
    <row r="2294" spans="1:6" ht="15">
      <c r="A2294" s="51">
        <v>319746</v>
      </c>
      <c r="B2294" t="s">
        <v>1489</v>
      </c>
      <c r="C2294" s="39" t="s">
        <v>1495</v>
      </c>
      <c r="D2294" t="s">
        <v>4244</v>
      </c>
      <c r="F2294" s="56"/>
    </row>
    <row r="2295" spans="1:6" ht="15">
      <c r="A2295" s="51">
        <v>319272</v>
      </c>
      <c r="B2295" t="s">
        <v>2075</v>
      </c>
      <c r="C2295" s="39" t="s">
        <v>1501</v>
      </c>
      <c r="D2295">
        <v>8</v>
      </c>
      <c r="F2295" s="56"/>
    </row>
    <row r="2296" spans="1:6" ht="15">
      <c r="A2296" s="51">
        <v>319749</v>
      </c>
      <c r="B2296" t="s">
        <v>1492</v>
      </c>
      <c r="C2296" s="39" t="s">
        <v>1501</v>
      </c>
      <c r="D2296" t="s">
        <v>4244</v>
      </c>
      <c r="F2296" s="56"/>
    </row>
    <row r="2297" spans="1:6" ht="15">
      <c r="A2297" s="51">
        <v>319301</v>
      </c>
      <c r="B2297" t="s">
        <v>1494</v>
      </c>
      <c r="C2297" s="39" t="s">
        <v>1495</v>
      </c>
      <c r="D2297">
        <v>8</v>
      </c>
      <c r="F2297" s="56"/>
    </row>
    <row r="2298" spans="1:6" ht="15">
      <c r="A2298" s="51">
        <v>319302</v>
      </c>
      <c r="B2298" t="s">
        <v>2076</v>
      </c>
      <c r="C2298" s="39" t="s">
        <v>1495</v>
      </c>
      <c r="D2298">
        <v>8</v>
      </c>
      <c r="F2298" s="56"/>
    </row>
    <row r="2299" spans="1:6" ht="15">
      <c r="A2299" s="51">
        <v>319123</v>
      </c>
      <c r="B2299" t="s">
        <v>2077</v>
      </c>
      <c r="C2299" s="39" t="s">
        <v>428</v>
      </c>
      <c r="D2299" t="s">
        <v>4244</v>
      </c>
      <c r="F2299" s="56"/>
    </row>
    <row r="2300" spans="1:6" ht="15">
      <c r="A2300" s="51">
        <v>1714428</v>
      </c>
      <c r="B2300" t="s">
        <v>429</v>
      </c>
      <c r="C2300" s="39" t="s">
        <v>1589</v>
      </c>
      <c r="D2300">
        <v>7</v>
      </c>
      <c r="F2300" s="56"/>
    </row>
    <row r="2301" spans="1:6" ht="15">
      <c r="A2301" s="51">
        <v>1714429</v>
      </c>
      <c r="B2301" t="s">
        <v>2078</v>
      </c>
      <c r="C2301" s="39" t="s">
        <v>2079</v>
      </c>
      <c r="D2301">
        <v>8</v>
      </c>
      <c r="F2301" s="56"/>
    </row>
    <row r="2302" spans="1:6" ht="15">
      <c r="A2302" s="51">
        <v>1714430</v>
      </c>
      <c r="B2302" t="s">
        <v>2080</v>
      </c>
      <c r="C2302" s="39" t="s">
        <v>1484</v>
      </c>
      <c r="D2302">
        <v>8</v>
      </c>
      <c r="F2302" s="56"/>
    </row>
    <row r="2303" spans="1:6" ht="15">
      <c r="A2303" s="51">
        <v>1033914</v>
      </c>
      <c r="B2303" t="s">
        <v>2081</v>
      </c>
      <c r="C2303" s="39" t="s">
        <v>558</v>
      </c>
      <c r="D2303" t="s">
        <v>4244</v>
      </c>
      <c r="F2303" s="56"/>
    </row>
    <row r="2304" spans="1:6" ht="15">
      <c r="A2304" s="51">
        <v>319297</v>
      </c>
      <c r="B2304" t="s">
        <v>2082</v>
      </c>
      <c r="C2304" s="39" t="s">
        <v>1308</v>
      </c>
      <c r="D2304">
        <v>8</v>
      </c>
      <c r="F2304" s="56"/>
    </row>
    <row r="2305" spans="1:6" ht="15">
      <c r="A2305" s="51">
        <v>319298</v>
      </c>
      <c r="B2305" t="s">
        <v>883</v>
      </c>
      <c r="C2305" s="39" t="s">
        <v>1308</v>
      </c>
      <c r="D2305">
        <v>8</v>
      </c>
      <c r="F2305" s="56"/>
    </row>
    <row r="2306" spans="1:6" ht="15">
      <c r="A2306" s="51">
        <v>1407455</v>
      </c>
      <c r="B2306" t="s">
        <v>2083</v>
      </c>
      <c r="C2306" s="39" t="s">
        <v>1308</v>
      </c>
      <c r="D2306">
        <v>8</v>
      </c>
      <c r="F2306" s="56"/>
    </row>
    <row r="2307" spans="1:6" ht="15">
      <c r="A2307" s="51">
        <v>1715049</v>
      </c>
      <c r="B2307" t="s">
        <v>2084</v>
      </c>
      <c r="C2307" s="39" t="s">
        <v>258</v>
      </c>
      <c r="D2307">
        <v>9</v>
      </c>
      <c r="F2307" s="56"/>
    </row>
    <row r="2308" spans="1:6" ht="15">
      <c r="A2308" s="51">
        <v>1715050</v>
      </c>
      <c r="B2308" t="s">
        <v>2085</v>
      </c>
      <c r="C2308" s="39" t="s">
        <v>258</v>
      </c>
      <c r="D2308">
        <v>9</v>
      </c>
      <c r="F2308" s="56"/>
    </row>
    <row r="2309" spans="1:6" ht="15">
      <c r="A2309" s="51">
        <v>319125</v>
      </c>
      <c r="B2309" t="s">
        <v>2086</v>
      </c>
      <c r="C2309" s="39" t="s">
        <v>2087</v>
      </c>
      <c r="D2309" t="s">
        <v>4247</v>
      </c>
      <c r="F2309" s="56"/>
    </row>
    <row r="2310" spans="1:6" ht="15">
      <c r="A2310" s="51">
        <v>319126</v>
      </c>
      <c r="B2310" t="s">
        <v>2088</v>
      </c>
      <c r="C2310" s="39" t="s">
        <v>2087</v>
      </c>
      <c r="D2310" t="s">
        <v>4243</v>
      </c>
      <c r="F2310" s="56"/>
    </row>
    <row r="2311" spans="1:6" ht="15">
      <c r="A2311" s="51">
        <v>319127</v>
      </c>
      <c r="B2311" t="s">
        <v>2089</v>
      </c>
      <c r="C2311" s="39" t="s">
        <v>2087</v>
      </c>
      <c r="D2311">
        <v>7</v>
      </c>
      <c r="F2311" s="56"/>
    </row>
    <row r="2312" spans="1:6" ht="15">
      <c r="A2312" s="51">
        <v>319128</v>
      </c>
      <c r="B2312" t="s">
        <v>2090</v>
      </c>
      <c r="C2312" s="39" t="s">
        <v>2087</v>
      </c>
      <c r="D2312">
        <v>8</v>
      </c>
      <c r="F2312" s="56"/>
    </row>
    <row r="2313" spans="1:6" ht="15">
      <c r="A2313" s="51">
        <v>319294</v>
      </c>
      <c r="B2313" t="s">
        <v>277</v>
      </c>
      <c r="C2313" s="39" t="s">
        <v>2091</v>
      </c>
      <c r="D2313">
        <v>7</v>
      </c>
      <c r="F2313" s="56"/>
    </row>
    <row r="2314" spans="1:6" ht="15">
      <c r="A2314" s="51">
        <v>1714432</v>
      </c>
      <c r="B2314" t="s">
        <v>1231</v>
      </c>
      <c r="C2314" s="39" t="s">
        <v>2092</v>
      </c>
      <c r="D2314" t="s">
        <v>4243</v>
      </c>
      <c r="F2314" s="56"/>
    </row>
    <row r="2315" spans="1:6" ht="15">
      <c r="A2315" s="51">
        <v>319729</v>
      </c>
      <c r="B2315" t="s">
        <v>2093</v>
      </c>
      <c r="C2315" s="39" t="s">
        <v>2094</v>
      </c>
      <c r="D2315" t="s">
        <v>4244</v>
      </c>
      <c r="F2315" s="56"/>
    </row>
    <row r="2316" spans="1:6" ht="15">
      <c r="A2316" s="51">
        <v>319730</v>
      </c>
      <c r="B2316" t="s">
        <v>2095</v>
      </c>
      <c r="C2316" s="39" t="s">
        <v>2094</v>
      </c>
      <c r="D2316" t="s">
        <v>4244</v>
      </c>
      <c r="F2316" s="56"/>
    </row>
    <row r="2317" spans="1:6" ht="15">
      <c r="A2317" s="51">
        <v>319731</v>
      </c>
      <c r="B2317" t="s">
        <v>460</v>
      </c>
      <c r="C2317" s="39" t="s">
        <v>2094</v>
      </c>
      <c r="D2317">
        <v>7</v>
      </c>
      <c r="F2317" s="56"/>
    </row>
    <row r="2318" spans="1:6" ht="15">
      <c r="A2318" s="51">
        <v>319732</v>
      </c>
      <c r="B2318" t="s">
        <v>2096</v>
      </c>
      <c r="C2318" s="39" t="s">
        <v>2094</v>
      </c>
      <c r="D2318">
        <v>7</v>
      </c>
      <c r="F2318" s="56"/>
    </row>
    <row r="2319" spans="1:6" ht="15">
      <c r="A2319" s="51">
        <v>319733</v>
      </c>
      <c r="B2319" t="s">
        <v>2097</v>
      </c>
      <c r="C2319" s="39" t="s">
        <v>2094</v>
      </c>
      <c r="D2319">
        <v>9</v>
      </c>
      <c r="F2319" s="56"/>
    </row>
    <row r="2320" spans="1:6" ht="15">
      <c r="A2320" s="51">
        <v>1714433</v>
      </c>
      <c r="B2320" t="s">
        <v>2098</v>
      </c>
      <c r="C2320" s="39" t="s">
        <v>1521</v>
      </c>
      <c r="D2320" t="s">
        <v>4243</v>
      </c>
      <c r="F2320" s="56"/>
    </row>
    <row r="2321" spans="1:6" ht="15">
      <c r="A2321" s="51">
        <v>2516840</v>
      </c>
      <c r="B2321" t="s">
        <v>1266</v>
      </c>
      <c r="C2321" s="39" t="s">
        <v>1267</v>
      </c>
      <c r="D2321">
        <v>7</v>
      </c>
      <c r="F2321" s="56"/>
    </row>
    <row r="2322" spans="1:6" ht="15">
      <c r="A2322" s="51">
        <v>2521655</v>
      </c>
      <c r="B2322" t="s">
        <v>1895</v>
      </c>
      <c r="C2322" s="39" t="s">
        <v>1896</v>
      </c>
      <c r="D2322">
        <v>9</v>
      </c>
      <c r="F2322" s="56"/>
    </row>
    <row r="2323" spans="1:6" ht="15">
      <c r="A2323" s="51">
        <v>2521635</v>
      </c>
      <c r="B2323">
        <v>17</v>
      </c>
      <c r="C2323" s="39" t="s">
        <v>2099</v>
      </c>
      <c r="D2323">
        <v>8</v>
      </c>
      <c r="F2323" s="56"/>
    </row>
    <row r="2324" spans="1:6" ht="15">
      <c r="A2324" s="51">
        <v>2679497</v>
      </c>
      <c r="B2324">
        <v>21</v>
      </c>
      <c r="C2324" s="39" t="s">
        <v>2100</v>
      </c>
      <c r="D2324">
        <v>9</v>
      </c>
      <c r="F2324" s="56"/>
    </row>
    <row r="2325" spans="1:6" ht="15">
      <c r="A2325" s="51">
        <v>2521658</v>
      </c>
      <c r="B2325" t="s">
        <v>524</v>
      </c>
      <c r="C2325" s="39" t="s">
        <v>2101</v>
      </c>
      <c r="D2325">
        <v>9</v>
      </c>
      <c r="F2325" s="56"/>
    </row>
    <row r="2326" spans="1:6" ht="15">
      <c r="A2326" s="51">
        <v>2521660</v>
      </c>
      <c r="B2326" t="s">
        <v>530</v>
      </c>
      <c r="C2326" s="39" t="s">
        <v>2102</v>
      </c>
      <c r="D2326">
        <v>8</v>
      </c>
      <c r="F2326" s="56"/>
    </row>
    <row r="2327" spans="1:6" ht="15">
      <c r="A2327" s="51">
        <v>2516841</v>
      </c>
      <c r="B2327" t="s">
        <v>1898</v>
      </c>
      <c r="C2327" s="39" t="s">
        <v>1899</v>
      </c>
      <c r="D2327" t="s">
        <v>4249</v>
      </c>
      <c r="F2327" s="56"/>
    </row>
    <row r="2328" spans="1:6" ht="15">
      <c r="A2328" s="51">
        <v>1913208</v>
      </c>
      <c r="B2328" t="s">
        <v>1270</v>
      </c>
      <c r="C2328" s="39" t="s">
        <v>1271</v>
      </c>
      <c r="D2328">
        <v>8</v>
      </c>
      <c r="F2328" s="56"/>
    </row>
    <row r="2329" spans="1:6" ht="15">
      <c r="A2329" s="51">
        <v>2232043</v>
      </c>
      <c r="B2329" t="s">
        <v>2103</v>
      </c>
      <c r="C2329" s="39" t="s">
        <v>2104</v>
      </c>
      <c r="D2329">
        <v>9</v>
      </c>
      <c r="F2329" s="56"/>
    </row>
    <row r="2330" spans="1:6" ht="15">
      <c r="A2330" s="51">
        <v>2521636</v>
      </c>
      <c r="B2330" t="s">
        <v>2105</v>
      </c>
      <c r="C2330" s="39" t="s">
        <v>2106</v>
      </c>
      <c r="D2330" t="s">
        <v>4249</v>
      </c>
      <c r="F2330" s="56"/>
    </row>
    <row r="2331" spans="1:6" ht="15">
      <c r="A2331" s="51">
        <v>2427908</v>
      </c>
      <c r="B2331" t="s">
        <v>1903</v>
      </c>
      <c r="C2331" s="39" t="s">
        <v>1904</v>
      </c>
      <c r="D2331">
        <v>8</v>
      </c>
      <c r="F2331" s="56"/>
    </row>
    <row r="2332" spans="1:6" ht="15">
      <c r="A2332" s="51">
        <v>2516312</v>
      </c>
      <c r="B2332" t="s">
        <v>1905</v>
      </c>
      <c r="C2332" s="39" t="s">
        <v>1338</v>
      </c>
      <c r="D2332" t="s">
        <v>4244</v>
      </c>
      <c r="F2332" s="56"/>
    </row>
    <row r="2333" spans="1:6" ht="15">
      <c r="A2333" s="51">
        <v>2516819</v>
      </c>
      <c r="B2333" t="s">
        <v>1906</v>
      </c>
      <c r="C2333" s="39" t="s">
        <v>1338</v>
      </c>
      <c r="D2333" t="s">
        <v>4244</v>
      </c>
      <c r="F2333" s="56"/>
    </row>
    <row r="2334" spans="1:6" ht="15">
      <c r="A2334" s="51">
        <v>2516822</v>
      </c>
      <c r="B2334" t="s">
        <v>1907</v>
      </c>
      <c r="C2334" s="39" t="s">
        <v>1338</v>
      </c>
      <c r="D2334">
        <v>8</v>
      </c>
      <c r="F2334" s="56"/>
    </row>
    <row r="2335" spans="1:6" ht="15">
      <c r="A2335" s="51">
        <v>2516823</v>
      </c>
      <c r="B2335" t="s">
        <v>1908</v>
      </c>
      <c r="C2335" s="39" t="s">
        <v>1338</v>
      </c>
      <c r="D2335">
        <v>9</v>
      </c>
      <c r="F2335" s="56"/>
    </row>
    <row r="2336" spans="1:6" ht="15">
      <c r="A2336" s="51">
        <v>1913203</v>
      </c>
      <c r="B2336" t="s">
        <v>2107</v>
      </c>
      <c r="C2336" s="39" t="s">
        <v>2108</v>
      </c>
      <c r="D2336" t="s">
        <v>4247</v>
      </c>
      <c r="F2336" s="56"/>
    </row>
    <row r="2337" spans="1:6" ht="15">
      <c r="A2337" s="51">
        <v>1913202</v>
      </c>
      <c r="B2337" t="s">
        <v>1909</v>
      </c>
      <c r="C2337" s="39" t="s">
        <v>1910</v>
      </c>
      <c r="D2337" t="s">
        <v>4247</v>
      </c>
      <c r="F2337" s="56"/>
    </row>
    <row r="2338" spans="1:6" ht="15">
      <c r="A2338" s="51">
        <v>2516843</v>
      </c>
      <c r="B2338" t="s">
        <v>1911</v>
      </c>
      <c r="C2338" s="39" t="s">
        <v>1912</v>
      </c>
      <c r="D2338">
        <v>8</v>
      </c>
      <c r="F2338" s="56"/>
    </row>
    <row r="2339" spans="1:6" ht="15">
      <c r="A2339" s="51">
        <v>1913218</v>
      </c>
      <c r="B2339" t="s">
        <v>1913</v>
      </c>
      <c r="C2339" s="39" t="s">
        <v>1274</v>
      </c>
      <c r="D2339" t="s">
        <v>4244</v>
      </c>
      <c r="F2339" s="56"/>
    </row>
    <row r="2340" spans="1:6" ht="15">
      <c r="A2340" s="51">
        <v>1913217</v>
      </c>
      <c r="B2340" t="s">
        <v>1273</v>
      </c>
      <c r="C2340" s="39" t="s">
        <v>1274</v>
      </c>
      <c r="D2340">
        <v>7</v>
      </c>
      <c r="F2340" s="56"/>
    </row>
    <row r="2341" spans="1:6" ht="15">
      <c r="A2341" s="51">
        <v>1913216</v>
      </c>
      <c r="B2341" t="s">
        <v>1914</v>
      </c>
      <c r="C2341" s="39" t="s">
        <v>1274</v>
      </c>
      <c r="D2341">
        <v>8</v>
      </c>
      <c r="F2341" s="56"/>
    </row>
    <row r="2342" spans="1:6" ht="15">
      <c r="A2342" s="51">
        <v>1913215</v>
      </c>
      <c r="B2342" t="s">
        <v>1275</v>
      </c>
      <c r="C2342" s="39" t="s">
        <v>1274</v>
      </c>
      <c r="D2342">
        <v>8</v>
      </c>
      <c r="F2342" s="56"/>
    </row>
    <row r="2343" spans="1:6" ht="15">
      <c r="A2343" s="51">
        <v>1913214</v>
      </c>
      <c r="B2343" t="s">
        <v>2109</v>
      </c>
      <c r="C2343" s="39" t="s">
        <v>2110</v>
      </c>
      <c r="D2343" t="s">
        <v>4243</v>
      </c>
      <c r="F2343" s="56"/>
    </row>
    <row r="2344" spans="1:6" ht="15">
      <c r="A2344" s="51">
        <v>2517672</v>
      </c>
      <c r="B2344" t="s">
        <v>2111</v>
      </c>
      <c r="C2344" s="39" t="s">
        <v>2110</v>
      </c>
      <c r="D2344">
        <v>8</v>
      </c>
      <c r="F2344" s="56"/>
    </row>
    <row r="2345" spans="1:6" ht="15">
      <c r="B2345" t="s">
        <v>2112</v>
      </c>
      <c r="C2345" s="39" t="s">
        <v>2113</v>
      </c>
      <c r="D2345">
        <v>8</v>
      </c>
      <c r="F2345" s="56"/>
    </row>
    <row r="2346" spans="1:6" ht="15">
      <c r="A2346" s="51">
        <v>2679499</v>
      </c>
      <c r="B2346" t="s">
        <v>2114</v>
      </c>
      <c r="C2346" s="39" t="s">
        <v>2113</v>
      </c>
      <c r="D2346">
        <v>8</v>
      </c>
      <c r="F2346" s="56"/>
    </row>
    <row r="2347" spans="1:6" ht="15">
      <c r="A2347" s="51">
        <v>2521639</v>
      </c>
      <c r="B2347" t="s">
        <v>2115</v>
      </c>
      <c r="C2347" s="39" t="s">
        <v>2116</v>
      </c>
      <c r="D2347">
        <v>8</v>
      </c>
      <c r="F2347" s="56"/>
    </row>
    <row r="2348" spans="1:6" ht="15">
      <c r="A2348" s="51">
        <v>1912928</v>
      </c>
      <c r="B2348" t="s">
        <v>2117</v>
      </c>
      <c r="C2348" s="39" t="s">
        <v>2118</v>
      </c>
      <c r="D2348" t="s">
        <v>4247</v>
      </c>
      <c r="F2348" s="56"/>
    </row>
    <row r="2349" spans="1:6" ht="15">
      <c r="A2349" s="51">
        <v>1912923</v>
      </c>
      <c r="B2349" t="s">
        <v>1276</v>
      </c>
      <c r="C2349" s="39" t="s">
        <v>1277</v>
      </c>
      <c r="D2349">
        <v>8</v>
      </c>
      <c r="F2349" s="56"/>
    </row>
    <row r="2350" spans="1:6" ht="15">
      <c r="B2350" t="s">
        <v>2119</v>
      </c>
      <c r="C2350" s="39" t="s">
        <v>1277</v>
      </c>
      <c r="D2350">
        <v>8</v>
      </c>
      <c r="F2350" s="56"/>
    </row>
    <row r="2351" spans="1:6" ht="15">
      <c r="A2351" s="51">
        <v>1912925</v>
      </c>
      <c r="B2351" t="s">
        <v>2120</v>
      </c>
      <c r="C2351" s="39" t="s">
        <v>2121</v>
      </c>
      <c r="D2351">
        <v>8</v>
      </c>
      <c r="F2351" s="56"/>
    </row>
    <row r="2352" spans="1:6" ht="15">
      <c r="A2352" s="51">
        <v>1913228</v>
      </c>
      <c r="B2352" t="s">
        <v>2122</v>
      </c>
      <c r="C2352" s="39" t="s">
        <v>1388</v>
      </c>
      <c r="D2352" t="s">
        <v>4247</v>
      </c>
      <c r="F2352" s="56"/>
    </row>
    <row r="2353" spans="1:6" ht="15">
      <c r="A2353" s="51">
        <v>1912942</v>
      </c>
      <c r="B2353" t="s">
        <v>2123</v>
      </c>
      <c r="C2353" s="39" t="s">
        <v>2124</v>
      </c>
      <c r="D2353">
        <v>8</v>
      </c>
      <c r="F2353" s="56"/>
    </row>
    <row r="2354" spans="1:6" ht="15">
      <c r="A2354" s="51">
        <v>2376460</v>
      </c>
      <c r="B2354" t="s">
        <v>2125</v>
      </c>
      <c r="C2354" s="39" t="s">
        <v>2126</v>
      </c>
      <c r="D2354">
        <v>9</v>
      </c>
      <c r="F2354" s="56"/>
    </row>
    <row r="2355" spans="1:6" ht="15">
      <c r="A2355" s="51">
        <v>2376462</v>
      </c>
      <c r="B2355" t="s">
        <v>2127</v>
      </c>
      <c r="C2355" s="39" t="s">
        <v>2128</v>
      </c>
      <c r="D2355">
        <v>9</v>
      </c>
      <c r="F2355" s="56"/>
    </row>
    <row r="2356" spans="1:6" ht="15">
      <c r="A2356" s="51">
        <v>2521624</v>
      </c>
      <c r="B2356" t="s">
        <v>2129</v>
      </c>
      <c r="C2356" s="39" t="s">
        <v>2130</v>
      </c>
      <c r="D2356">
        <v>8</v>
      </c>
      <c r="F2356" s="56"/>
    </row>
    <row r="2357" spans="1:6" ht="15">
      <c r="A2357" s="51">
        <v>2521625</v>
      </c>
      <c r="B2357" t="s">
        <v>2131</v>
      </c>
      <c r="C2357" s="39" t="s">
        <v>2132</v>
      </c>
      <c r="D2357">
        <v>8</v>
      </c>
      <c r="F2357" s="56"/>
    </row>
    <row r="2358" spans="1:6" ht="15">
      <c r="A2358" s="51">
        <v>1913234</v>
      </c>
      <c r="B2358" t="s">
        <v>1915</v>
      </c>
      <c r="C2358" s="39" t="s">
        <v>1916</v>
      </c>
      <c r="D2358">
        <v>8</v>
      </c>
      <c r="F2358" s="56"/>
    </row>
    <row r="2359" spans="1:6" ht="15">
      <c r="A2359" s="51">
        <v>1912950</v>
      </c>
      <c r="B2359" t="s">
        <v>1278</v>
      </c>
      <c r="C2359" s="39" t="s">
        <v>1279</v>
      </c>
      <c r="D2359">
        <v>8</v>
      </c>
      <c r="F2359" s="56"/>
    </row>
    <row r="2360" spans="1:6" ht="15">
      <c r="A2360" s="51">
        <v>1913233</v>
      </c>
      <c r="B2360" t="s">
        <v>1917</v>
      </c>
      <c r="C2360" s="39" t="s">
        <v>1279</v>
      </c>
      <c r="D2360">
        <v>8</v>
      </c>
      <c r="F2360" s="56"/>
    </row>
    <row r="2361" spans="1:6" ht="15">
      <c r="A2361" s="51">
        <v>1913231</v>
      </c>
      <c r="B2361" t="s">
        <v>1280</v>
      </c>
      <c r="C2361" s="39" t="s">
        <v>2133</v>
      </c>
      <c r="D2361">
        <v>8</v>
      </c>
      <c r="F2361" s="56"/>
    </row>
    <row r="2362" spans="1:6" ht="15">
      <c r="A2362" s="51">
        <v>1912929</v>
      </c>
      <c r="B2362" t="s">
        <v>1282</v>
      </c>
      <c r="C2362" s="39" t="s">
        <v>1918</v>
      </c>
      <c r="D2362">
        <v>8</v>
      </c>
      <c r="F2362" s="56"/>
    </row>
    <row r="2363" spans="1:6" ht="15">
      <c r="A2363" s="51">
        <v>1913230</v>
      </c>
      <c r="B2363" t="s">
        <v>2134</v>
      </c>
      <c r="C2363" s="39" t="s">
        <v>1918</v>
      </c>
      <c r="D2363">
        <v>9</v>
      </c>
      <c r="F2363" s="56"/>
    </row>
    <row r="2364" spans="1:6" ht="15">
      <c r="A2364" s="51">
        <v>2517637</v>
      </c>
      <c r="B2364" t="s">
        <v>1283</v>
      </c>
      <c r="C2364" s="39" t="s">
        <v>1284</v>
      </c>
      <c r="D2364">
        <v>8</v>
      </c>
      <c r="F2364" s="56"/>
    </row>
    <row r="2365" spans="1:6" ht="15">
      <c r="A2365" s="51">
        <v>2517638</v>
      </c>
      <c r="B2365" t="s">
        <v>1919</v>
      </c>
      <c r="C2365" s="39" t="s">
        <v>1284</v>
      </c>
      <c r="D2365">
        <v>8</v>
      </c>
      <c r="F2365" s="56"/>
    </row>
    <row r="2366" spans="1:6" ht="15">
      <c r="A2366" s="51">
        <v>1913235</v>
      </c>
      <c r="B2366" t="s">
        <v>1285</v>
      </c>
      <c r="C2366" s="39" t="s">
        <v>1286</v>
      </c>
      <c r="D2366">
        <v>9</v>
      </c>
      <c r="F2366" s="56"/>
    </row>
    <row r="2367" spans="1:6" ht="15">
      <c r="A2367" s="51">
        <v>1912931</v>
      </c>
      <c r="B2367" t="s">
        <v>1287</v>
      </c>
      <c r="C2367" s="39" t="s">
        <v>1288</v>
      </c>
      <c r="D2367">
        <v>8</v>
      </c>
      <c r="F2367" s="56"/>
    </row>
    <row r="2368" spans="1:6" ht="15">
      <c r="A2368" s="51">
        <v>1913244</v>
      </c>
      <c r="B2368" t="s">
        <v>1920</v>
      </c>
      <c r="C2368" s="39" t="s">
        <v>1921</v>
      </c>
      <c r="D2368">
        <v>8</v>
      </c>
      <c r="F2368" s="56"/>
    </row>
    <row r="2369" spans="1:6" ht="15">
      <c r="A2369" s="51">
        <v>1913243</v>
      </c>
      <c r="B2369" t="s">
        <v>1922</v>
      </c>
      <c r="C2369" s="39" t="s">
        <v>1921</v>
      </c>
      <c r="D2369">
        <v>8</v>
      </c>
      <c r="F2369" s="56"/>
    </row>
    <row r="2370" spans="1:6" ht="15">
      <c r="A2370" s="51">
        <v>1913242</v>
      </c>
      <c r="B2370" t="s">
        <v>1289</v>
      </c>
      <c r="C2370" s="39" t="s">
        <v>1290</v>
      </c>
      <c r="D2370">
        <v>8</v>
      </c>
      <c r="F2370" s="56"/>
    </row>
    <row r="2371" spans="1:6" ht="15">
      <c r="A2371" s="51">
        <v>1913241</v>
      </c>
      <c r="B2371" t="s">
        <v>1291</v>
      </c>
      <c r="C2371" s="39" t="s">
        <v>1290</v>
      </c>
      <c r="D2371">
        <v>8</v>
      </c>
      <c r="F2371" s="56"/>
    </row>
    <row r="2372" spans="1:6" ht="15">
      <c r="A2372" s="51">
        <v>1913249</v>
      </c>
      <c r="B2372" t="s">
        <v>1924</v>
      </c>
      <c r="C2372" s="39" t="s">
        <v>1925</v>
      </c>
      <c r="D2372">
        <v>8</v>
      </c>
      <c r="F2372" s="56"/>
    </row>
    <row r="2373" spans="1:6" ht="15">
      <c r="A2373" s="51">
        <v>2521653</v>
      </c>
      <c r="B2373" t="s">
        <v>2135</v>
      </c>
      <c r="C2373" s="39" t="s">
        <v>2136</v>
      </c>
      <c r="D2373">
        <v>8</v>
      </c>
      <c r="F2373" s="56"/>
    </row>
    <row r="2374" spans="1:6" ht="15">
      <c r="A2374" s="51">
        <v>2521661</v>
      </c>
      <c r="B2374" t="s">
        <v>2137</v>
      </c>
      <c r="C2374" s="39" t="s">
        <v>2138</v>
      </c>
      <c r="D2374">
        <v>8</v>
      </c>
      <c r="F2374" s="56"/>
    </row>
    <row r="2375" spans="1:6" ht="15">
      <c r="A2375" s="51">
        <v>2516824</v>
      </c>
      <c r="B2375" t="s">
        <v>1294</v>
      </c>
      <c r="C2375" s="39" t="s">
        <v>1295</v>
      </c>
      <c r="D2375">
        <v>9</v>
      </c>
      <c r="F2375" s="56"/>
    </row>
    <row r="2376" spans="1:6" ht="15">
      <c r="B2376" t="s">
        <v>2139</v>
      </c>
      <c r="C2376" s="39" t="s">
        <v>2140</v>
      </c>
      <c r="D2376">
        <v>9</v>
      </c>
      <c r="F2376" s="56"/>
    </row>
    <row r="2377" spans="1:6" ht="15">
      <c r="A2377" s="51">
        <v>2521642</v>
      </c>
      <c r="B2377" t="s">
        <v>2141</v>
      </c>
      <c r="C2377" s="39" t="s">
        <v>2142</v>
      </c>
      <c r="D2377">
        <v>9</v>
      </c>
      <c r="F2377" s="56"/>
    </row>
    <row r="2378" spans="1:6" ht="15">
      <c r="A2378" s="51">
        <v>1912955</v>
      </c>
      <c r="B2378" t="s">
        <v>1296</v>
      </c>
      <c r="C2378" s="39" t="s">
        <v>1297</v>
      </c>
      <c r="D2378">
        <v>9</v>
      </c>
      <c r="F2378" s="56"/>
    </row>
    <row r="2379" spans="1:6" ht="15">
      <c r="A2379" s="51">
        <v>3108030</v>
      </c>
      <c r="B2379" t="s">
        <v>1298</v>
      </c>
      <c r="C2379" s="39" t="s">
        <v>1299</v>
      </c>
      <c r="D2379">
        <v>8</v>
      </c>
      <c r="F2379" s="56"/>
    </row>
    <row r="2380" spans="1:6" ht="15">
      <c r="A2380" s="51">
        <v>1913245</v>
      </c>
      <c r="B2380" t="s">
        <v>1926</v>
      </c>
      <c r="C2380" s="39" t="s">
        <v>1299</v>
      </c>
      <c r="D2380">
        <v>9</v>
      </c>
      <c r="F2380" s="56"/>
    </row>
    <row r="2381" spans="1:6" ht="15">
      <c r="A2381" s="51">
        <v>2516826</v>
      </c>
      <c r="B2381" t="s">
        <v>1300</v>
      </c>
      <c r="C2381" s="39" t="s">
        <v>1301</v>
      </c>
      <c r="D2381">
        <v>8</v>
      </c>
      <c r="F2381" s="56"/>
    </row>
    <row r="2382" spans="1:6" ht="15">
      <c r="A2382" s="51">
        <v>2427923</v>
      </c>
      <c r="B2382" t="s">
        <v>1302</v>
      </c>
      <c r="C2382" s="39" t="s">
        <v>1301</v>
      </c>
      <c r="D2382">
        <v>8</v>
      </c>
      <c r="F2382" s="56"/>
    </row>
    <row r="2383" spans="1:6" ht="15">
      <c r="A2383" s="51">
        <v>1912957</v>
      </c>
      <c r="B2383" t="s">
        <v>1927</v>
      </c>
      <c r="C2383" s="39" t="s">
        <v>1301</v>
      </c>
      <c r="D2383">
        <v>9</v>
      </c>
      <c r="F2383" s="56"/>
    </row>
    <row r="2384" spans="1:6" ht="15">
      <c r="A2384" s="51">
        <v>3108033</v>
      </c>
      <c r="B2384" t="s">
        <v>1303</v>
      </c>
      <c r="C2384" s="39" t="s">
        <v>1304</v>
      </c>
      <c r="D2384">
        <v>8</v>
      </c>
      <c r="F2384" s="56"/>
    </row>
    <row r="2385" spans="1:6" ht="15">
      <c r="A2385" s="51">
        <v>2517648</v>
      </c>
      <c r="B2385" t="s">
        <v>1305</v>
      </c>
      <c r="C2385" s="39" t="s">
        <v>1306</v>
      </c>
      <c r="D2385">
        <v>8</v>
      </c>
      <c r="F2385" s="56"/>
    </row>
    <row r="2386" spans="1:6" ht="15">
      <c r="A2386" s="51">
        <v>2677565</v>
      </c>
      <c r="B2386" t="s">
        <v>2143</v>
      </c>
      <c r="C2386" s="39" t="s">
        <v>2144</v>
      </c>
      <c r="D2386">
        <v>9</v>
      </c>
      <c r="F2386" s="56"/>
    </row>
    <row r="2387" spans="1:6" ht="15">
      <c r="A2387" s="51">
        <v>1913251</v>
      </c>
      <c r="B2387" t="s">
        <v>2145</v>
      </c>
      <c r="C2387" s="39" t="s">
        <v>2144</v>
      </c>
      <c r="D2387">
        <v>9</v>
      </c>
      <c r="F2387" s="56"/>
    </row>
    <row r="2388" spans="1:6" ht="15">
      <c r="A2388" s="51">
        <v>1913250</v>
      </c>
      <c r="B2388" t="s">
        <v>2146</v>
      </c>
      <c r="C2388" s="39" t="s">
        <v>2147</v>
      </c>
      <c r="D2388">
        <v>9</v>
      </c>
      <c r="F2388" s="56"/>
    </row>
    <row r="2389" spans="1:6" ht="15">
      <c r="A2389" s="51">
        <v>1913259</v>
      </c>
      <c r="B2389" t="s">
        <v>2148</v>
      </c>
      <c r="C2389" s="39" t="s">
        <v>2149</v>
      </c>
      <c r="D2389">
        <v>9</v>
      </c>
      <c r="F2389" s="56"/>
    </row>
    <row r="2390" spans="1:6" ht="15">
      <c r="A2390" s="51">
        <v>1913258</v>
      </c>
      <c r="B2390" t="s">
        <v>2150</v>
      </c>
      <c r="C2390" s="39" t="s">
        <v>2151</v>
      </c>
      <c r="D2390">
        <v>9</v>
      </c>
      <c r="F2390" s="56"/>
    </row>
    <row r="2391" spans="1:6" ht="15">
      <c r="A2391" s="51">
        <v>2517656</v>
      </c>
      <c r="B2391" t="s">
        <v>1307</v>
      </c>
      <c r="C2391" s="39" t="s">
        <v>1308</v>
      </c>
      <c r="D2391">
        <v>9</v>
      </c>
      <c r="F2391" s="56"/>
    </row>
    <row r="2392" spans="1:6" ht="15">
      <c r="A2392" s="51">
        <v>2517655</v>
      </c>
      <c r="B2392" t="s">
        <v>1309</v>
      </c>
      <c r="C2392" s="39" t="s">
        <v>1308</v>
      </c>
      <c r="D2392">
        <v>9</v>
      </c>
      <c r="F2392" s="56"/>
    </row>
    <row r="2393" spans="1:6" ht="15">
      <c r="A2393" s="51">
        <v>1913262</v>
      </c>
      <c r="B2393" t="s">
        <v>1310</v>
      </c>
      <c r="C2393" s="39" t="s">
        <v>1308</v>
      </c>
      <c r="D2393">
        <v>9</v>
      </c>
      <c r="F2393" s="56"/>
    </row>
    <row r="2394" spans="1:6" ht="15">
      <c r="A2394" s="51">
        <v>1913261</v>
      </c>
      <c r="B2394" t="s">
        <v>1928</v>
      </c>
      <c r="C2394" s="39" t="s">
        <v>1929</v>
      </c>
      <c r="D2394">
        <v>9</v>
      </c>
      <c r="F2394" s="56"/>
    </row>
    <row r="2395" spans="1:6" ht="15">
      <c r="A2395" s="51">
        <v>2677566</v>
      </c>
      <c r="B2395" t="s">
        <v>2152</v>
      </c>
      <c r="C2395" s="39" t="s">
        <v>2153</v>
      </c>
      <c r="D2395">
        <v>8</v>
      </c>
      <c r="F2395" s="56"/>
    </row>
    <row r="2396" spans="1:6" ht="15">
      <c r="A2396" s="51">
        <v>1913268</v>
      </c>
      <c r="B2396" t="s">
        <v>1930</v>
      </c>
      <c r="C2396" s="39" t="s">
        <v>2154</v>
      </c>
      <c r="D2396">
        <v>8</v>
      </c>
      <c r="F2396" s="56"/>
    </row>
    <row r="2397" spans="1:6" ht="15">
      <c r="A2397" s="51">
        <v>1913267</v>
      </c>
      <c r="B2397" t="s">
        <v>1932</v>
      </c>
      <c r="C2397" s="39" t="s">
        <v>1312</v>
      </c>
      <c r="D2397">
        <v>9</v>
      </c>
      <c r="F2397" s="56"/>
    </row>
    <row r="2398" spans="1:6" ht="15">
      <c r="A2398" s="51">
        <v>2517667</v>
      </c>
      <c r="B2398" t="s">
        <v>1933</v>
      </c>
      <c r="C2398" s="39" t="s">
        <v>2155</v>
      </c>
      <c r="D2398">
        <v>9</v>
      </c>
      <c r="F2398" s="56"/>
    </row>
    <row r="2399" spans="1:6" ht="15">
      <c r="A2399" s="51">
        <v>1913265</v>
      </c>
      <c r="B2399" t="s">
        <v>1935</v>
      </c>
      <c r="C2399" s="39" t="s">
        <v>2156</v>
      </c>
      <c r="D2399">
        <v>9</v>
      </c>
      <c r="F2399" s="56"/>
    </row>
    <row r="2400" spans="1:6" ht="15">
      <c r="A2400" s="51">
        <v>1912924</v>
      </c>
      <c r="B2400" t="s">
        <v>1315</v>
      </c>
      <c r="C2400" s="39" t="s">
        <v>1316</v>
      </c>
      <c r="D2400">
        <v>8</v>
      </c>
      <c r="F2400" s="56"/>
    </row>
    <row r="2401" spans="1:6" ht="15">
      <c r="A2401" s="51">
        <v>1913274</v>
      </c>
      <c r="B2401" t="s">
        <v>1936</v>
      </c>
      <c r="C2401" s="39" t="s">
        <v>1316</v>
      </c>
      <c r="D2401">
        <v>9</v>
      </c>
      <c r="F2401" s="56"/>
    </row>
    <row r="2402" spans="1:6" ht="15">
      <c r="A2402" s="51">
        <v>1913273</v>
      </c>
      <c r="B2402" t="s">
        <v>1937</v>
      </c>
      <c r="C2402" s="39" t="s">
        <v>1318</v>
      </c>
      <c r="D2402">
        <v>8</v>
      </c>
      <c r="F2402" s="56"/>
    </row>
    <row r="2403" spans="1:6" ht="15">
      <c r="A2403" s="51">
        <v>2679467</v>
      </c>
      <c r="B2403" t="s">
        <v>1939</v>
      </c>
      <c r="C2403" s="39" t="s">
        <v>1318</v>
      </c>
      <c r="D2403">
        <v>8</v>
      </c>
      <c r="F2403" s="56"/>
    </row>
    <row r="2404" spans="1:6" ht="15">
      <c r="A2404" s="51">
        <v>1913270</v>
      </c>
      <c r="B2404" t="s">
        <v>1940</v>
      </c>
      <c r="C2404" s="39" t="s">
        <v>1941</v>
      </c>
      <c r="D2404">
        <v>9</v>
      </c>
      <c r="F2404" s="56"/>
    </row>
    <row r="2405" spans="1:6" ht="15">
      <c r="A2405" s="51">
        <v>2521645</v>
      </c>
      <c r="B2405" t="s">
        <v>2157</v>
      </c>
      <c r="C2405" s="39" t="s">
        <v>2005</v>
      </c>
      <c r="D2405">
        <v>9</v>
      </c>
      <c r="F2405" s="56"/>
    </row>
    <row r="2406" spans="1:6" ht="15">
      <c r="A2406" s="51">
        <v>2521650</v>
      </c>
      <c r="B2406" t="s">
        <v>2158</v>
      </c>
      <c r="C2406" s="39" t="s">
        <v>2159</v>
      </c>
      <c r="D2406">
        <v>8</v>
      </c>
      <c r="F2406" s="56"/>
    </row>
    <row r="2407" spans="1:6" ht="15">
      <c r="A2407" s="51">
        <v>1913276</v>
      </c>
      <c r="B2407" t="s">
        <v>1319</v>
      </c>
      <c r="C2407" s="39" t="s">
        <v>1320</v>
      </c>
      <c r="D2407">
        <v>9</v>
      </c>
      <c r="F2407" s="56"/>
    </row>
    <row r="2408" spans="1:6" ht="15">
      <c r="A2408" s="51">
        <v>1913275</v>
      </c>
      <c r="B2408" t="s">
        <v>1321</v>
      </c>
      <c r="C2408" s="39" t="s">
        <v>1320</v>
      </c>
      <c r="D2408">
        <v>9</v>
      </c>
      <c r="F2408" s="56"/>
    </row>
    <row r="2409" spans="1:6" ht="15">
      <c r="A2409" s="51">
        <v>1913279</v>
      </c>
      <c r="B2409" t="s">
        <v>1322</v>
      </c>
      <c r="C2409" s="39" t="s">
        <v>1320</v>
      </c>
      <c r="D2409">
        <v>9</v>
      </c>
      <c r="F2409" s="56"/>
    </row>
    <row r="2410" spans="1:6" ht="15">
      <c r="A2410" s="51">
        <v>2677567</v>
      </c>
      <c r="B2410" t="s">
        <v>1323</v>
      </c>
      <c r="C2410" s="39" t="s">
        <v>2160</v>
      </c>
      <c r="D2410">
        <v>9</v>
      </c>
      <c r="F2410" s="56"/>
    </row>
    <row r="2411" spans="1:6" ht="15">
      <c r="A2411" s="51">
        <v>1913278</v>
      </c>
      <c r="B2411" t="s">
        <v>1942</v>
      </c>
      <c r="C2411" s="39" t="s">
        <v>1326</v>
      </c>
      <c r="D2411">
        <v>8</v>
      </c>
      <c r="F2411" s="56"/>
    </row>
    <row r="2412" spans="1:6" ht="15">
      <c r="A2412" s="51">
        <v>1913277</v>
      </c>
      <c r="B2412" t="s">
        <v>1325</v>
      </c>
      <c r="C2412" s="39" t="s">
        <v>1326</v>
      </c>
      <c r="D2412">
        <v>9</v>
      </c>
      <c r="F2412" s="56"/>
    </row>
    <row r="2413" spans="1:6" ht="15">
      <c r="A2413" s="51">
        <v>1913280</v>
      </c>
      <c r="B2413" t="s">
        <v>1329</v>
      </c>
      <c r="C2413" s="39" t="s">
        <v>2155</v>
      </c>
      <c r="D2413">
        <v>9</v>
      </c>
      <c r="F2413" s="56"/>
    </row>
    <row r="2414" spans="1:6" ht="15">
      <c r="A2414" s="51">
        <v>2517659</v>
      </c>
      <c r="B2414" t="s">
        <v>1949</v>
      </c>
      <c r="C2414" s="39" t="s">
        <v>1950</v>
      </c>
      <c r="D2414">
        <v>9</v>
      </c>
      <c r="F2414" s="56"/>
    </row>
    <row r="2415" spans="1:6" ht="15">
      <c r="A2415" s="51">
        <v>2517660</v>
      </c>
      <c r="B2415" t="s">
        <v>1951</v>
      </c>
      <c r="C2415" s="39" t="s">
        <v>1952</v>
      </c>
      <c r="D2415">
        <v>9</v>
      </c>
      <c r="F2415" s="56"/>
    </row>
    <row r="2416" spans="1:6" ht="15">
      <c r="A2416" s="51">
        <v>2517661</v>
      </c>
      <c r="B2416" t="s">
        <v>1955</v>
      </c>
      <c r="C2416" s="39" t="s">
        <v>2161</v>
      </c>
      <c r="D2416">
        <v>9</v>
      </c>
      <c r="F2416" s="56"/>
    </row>
    <row r="2417" spans="1:6" ht="15">
      <c r="A2417" s="51">
        <v>2517666</v>
      </c>
      <c r="B2417" t="s">
        <v>2162</v>
      </c>
      <c r="C2417" s="39" t="s">
        <v>2163</v>
      </c>
      <c r="D2417">
        <v>8</v>
      </c>
      <c r="F2417" s="56"/>
    </row>
    <row r="2418" spans="1:6" ht="15">
      <c r="A2418" s="51">
        <v>2517664</v>
      </c>
      <c r="B2418" t="s">
        <v>2164</v>
      </c>
      <c r="C2418" s="39" t="s">
        <v>2165</v>
      </c>
      <c r="D2418">
        <v>9</v>
      </c>
      <c r="F2418" s="56"/>
    </row>
    <row r="2419" spans="1:6" ht="15">
      <c r="A2419" s="51">
        <v>2517665</v>
      </c>
      <c r="B2419" t="s">
        <v>2166</v>
      </c>
      <c r="C2419" s="39" t="s">
        <v>2167</v>
      </c>
      <c r="D2419">
        <v>8</v>
      </c>
      <c r="F2419" s="56"/>
    </row>
    <row r="2420" spans="1:6" ht="15">
      <c r="A2420" s="51">
        <v>2677457</v>
      </c>
      <c r="B2420" t="s">
        <v>2168</v>
      </c>
      <c r="C2420" s="39" t="s">
        <v>2169</v>
      </c>
      <c r="D2420" t="s">
        <v>4244</v>
      </c>
      <c r="F2420" s="56"/>
    </row>
    <row r="2421" spans="1:6" ht="15">
      <c r="A2421" s="51">
        <v>2677494</v>
      </c>
      <c r="B2421" t="s">
        <v>2170</v>
      </c>
      <c r="C2421" s="39" t="s">
        <v>2169</v>
      </c>
      <c r="D2421" t="s">
        <v>4244</v>
      </c>
      <c r="F2421" s="56"/>
    </row>
    <row r="2422" spans="1:6" ht="15">
      <c r="A2422" s="51">
        <v>2677533</v>
      </c>
      <c r="B2422" t="s">
        <v>2171</v>
      </c>
      <c r="C2422" s="39" t="s">
        <v>2169</v>
      </c>
      <c r="D2422">
        <v>8</v>
      </c>
      <c r="F2422" s="56"/>
    </row>
    <row r="2423" spans="1:6" ht="15">
      <c r="A2423" s="51">
        <v>2677439</v>
      </c>
      <c r="B2423" t="s">
        <v>1339</v>
      </c>
      <c r="C2423" s="39" t="s">
        <v>2172</v>
      </c>
      <c r="D2423">
        <v>7</v>
      </c>
      <c r="F2423" s="56"/>
    </row>
    <row r="2424" spans="1:6" ht="15">
      <c r="A2424" s="51">
        <v>2677513</v>
      </c>
      <c r="B2424" t="s">
        <v>1341</v>
      </c>
      <c r="C2424" s="39" t="s">
        <v>2172</v>
      </c>
      <c r="D2424">
        <v>8</v>
      </c>
      <c r="F2424" s="56"/>
    </row>
    <row r="2425" spans="1:6" ht="15">
      <c r="A2425" s="51">
        <v>2677557</v>
      </c>
      <c r="B2425" t="s">
        <v>2173</v>
      </c>
      <c r="C2425" s="39" t="s">
        <v>2172</v>
      </c>
      <c r="D2425">
        <v>9</v>
      </c>
      <c r="F2425" s="56"/>
    </row>
    <row r="2426" spans="1:6" ht="15">
      <c r="A2426" s="51">
        <v>2677430</v>
      </c>
      <c r="B2426" t="s">
        <v>1958</v>
      </c>
      <c r="C2426" s="39" t="s">
        <v>2174</v>
      </c>
      <c r="D2426" t="s">
        <v>4243</v>
      </c>
      <c r="F2426" s="56"/>
    </row>
    <row r="2427" spans="1:6" ht="15">
      <c r="A2427" s="51">
        <v>2753655</v>
      </c>
      <c r="B2427" t="s">
        <v>1342</v>
      </c>
      <c r="C2427" s="39" t="s">
        <v>1343</v>
      </c>
      <c r="D2427">
        <v>7</v>
      </c>
      <c r="F2427" s="56"/>
    </row>
    <row r="2428" spans="1:6" ht="15">
      <c r="A2428" s="51">
        <v>2753675</v>
      </c>
      <c r="B2428" t="s">
        <v>1344</v>
      </c>
      <c r="C2428" s="39" t="s">
        <v>1343</v>
      </c>
      <c r="D2428">
        <v>8</v>
      </c>
      <c r="F2428" s="56"/>
    </row>
    <row r="2429" spans="1:6" ht="15">
      <c r="A2429" s="51">
        <v>2753633</v>
      </c>
      <c r="B2429" t="s">
        <v>319</v>
      </c>
      <c r="C2429" s="39" t="s">
        <v>1338</v>
      </c>
      <c r="D2429" t="s">
        <v>4244</v>
      </c>
      <c r="F2429" s="56"/>
    </row>
    <row r="2430" spans="1:6" ht="15">
      <c r="A2430" s="51">
        <v>2753634</v>
      </c>
      <c r="B2430" t="s">
        <v>321</v>
      </c>
      <c r="C2430" s="39" t="s">
        <v>1338</v>
      </c>
      <c r="D2430" t="s">
        <v>4244</v>
      </c>
      <c r="F2430" s="56"/>
    </row>
    <row r="2431" spans="1:6" ht="15">
      <c r="A2431" s="51">
        <v>2753635</v>
      </c>
      <c r="B2431" t="s">
        <v>322</v>
      </c>
      <c r="C2431" s="39" t="s">
        <v>1338</v>
      </c>
      <c r="D2431" t="s">
        <v>4244</v>
      </c>
      <c r="F2431" s="56"/>
    </row>
    <row r="2432" spans="1:6" ht="15">
      <c r="A2432" s="51">
        <v>2753636</v>
      </c>
      <c r="B2432" t="s">
        <v>2175</v>
      </c>
      <c r="C2432" s="39" t="s">
        <v>1338</v>
      </c>
      <c r="D2432">
        <v>8</v>
      </c>
      <c r="F2432" s="56"/>
    </row>
    <row r="2433" spans="1:6" ht="15">
      <c r="A2433" s="51">
        <v>2677508</v>
      </c>
      <c r="B2433" t="s">
        <v>2176</v>
      </c>
      <c r="C2433" s="39" t="s">
        <v>2177</v>
      </c>
      <c r="D2433" t="s">
        <v>4243</v>
      </c>
      <c r="F2433" s="56"/>
    </row>
    <row r="2434" spans="1:6" ht="15">
      <c r="A2434" s="51">
        <v>2677549</v>
      </c>
      <c r="B2434" t="s">
        <v>2178</v>
      </c>
      <c r="C2434" s="39" t="s">
        <v>2177</v>
      </c>
      <c r="D2434">
        <v>7</v>
      </c>
      <c r="F2434" s="56"/>
    </row>
    <row r="2435" spans="1:6" ht="15">
      <c r="A2435" s="51">
        <v>2677497</v>
      </c>
      <c r="B2435" t="s">
        <v>2179</v>
      </c>
      <c r="C2435" s="39" t="s">
        <v>2180</v>
      </c>
      <c r="D2435">
        <v>8</v>
      </c>
      <c r="F2435" s="56"/>
    </row>
    <row r="2436" spans="1:6" ht="15">
      <c r="A2436" s="51">
        <v>2677502</v>
      </c>
      <c r="B2436" t="s">
        <v>2181</v>
      </c>
      <c r="C2436" s="39" t="s">
        <v>2180</v>
      </c>
      <c r="D2436">
        <v>8</v>
      </c>
      <c r="F2436" s="56"/>
    </row>
    <row r="2437" spans="1:6" ht="15">
      <c r="A2437" s="51">
        <v>2753656</v>
      </c>
      <c r="B2437" t="s">
        <v>1353</v>
      </c>
      <c r="C2437" s="39" t="s">
        <v>1301</v>
      </c>
      <c r="D2437" t="s">
        <v>4244</v>
      </c>
      <c r="F2437" s="56"/>
    </row>
    <row r="2438" spans="1:6" ht="15">
      <c r="A2438" s="51">
        <v>3108041</v>
      </c>
      <c r="B2438" t="s">
        <v>1354</v>
      </c>
      <c r="C2438" s="39" t="s">
        <v>1301</v>
      </c>
      <c r="D2438">
        <v>7</v>
      </c>
      <c r="F2438" s="56"/>
    </row>
    <row r="2439" spans="1:6" ht="15">
      <c r="A2439" s="51">
        <v>2677543</v>
      </c>
      <c r="B2439" t="s">
        <v>2182</v>
      </c>
      <c r="C2439" s="39" t="s">
        <v>2183</v>
      </c>
      <c r="D2439">
        <v>9</v>
      </c>
      <c r="F2439" s="56"/>
    </row>
    <row r="2440" spans="1:6" ht="15">
      <c r="A2440" s="51">
        <v>2677485</v>
      </c>
      <c r="B2440" t="s">
        <v>2184</v>
      </c>
      <c r="C2440" s="39" t="s">
        <v>329</v>
      </c>
      <c r="D2440">
        <v>8</v>
      </c>
      <c r="F2440" s="56"/>
    </row>
    <row r="2441" spans="1:6" ht="15">
      <c r="A2441" s="51">
        <v>2677525</v>
      </c>
      <c r="B2441" t="s">
        <v>2185</v>
      </c>
      <c r="C2441" s="39" t="s">
        <v>2186</v>
      </c>
      <c r="D2441" t="s">
        <v>4243</v>
      </c>
      <c r="F2441" s="56"/>
    </row>
    <row r="2442" spans="1:6" ht="15">
      <c r="A2442" s="51">
        <v>2677434</v>
      </c>
      <c r="B2442" t="s">
        <v>994</v>
      </c>
      <c r="C2442" s="39" t="s">
        <v>2186</v>
      </c>
      <c r="D2442" t="s">
        <v>4243</v>
      </c>
      <c r="F2442" s="56"/>
    </row>
    <row r="2443" spans="1:6" ht="15">
      <c r="A2443" s="51">
        <v>3108042</v>
      </c>
      <c r="B2443" t="s">
        <v>311</v>
      </c>
      <c r="C2443" s="39" t="s">
        <v>1301</v>
      </c>
      <c r="D2443">
        <v>8</v>
      </c>
      <c r="F2443" s="56"/>
    </row>
    <row r="2444" spans="1:6" ht="15">
      <c r="A2444" s="51">
        <v>2753676</v>
      </c>
      <c r="B2444" t="s">
        <v>1355</v>
      </c>
      <c r="C2444" s="39" t="s">
        <v>1301</v>
      </c>
      <c r="D2444">
        <v>8</v>
      </c>
      <c r="F2444" s="56"/>
    </row>
    <row r="2445" spans="1:6" ht="15">
      <c r="A2445" s="51">
        <v>2677478</v>
      </c>
      <c r="B2445" t="s">
        <v>91</v>
      </c>
      <c r="C2445" s="39" t="s">
        <v>2186</v>
      </c>
      <c r="D2445">
        <v>8</v>
      </c>
      <c r="F2445" s="56"/>
    </row>
    <row r="2446" spans="1:6" ht="15">
      <c r="A2446" s="51">
        <v>2679445</v>
      </c>
      <c r="B2446" t="s">
        <v>1358</v>
      </c>
      <c r="C2446" s="39" t="s">
        <v>1359</v>
      </c>
      <c r="D2446" t="s">
        <v>4243</v>
      </c>
      <c r="F2446" s="56"/>
    </row>
    <row r="2447" spans="1:6" ht="15">
      <c r="A2447" s="51">
        <v>2753679</v>
      </c>
      <c r="B2447" t="s">
        <v>1628</v>
      </c>
      <c r="C2447" s="39" t="s">
        <v>1297</v>
      </c>
      <c r="D2447">
        <v>9</v>
      </c>
      <c r="F2447" s="56"/>
    </row>
    <row r="2448" spans="1:6" ht="15">
      <c r="A2448" s="51">
        <v>2753678</v>
      </c>
      <c r="B2448" t="s">
        <v>1629</v>
      </c>
      <c r="C2448" s="39" t="s">
        <v>1299</v>
      </c>
      <c r="D2448">
        <v>8</v>
      </c>
      <c r="F2448" s="56"/>
    </row>
    <row r="2449" spans="1:6" ht="15">
      <c r="A2449" s="51">
        <v>2753665</v>
      </c>
      <c r="B2449" t="s">
        <v>1968</v>
      </c>
      <c r="C2449" s="39" t="s">
        <v>1969</v>
      </c>
      <c r="D2449" t="s">
        <v>4243</v>
      </c>
      <c r="F2449" s="56"/>
    </row>
    <row r="2450" spans="1:6" ht="15">
      <c r="A2450" s="51">
        <v>2677517</v>
      </c>
      <c r="B2450" t="s">
        <v>1970</v>
      </c>
      <c r="C2450" s="39" t="s">
        <v>2187</v>
      </c>
      <c r="D2450" t="s">
        <v>4243</v>
      </c>
      <c r="F2450" s="56"/>
    </row>
    <row r="2451" spans="1:6" ht="15">
      <c r="A2451" s="51">
        <v>2677435</v>
      </c>
      <c r="B2451" t="s">
        <v>838</v>
      </c>
      <c r="C2451" s="39" t="s">
        <v>2187</v>
      </c>
      <c r="D2451" t="s">
        <v>4243</v>
      </c>
      <c r="F2451" s="56"/>
    </row>
    <row r="2452" spans="1:6" ht="15">
      <c r="A2452" s="51">
        <v>2677480</v>
      </c>
      <c r="B2452" t="s">
        <v>1239</v>
      </c>
      <c r="C2452" s="39" t="s">
        <v>2187</v>
      </c>
      <c r="D2452" t="s">
        <v>4243</v>
      </c>
      <c r="F2452" s="56"/>
    </row>
    <row r="2453" spans="1:6" ht="15">
      <c r="A2453" s="51">
        <v>2677553</v>
      </c>
      <c r="B2453" t="s">
        <v>840</v>
      </c>
      <c r="C2453" s="39" t="s">
        <v>2187</v>
      </c>
      <c r="D2453">
        <v>8</v>
      </c>
      <c r="F2453" s="56"/>
    </row>
    <row r="2454" spans="1:6" ht="15">
      <c r="A2454" s="51">
        <v>2677463</v>
      </c>
      <c r="B2454" t="s">
        <v>841</v>
      </c>
      <c r="C2454" s="39" t="s">
        <v>2187</v>
      </c>
      <c r="D2454">
        <v>8</v>
      </c>
      <c r="F2454" s="56"/>
    </row>
    <row r="2455" spans="1:6" ht="15">
      <c r="A2455" s="51">
        <v>2677474</v>
      </c>
      <c r="B2455" t="s">
        <v>1241</v>
      </c>
      <c r="C2455" s="39" t="s">
        <v>1376</v>
      </c>
      <c r="D2455">
        <v>7</v>
      </c>
      <c r="F2455" s="56"/>
    </row>
    <row r="2456" spans="1:6" ht="15">
      <c r="A2456" s="51">
        <v>2677546</v>
      </c>
      <c r="B2456" t="s">
        <v>339</v>
      </c>
      <c r="C2456" s="39" t="s">
        <v>1376</v>
      </c>
      <c r="D2456">
        <v>8</v>
      </c>
      <c r="F2456" s="56"/>
    </row>
    <row r="2457" spans="1:6" ht="15">
      <c r="A2457" s="51">
        <v>2677452</v>
      </c>
      <c r="B2457" t="s">
        <v>105</v>
      </c>
      <c r="C2457" s="39" t="s">
        <v>1385</v>
      </c>
      <c r="D2457" t="s">
        <v>4243</v>
      </c>
      <c r="F2457" s="56"/>
    </row>
    <row r="2458" spans="1:6" ht="15">
      <c r="A2458" s="51">
        <v>2677522</v>
      </c>
      <c r="B2458" t="s">
        <v>1366</v>
      </c>
      <c r="C2458" s="39" t="s">
        <v>1385</v>
      </c>
      <c r="D2458" t="s">
        <v>4243</v>
      </c>
      <c r="F2458" s="56"/>
    </row>
    <row r="2459" spans="1:6" ht="15">
      <c r="A2459" s="51">
        <v>2677442</v>
      </c>
      <c r="B2459" t="s">
        <v>109</v>
      </c>
      <c r="C2459" s="39" t="s">
        <v>1385</v>
      </c>
      <c r="D2459">
        <v>8</v>
      </c>
      <c r="F2459" s="56"/>
    </row>
    <row r="2460" spans="1:6" ht="15">
      <c r="A2460" s="51">
        <v>2677512</v>
      </c>
      <c r="B2460" t="s">
        <v>1242</v>
      </c>
      <c r="C2460" s="39" t="s">
        <v>1980</v>
      </c>
      <c r="D2460">
        <v>8</v>
      </c>
      <c r="F2460" s="56"/>
    </row>
    <row r="2461" spans="1:6" ht="15">
      <c r="A2461" s="51">
        <v>2677560</v>
      </c>
      <c r="B2461" t="s">
        <v>2188</v>
      </c>
      <c r="C2461" s="39" t="s">
        <v>1980</v>
      </c>
      <c r="D2461">
        <v>8</v>
      </c>
      <c r="F2461" s="56"/>
    </row>
    <row r="2462" spans="1:6" ht="15">
      <c r="A2462" s="51">
        <v>2677466</v>
      </c>
      <c r="B2462" t="s">
        <v>1157</v>
      </c>
      <c r="C2462" s="39" t="s">
        <v>1388</v>
      </c>
      <c r="D2462" t="s">
        <v>4247</v>
      </c>
      <c r="F2462" s="56"/>
    </row>
    <row r="2463" spans="1:6" ht="15">
      <c r="A2463" s="51">
        <v>2677506</v>
      </c>
      <c r="B2463" t="s">
        <v>110</v>
      </c>
      <c r="C2463" s="39" t="s">
        <v>1388</v>
      </c>
      <c r="D2463" t="s">
        <v>4243</v>
      </c>
      <c r="F2463" s="56"/>
    </row>
    <row r="2464" spans="1:6" ht="15">
      <c r="A2464" s="51">
        <v>2677550</v>
      </c>
      <c r="B2464" t="s">
        <v>348</v>
      </c>
      <c r="C2464" s="39" t="s">
        <v>346</v>
      </c>
      <c r="D2464" t="s">
        <v>4247</v>
      </c>
      <c r="F2464" s="56"/>
    </row>
    <row r="2465" spans="1:6" ht="15">
      <c r="A2465" s="51">
        <v>2677493</v>
      </c>
      <c r="B2465" t="s">
        <v>1161</v>
      </c>
      <c r="C2465" s="39" t="s">
        <v>346</v>
      </c>
      <c r="D2465" t="s">
        <v>4247</v>
      </c>
      <c r="F2465" s="56"/>
    </row>
    <row r="2466" spans="1:6" ht="15">
      <c r="A2466" s="51">
        <v>2679446</v>
      </c>
      <c r="B2466" t="s">
        <v>1162</v>
      </c>
      <c r="C2466" s="39" t="s">
        <v>1347</v>
      </c>
      <c r="D2466">
        <v>8</v>
      </c>
      <c r="F2466" s="56"/>
    </row>
    <row r="2467" spans="1:6" ht="15">
      <c r="A2467" s="51">
        <v>2677534</v>
      </c>
      <c r="B2467" t="s">
        <v>1976</v>
      </c>
      <c r="C2467" s="39" t="s">
        <v>1388</v>
      </c>
      <c r="D2467" t="s">
        <v>4247</v>
      </c>
      <c r="F2467" s="56"/>
    </row>
    <row r="2468" spans="1:6" ht="15">
      <c r="A2468" s="51">
        <v>2753637</v>
      </c>
      <c r="B2468" t="s">
        <v>1387</v>
      </c>
      <c r="C2468" s="39" t="s">
        <v>1388</v>
      </c>
      <c r="D2468" t="s">
        <v>4247</v>
      </c>
      <c r="F2468" s="56"/>
    </row>
    <row r="2469" spans="1:6" ht="15">
      <c r="A2469" s="51">
        <v>2753638</v>
      </c>
      <c r="B2469" t="s">
        <v>1389</v>
      </c>
      <c r="C2469" s="39" t="s">
        <v>1388</v>
      </c>
      <c r="D2469" t="s">
        <v>4247</v>
      </c>
      <c r="F2469" s="56"/>
    </row>
    <row r="2470" spans="1:6" ht="15">
      <c r="A2470" s="51">
        <v>2753639</v>
      </c>
      <c r="B2470" t="s">
        <v>2189</v>
      </c>
      <c r="C2470" s="39" t="s">
        <v>1347</v>
      </c>
      <c r="D2470" t="s">
        <v>4243</v>
      </c>
      <c r="F2470" s="56"/>
    </row>
    <row r="2471" spans="1:6" ht="15">
      <c r="A2471" s="51">
        <v>2753640</v>
      </c>
      <c r="B2471" t="s">
        <v>2190</v>
      </c>
      <c r="C2471" s="39" t="s">
        <v>1347</v>
      </c>
      <c r="D2471" t="s">
        <v>4243</v>
      </c>
      <c r="F2471" s="56"/>
    </row>
    <row r="2472" spans="1:6" ht="15">
      <c r="A2472" s="51">
        <v>2753641</v>
      </c>
      <c r="B2472" t="s">
        <v>2191</v>
      </c>
      <c r="C2472" s="39" t="s">
        <v>1347</v>
      </c>
      <c r="D2472">
        <v>8</v>
      </c>
      <c r="F2472" s="56"/>
    </row>
    <row r="2473" spans="1:6" ht="15">
      <c r="A2473" s="51">
        <v>2753645</v>
      </c>
      <c r="B2473" t="s">
        <v>2192</v>
      </c>
      <c r="C2473" s="39" t="s">
        <v>2193</v>
      </c>
      <c r="D2473" t="s">
        <v>4243</v>
      </c>
      <c r="F2473" s="56"/>
    </row>
    <row r="2474" spans="1:6" ht="15">
      <c r="A2474" s="51">
        <v>2753646</v>
      </c>
      <c r="B2474" t="s">
        <v>2194</v>
      </c>
      <c r="C2474" s="39" t="s">
        <v>2193</v>
      </c>
      <c r="D2474" t="s">
        <v>4243</v>
      </c>
      <c r="F2474" s="56"/>
    </row>
    <row r="2475" spans="1:6" ht="15">
      <c r="A2475" s="51">
        <v>2677505</v>
      </c>
      <c r="B2475" t="s">
        <v>1165</v>
      </c>
      <c r="C2475" s="39" t="s">
        <v>2195</v>
      </c>
      <c r="D2475" t="s">
        <v>4244</v>
      </c>
      <c r="F2475" s="56"/>
    </row>
    <row r="2476" spans="1:6" ht="15">
      <c r="A2476" s="51">
        <v>2677447</v>
      </c>
      <c r="B2476" t="s">
        <v>122</v>
      </c>
      <c r="C2476" s="39" t="s">
        <v>2195</v>
      </c>
      <c r="D2476" t="s">
        <v>4244</v>
      </c>
      <c r="F2476" s="56"/>
    </row>
    <row r="2477" spans="1:6" ht="15">
      <c r="A2477" s="51">
        <v>2677489</v>
      </c>
      <c r="B2477" t="s">
        <v>1804</v>
      </c>
      <c r="C2477" s="39" t="s">
        <v>2195</v>
      </c>
      <c r="D2477" t="s">
        <v>4244</v>
      </c>
      <c r="F2477" s="56"/>
    </row>
    <row r="2478" spans="1:6" ht="15">
      <c r="A2478" s="51">
        <v>2677528</v>
      </c>
      <c r="B2478" t="s">
        <v>1805</v>
      </c>
      <c r="C2478" s="39" t="s">
        <v>2195</v>
      </c>
      <c r="D2478" t="s">
        <v>4244</v>
      </c>
      <c r="F2478" s="56"/>
    </row>
    <row r="2479" spans="1:6" ht="15">
      <c r="A2479" s="51">
        <v>2679448</v>
      </c>
      <c r="B2479" t="s">
        <v>1391</v>
      </c>
      <c r="C2479" s="39" t="s">
        <v>1392</v>
      </c>
      <c r="D2479">
        <v>8</v>
      </c>
      <c r="F2479" s="56"/>
    </row>
    <row r="2480" spans="1:6" ht="15">
      <c r="A2480" s="51">
        <v>2679503</v>
      </c>
      <c r="B2480" t="s">
        <v>2196</v>
      </c>
      <c r="C2480" s="39" t="s">
        <v>2197</v>
      </c>
      <c r="D2480" t="s">
        <v>4243</v>
      </c>
      <c r="F2480" s="56"/>
    </row>
    <row r="2481" spans="1:6" ht="15">
      <c r="A2481" s="51">
        <v>2677438</v>
      </c>
      <c r="B2481" t="s">
        <v>2198</v>
      </c>
      <c r="C2481" s="39" t="s">
        <v>2199</v>
      </c>
      <c r="D2481" t="s">
        <v>4244</v>
      </c>
      <c r="F2481" s="56"/>
    </row>
    <row r="2482" spans="1:6" ht="15">
      <c r="A2482" s="51">
        <v>2677482</v>
      </c>
      <c r="B2482" t="s">
        <v>2200</v>
      </c>
      <c r="C2482" s="39" t="s">
        <v>2199</v>
      </c>
      <c r="D2482" t="s">
        <v>4244</v>
      </c>
      <c r="F2482" s="56"/>
    </row>
    <row r="2483" spans="1:6" ht="15">
      <c r="A2483" s="51">
        <v>2677555</v>
      </c>
      <c r="B2483" t="s">
        <v>2201</v>
      </c>
      <c r="C2483" s="39" t="s">
        <v>2199</v>
      </c>
      <c r="D2483">
        <v>7</v>
      </c>
      <c r="F2483" s="56"/>
    </row>
    <row r="2484" spans="1:6" ht="15">
      <c r="A2484" s="51">
        <v>2677465</v>
      </c>
      <c r="B2484" t="s">
        <v>2202</v>
      </c>
      <c r="C2484" s="39" t="s">
        <v>2199</v>
      </c>
      <c r="D2484">
        <v>8</v>
      </c>
      <c r="F2484" s="56"/>
    </row>
    <row r="2485" spans="1:6" ht="15">
      <c r="A2485" s="51">
        <v>2677473</v>
      </c>
      <c r="B2485" t="s">
        <v>2203</v>
      </c>
      <c r="C2485" s="39" t="s">
        <v>2199</v>
      </c>
      <c r="D2485">
        <v>8</v>
      </c>
      <c r="F2485" s="56"/>
    </row>
    <row r="2486" spans="1:6" ht="15">
      <c r="A2486" s="51">
        <v>2677544</v>
      </c>
      <c r="B2486" t="s">
        <v>1638</v>
      </c>
      <c r="C2486" s="39" t="s">
        <v>2199</v>
      </c>
      <c r="D2486">
        <v>8</v>
      </c>
      <c r="F2486" s="56"/>
    </row>
    <row r="2487" spans="1:6" ht="15">
      <c r="A2487" s="51">
        <v>2677455</v>
      </c>
      <c r="B2487" t="s">
        <v>1813</v>
      </c>
      <c r="C2487" s="39" t="s">
        <v>1393</v>
      </c>
      <c r="D2487" t="s">
        <v>4244</v>
      </c>
      <c r="F2487" s="56"/>
    </row>
    <row r="2488" spans="1:6" ht="15">
      <c r="A2488" s="51">
        <v>2677527</v>
      </c>
      <c r="B2488" t="s">
        <v>131</v>
      </c>
      <c r="C2488" s="39" t="s">
        <v>1393</v>
      </c>
      <c r="D2488" t="s">
        <v>4244</v>
      </c>
      <c r="F2488" s="56"/>
    </row>
    <row r="2489" spans="1:6" ht="15">
      <c r="A2489" s="51">
        <v>2677537</v>
      </c>
      <c r="B2489" t="s">
        <v>1814</v>
      </c>
      <c r="C2489" s="39" t="s">
        <v>1393</v>
      </c>
      <c r="D2489" t="s">
        <v>4244</v>
      </c>
      <c r="F2489" s="56"/>
    </row>
    <row r="2490" spans="1:6" ht="15">
      <c r="A2490" s="51">
        <v>2677448</v>
      </c>
      <c r="B2490" t="s">
        <v>1816</v>
      </c>
      <c r="C2490" s="39" t="s">
        <v>1393</v>
      </c>
      <c r="D2490" t="s">
        <v>4244</v>
      </c>
      <c r="F2490" s="56"/>
    </row>
    <row r="2491" spans="1:6" ht="15">
      <c r="A2491" s="51">
        <v>2677518</v>
      </c>
      <c r="B2491" t="s">
        <v>1729</v>
      </c>
      <c r="C2491" s="39" t="s">
        <v>1393</v>
      </c>
      <c r="D2491">
        <v>8</v>
      </c>
      <c r="F2491" s="56"/>
    </row>
    <row r="2492" spans="1:6" ht="15">
      <c r="A2492" s="51">
        <v>2679449</v>
      </c>
      <c r="B2492" t="s">
        <v>1395</v>
      </c>
      <c r="C2492" s="39" t="s">
        <v>1396</v>
      </c>
      <c r="D2492">
        <v>7</v>
      </c>
      <c r="F2492" s="56"/>
    </row>
    <row r="2493" spans="1:6" ht="15">
      <c r="A2493" s="51">
        <v>2753632</v>
      </c>
      <c r="B2493" t="s">
        <v>2204</v>
      </c>
      <c r="C2493" s="39" t="s">
        <v>138</v>
      </c>
      <c r="D2493">
        <v>9</v>
      </c>
      <c r="F2493" s="56"/>
    </row>
    <row r="2494" spans="1:6" ht="15">
      <c r="A2494" s="51">
        <v>2677564</v>
      </c>
      <c r="B2494" t="s">
        <v>1029</v>
      </c>
      <c r="C2494" s="39" t="s">
        <v>1410</v>
      </c>
      <c r="D2494" t="s">
        <v>468</v>
      </c>
      <c r="F2494" s="56"/>
    </row>
    <row r="2495" spans="1:6" ht="15">
      <c r="A2495" s="51">
        <v>2677441</v>
      </c>
      <c r="B2495" t="s">
        <v>1537</v>
      </c>
      <c r="C2495" s="39" t="s">
        <v>1410</v>
      </c>
      <c r="D2495" t="s">
        <v>469</v>
      </c>
      <c r="F2495" s="56"/>
    </row>
    <row r="2496" spans="1:6" ht="15">
      <c r="A2496" s="51">
        <v>2677515</v>
      </c>
      <c r="B2496" t="s">
        <v>1819</v>
      </c>
      <c r="C2496" s="39" t="s">
        <v>2205</v>
      </c>
      <c r="D2496">
        <v>8</v>
      </c>
      <c r="F2496" s="56"/>
    </row>
    <row r="2497" spans="1:6" ht="15">
      <c r="A2497" s="51">
        <v>2677558</v>
      </c>
      <c r="B2497" t="s">
        <v>2206</v>
      </c>
      <c r="C2497" s="39" t="s">
        <v>2205</v>
      </c>
      <c r="D2497">
        <v>8</v>
      </c>
      <c r="F2497" s="56"/>
    </row>
    <row r="2498" spans="1:6" ht="15">
      <c r="A2498" s="51">
        <v>2677469</v>
      </c>
      <c r="B2498" t="s">
        <v>2207</v>
      </c>
      <c r="C2498" s="39" t="s">
        <v>1290</v>
      </c>
      <c r="D2498" t="s">
        <v>4243</v>
      </c>
      <c r="F2498" s="56"/>
    </row>
    <row r="2499" spans="1:6" ht="15">
      <c r="A2499" s="51">
        <v>2677507</v>
      </c>
      <c r="B2499" t="s">
        <v>2208</v>
      </c>
      <c r="C2499" s="39" t="s">
        <v>1420</v>
      </c>
      <c r="D2499" t="s">
        <v>468</v>
      </c>
      <c r="F2499" s="56"/>
    </row>
    <row r="2500" spans="1:6" ht="15">
      <c r="A2500" s="51">
        <v>2679479</v>
      </c>
      <c r="B2500" t="s">
        <v>153</v>
      </c>
      <c r="C2500" s="39" t="s">
        <v>1290</v>
      </c>
      <c r="D2500">
        <v>8</v>
      </c>
      <c r="F2500" s="56"/>
    </row>
    <row r="2501" spans="1:6" ht="15">
      <c r="A2501" s="51">
        <v>2677548</v>
      </c>
      <c r="B2501" t="s">
        <v>2011</v>
      </c>
      <c r="C2501" s="39" t="s">
        <v>2209</v>
      </c>
      <c r="D2501" t="s">
        <v>1596</v>
      </c>
      <c r="F2501" s="56"/>
    </row>
    <row r="2502" spans="1:6" ht="15">
      <c r="A2502" s="51">
        <v>2677492</v>
      </c>
      <c r="B2502" t="s">
        <v>2210</v>
      </c>
      <c r="C2502" s="39" t="s">
        <v>2209</v>
      </c>
      <c r="D2502" t="s">
        <v>469</v>
      </c>
      <c r="F2502" s="56"/>
    </row>
    <row r="2503" spans="1:6" ht="15">
      <c r="A2503" s="51">
        <v>2753651</v>
      </c>
      <c r="B2503" t="s">
        <v>1755</v>
      </c>
      <c r="C2503" s="39" t="s">
        <v>2211</v>
      </c>
      <c r="D2503">
        <v>9</v>
      </c>
      <c r="F2503" s="56"/>
    </row>
    <row r="2504" spans="1:6" ht="15">
      <c r="A2504" s="51">
        <v>2677500</v>
      </c>
      <c r="B2504" t="s">
        <v>2212</v>
      </c>
      <c r="C2504" s="39" t="s">
        <v>140</v>
      </c>
      <c r="D2504">
        <v>8</v>
      </c>
      <c r="F2504" s="56"/>
    </row>
    <row r="2505" spans="1:6" ht="15">
      <c r="A2505" s="51">
        <v>2677444</v>
      </c>
      <c r="B2505" t="s">
        <v>2213</v>
      </c>
      <c r="C2505" s="39" t="s">
        <v>140</v>
      </c>
      <c r="D2505">
        <v>8</v>
      </c>
      <c r="F2505" s="56"/>
    </row>
    <row r="2506" spans="1:6" ht="15">
      <c r="A2506" s="51">
        <v>2677486</v>
      </c>
      <c r="B2506" t="s">
        <v>2214</v>
      </c>
      <c r="C2506" s="39" t="s">
        <v>140</v>
      </c>
      <c r="D2506">
        <v>8</v>
      </c>
      <c r="F2506" s="56"/>
    </row>
    <row r="2507" spans="1:6" ht="15">
      <c r="A2507" s="51">
        <v>2679451</v>
      </c>
      <c r="B2507" t="s">
        <v>1433</v>
      </c>
      <c r="C2507" s="39" t="s">
        <v>1434</v>
      </c>
      <c r="D2507">
        <v>9</v>
      </c>
      <c r="F2507" s="56"/>
    </row>
    <row r="2508" spans="1:6" ht="15">
      <c r="A2508" s="51">
        <v>2677524</v>
      </c>
      <c r="B2508" t="s">
        <v>184</v>
      </c>
      <c r="C2508" s="39" t="s">
        <v>394</v>
      </c>
      <c r="D2508" t="s">
        <v>4244</v>
      </c>
      <c r="F2508" s="56"/>
    </row>
    <row r="2509" spans="1:6" ht="15">
      <c r="A2509" s="51">
        <v>2677431</v>
      </c>
      <c r="B2509" t="s">
        <v>2215</v>
      </c>
      <c r="C2509" s="39" t="s">
        <v>394</v>
      </c>
      <c r="D2509" t="s">
        <v>4243</v>
      </c>
      <c r="F2509" s="56"/>
    </row>
    <row r="2510" spans="1:6" ht="15">
      <c r="A2510" s="51">
        <v>2677479</v>
      </c>
      <c r="B2510" t="s">
        <v>2022</v>
      </c>
      <c r="C2510" s="39" t="s">
        <v>1439</v>
      </c>
      <c r="D2510" t="s">
        <v>4243</v>
      </c>
      <c r="F2510" s="56"/>
    </row>
    <row r="2511" spans="1:6" ht="15">
      <c r="A2511" s="51">
        <v>2677552</v>
      </c>
      <c r="B2511" t="s">
        <v>1186</v>
      </c>
      <c r="C2511" s="39" t="s">
        <v>1439</v>
      </c>
      <c r="D2511">
        <v>8</v>
      </c>
      <c r="F2511" s="56"/>
    </row>
    <row r="2512" spans="1:6" ht="15">
      <c r="A2512" s="51">
        <v>2677462</v>
      </c>
      <c r="B2512" t="s">
        <v>1438</v>
      </c>
      <c r="C2512" s="39" t="s">
        <v>2216</v>
      </c>
      <c r="D2512" t="s">
        <v>4244</v>
      </c>
      <c r="F2512" s="56"/>
    </row>
    <row r="2513" spans="1:6" ht="15">
      <c r="A2513" s="51">
        <v>2677472</v>
      </c>
      <c r="B2513" t="s">
        <v>69</v>
      </c>
      <c r="C2513" s="39" t="s">
        <v>2216</v>
      </c>
      <c r="D2513" t="s">
        <v>4244</v>
      </c>
      <c r="F2513" s="56"/>
    </row>
    <row r="2514" spans="1:6" ht="15">
      <c r="A2514" s="51">
        <v>2677545</v>
      </c>
      <c r="B2514" t="s">
        <v>70</v>
      </c>
      <c r="C2514" s="39" t="s">
        <v>2216</v>
      </c>
      <c r="D2514">
        <v>7</v>
      </c>
      <c r="F2514" s="56"/>
    </row>
    <row r="2515" spans="1:6" ht="15">
      <c r="A2515" s="51">
        <v>2677454</v>
      </c>
      <c r="B2515" t="s">
        <v>1440</v>
      </c>
      <c r="C2515" s="39" t="s">
        <v>2216</v>
      </c>
      <c r="D2515">
        <v>8</v>
      </c>
      <c r="F2515" s="56"/>
    </row>
    <row r="2516" spans="1:6" ht="15">
      <c r="A2516" s="51">
        <v>2677526</v>
      </c>
      <c r="B2516" t="s">
        <v>2217</v>
      </c>
      <c r="C2516" s="39" t="s">
        <v>2218</v>
      </c>
      <c r="D2516" t="s">
        <v>4243</v>
      </c>
      <c r="F2516" s="56"/>
    </row>
    <row r="2517" spans="1:6" ht="15">
      <c r="A2517" s="51">
        <v>2677536</v>
      </c>
      <c r="B2517" t="s">
        <v>2219</v>
      </c>
      <c r="C2517" s="39" t="s">
        <v>224</v>
      </c>
      <c r="D2517">
        <v>7</v>
      </c>
      <c r="F2517" s="56"/>
    </row>
    <row r="2518" spans="1:6" ht="15">
      <c r="A2518" s="51">
        <v>2679484</v>
      </c>
      <c r="B2518" t="s">
        <v>2024</v>
      </c>
      <c r="C2518" s="39" t="s">
        <v>1284</v>
      </c>
      <c r="D2518">
        <v>8</v>
      </c>
      <c r="F2518" s="56"/>
    </row>
    <row r="2519" spans="1:6" ht="15">
      <c r="A2519" s="51">
        <v>2679486</v>
      </c>
      <c r="B2519" t="s">
        <v>2026</v>
      </c>
      <c r="C2519" s="39" t="s">
        <v>2027</v>
      </c>
      <c r="D2519">
        <v>9</v>
      </c>
      <c r="F2519" s="56"/>
    </row>
    <row r="2520" spans="1:6" ht="15">
      <c r="A2520" s="51">
        <v>2753660</v>
      </c>
      <c r="B2520" t="s">
        <v>868</v>
      </c>
      <c r="C2520" s="39" t="s">
        <v>1918</v>
      </c>
      <c r="D2520">
        <v>8</v>
      </c>
      <c r="F2520" s="56"/>
    </row>
    <row r="2521" spans="1:6" ht="15">
      <c r="A2521" s="51">
        <v>2753661</v>
      </c>
      <c r="B2521" t="s">
        <v>870</v>
      </c>
      <c r="C2521" s="39" t="s">
        <v>1918</v>
      </c>
      <c r="D2521">
        <v>8</v>
      </c>
      <c r="F2521" s="56"/>
    </row>
    <row r="2522" spans="1:6" ht="15">
      <c r="A2522" s="51">
        <v>2753680</v>
      </c>
      <c r="B2522" t="s">
        <v>199</v>
      </c>
      <c r="C2522" s="39" t="s">
        <v>1284</v>
      </c>
      <c r="D2522">
        <v>8</v>
      </c>
      <c r="F2522" s="56"/>
    </row>
    <row r="2523" spans="1:6" ht="15">
      <c r="A2523" s="51">
        <v>2753681</v>
      </c>
      <c r="B2523" t="s">
        <v>201</v>
      </c>
      <c r="C2523" s="39" t="s">
        <v>1284</v>
      </c>
      <c r="D2523">
        <v>8</v>
      </c>
      <c r="F2523" s="56"/>
    </row>
    <row r="2524" spans="1:6" ht="15">
      <c r="A2524" s="51">
        <v>2753658</v>
      </c>
      <c r="B2524" t="s">
        <v>873</v>
      </c>
      <c r="C2524" s="39" t="s">
        <v>1284</v>
      </c>
      <c r="D2524">
        <v>8</v>
      </c>
      <c r="F2524" s="56"/>
    </row>
    <row r="2525" spans="1:6" ht="15">
      <c r="A2525" s="51">
        <v>2753659</v>
      </c>
      <c r="B2525" t="s">
        <v>874</v>
      </c>
      <c r="C2525" s="39" t="s">
        <v>1284</v>
      </c>
      <c r="D2525">
        <v>8</v>
      </c>
      <c r="F2525" s="56"/>
    </row>
    <row r="2526" spans="1:6" ht="15">
      <c r="A2526" s="51">
        <v>2679455</v>
      </c>
      <c r="B2526" t="s">
        <v>875</v>
      </c>
      <c r="C2526" s="39" t="s">
        <v>1284</v>
      </c>
      <c r="D2526">
        <v>8</v>
      </c>
      <c r="F2526" s="56"/>
    </row>
    <row r="2527" spans="1:6" ht="15">
      <c r="A2527" s="51">
        <v>2677453</v>
      </c>
      <c r="B2527" t="s">
        <v>2031</v>
      </c>
      <c r="C2527" s="39" t="s">
        <v>1457</v>
      </c>
      <c r="D2527" t="s">
        <v>4247</v>
      </c>
      <c r="F2527" s="56"/>
    </row>
    <row r="2528" spans="1:6" ht="15">
      <c r="A2528" s="51">
        <v>2677509</v>
      </c>
      <c r="B2528" t="s">
        <v>404</v>
      </c>
      <c r="C2528" s="39" t="s">
        <v>1457</v>
      </c>
      <c r="D2528" t="s">
        <v>4244</v>
      </c>
      <c r="F2528" s="56"/>
    </row>
    <row r="2529" spans="1:6" ht="15">
      <c r="A2529" s="51">
        <v>2677535</v>
      </c>
      <c r="B2529" t="s">
        <v>406</v>
      </c>
      <c r="C2529" s="39" t="s">
        <v>1457</v>
      </c>
      <c r="D2529" t="s">
        <v>4243</v>
      </c>
      <c r="F2529" s="56"/>
    </row>
    <row r="2530" spans="1:6" ht="15">
      <c r="A2530" s="51">
        <v>2677495</v>
      </c>
      <c r="B2530" t="s">
        <v>2220</v>
      </c>
      <c r="C2530" s="39" t="s">
        <v>2193</v>
      </c>
      <c r="D2530" t="s">
        <v>4244</v>
      </c>
      <c r="F2530" s="56"/>
    </row>
    <row r="2531" spans="1:6" ht="15">
      <c r="A2531" s="51">
        <v>2677514</v>
      </c>
      <c r="B2531" t="s">
        <v>2221</v>
      </c>
      <c r="C2531" s="39" t="s">
        <v>2193</v>
      </c>
      <c r="D2531" t="s">
        <v>4244</v>
      </c>
      <c r="F2531" s="56"/>
    </row>
    <row r="2532" spans="1:6" ht="15">
      <c r="A2532" s="51">
        <v>2677541</v>
      </c>
      <c r="B2532" t="s">
        <v>1568</v>
      </c>
      <c r="C2532" s="39" t="s">
        <v>2193</v>
      </c>
      <c r="D2532" t="s">
        <v>4243</v>
      </c>
      <c r="F2532" s="56"/>
    </row>
    <row r="2533" spans="1:6" ht="15">
      <c r="A2533" s="51">
        <v>2753653</v>
      </c>
      <c r="B2533" t="s">
        <v>2222</v>
      </c>
      <c r="C2533" s="39" t="s">
        <v>1457</v>
      </c>
      <c r="D2533" t="s">
        <v>4244</v>
      </c>
      <c r="F2533" s="56"/>
    </row>
    <row r="2534" spans="1:6" ht="15">
      <c r="A2534" s="51">
        <v>2753667</v>
      </c>
      <c r="B2534" t="s">
        <v>2223</v>
      </c>
      <c r="C2534" s="39" t="s">
        <v>2032</v>
      </c>
      <c r="D2534" t="s">
        <v>4243</v>
      </c>
      <c r="F2534" s="56"/>
    </row>
    <row r="2535" spans="1:6" ht="15">
      <c r="A2535" s="51">
        <v>2753666</v>
      </c>
      <c r="B2535" t="s">
        <v>2224</v>
      </c>
      <c r="C2535" s="39" t="s">
        <v>2032</v>
      </c>
      <c r="D2535" t="s">
        <v>4243</v>
      </c>
      <c r="F2535" s="56"/>
    </row>
    <row r="2536" spans="1:6" ht="15">
      <c r="A2536" s="51">
        <v>2677470</v>
      </c>
      <c r="B2536" t="s">
        <v>2225</v>
      </c>
      <c r="C2536" s="39" t="s">
        <v>2226</v>
      </c>
      <c r="D2536" t="s">
        <v>4245</v>
      </c>
      <c r="F2536" s="56"/>
    </row>
    <row r="2537" spans="1:6" ht="15">
      <c r="A2537" s="51">
        <v>2677520</v>
      </c>
      <c r="B2537" t="s">
        <v>2227</v>
      </c>
      <c r="C2537" s="39" t="s">
        <v>2226</v>
      </c>
      <c r="D2537" t="s">
        <v>4245</v>
      </c>
      <c r="F2537" s="56"/>
    </row>
    <row r="2538" spans="1:6" ht="15">
      <c r="A2538" s="51">
        <v>2679456</v>
      </c>
      <c r="B2538" t="s">
        <v>1463</v>
      </c>
      <c r="C2538" s="39" t="s">
        <v>1462</v>
      </c>
      <c r="D2538" t="s">
        <v>4247</v>
      </c>
      <c r="F2538" s="56"/>
    </row>
    <row r="2539" spans="1:6" ht="15">
      <c r="A2539" s="51">
        <v>2753650</v>
      </c>
      <c r="B2539" t="s">
        <v>1673</v>
      </c>
      <c r="C2539" s="39" t="s">
        <v>2228</v>
      </c>
      <c r="D2539">
        <v>9</v>
      </c>
      <c r="F2539" s="56"/>
    </row>
    <row r="2540" spans="1:6" ht="15">
      <c r="A2540" s="51">
        <v>2677449</v>
      </c>
      <c r="B2540" t="s">
        <v>2229</v>
      </c>
      <c r="C2540" s="39" t="s">
        <v>394</v>
      </c>
      <c r="D2540">
        <v>7</v>
      </c>
      <c r="F2540" s="56"/>
    </row>
    <row r="2541" spans="1:6" ht="15">
      <c r="A2541" s="51">
        <v>2677476</v>
      </c>
      <c r="B2541" t="s">
        <v>1844</v>
      </c>
      <c r="C2541" s="39" t="s">
        <v>2167</v>
      </c>
      <c r="D2541" t="s">
        <v>4247</v>
      </c>
      <c r="F2541" s="56"/>
    </row>
    <row r="2542" spans="1:6" ht="15">
      <c r="A2542" s="51">
        <v>2677499</v>
      </c>
      <c r="B2542" t="s">
        <v>2230</v>
      </c>
      <c r="C2542" s="39" t="s">
        <v>2167</v>
      </c>
      <c r="D2542">
        <v>8</v>
      </c>
      <c r="F2542" s="56"/>
    </row>
    <row r="2543" spans="1:6" ht="15">
      <c r="A2543" s="51">
        <v>2677458</v>
      </c>
      <c r="B2543" t="s">
        <v>2231</v>
      </c>
      <c r="C2543" s="39" t="s">
        <v>2053</v>
      </c>
      <c r="D2543" t="s">
        <v>4246</v>
      </c>
      <c r="F2543" s="56"/>
    </row>
    <row r="2544" spans="1:6" ht="15">
      <c r="A2544" s="51">
        <v>2677481</v>
      </c>
      <c r="B2544" t="s">
        <v>1465</v>
      </c>
      <c r="C2544" s="39" t="s">
        <v>2053</v>
      </c>
      <c r="D2544" t="s">
        <v>4246</v>
      </c>
      <c r="F2544" s="56"/>
    </row>
    <row r="2545" spans="1:6" ht="15">
      <c r="A2545" s="51">
        <v>2753668</v>
      </c>
      <c r="B2545" t="s">
        <v>2045</v>
      </c>
      <c r="C2545" s="39" t="s">
        <v>2046</v>
      </c>
      <c r="D2545">
        <v>7</v>
      </c>
      <c r="F2545" s="56"/>
    </row>
    <row r="2546" spans="1:6" ht="15">
      <c r="A2546" s="51">
        <v>2753642</v>
      </c>
      <c r="B2546" t="s">
        <v>2232</v>
      </c>
      <c r="C2546" s="39" t="s">
        <v>2147</v>
      </c>
      <c r="D2546" t="s">
        <v>4247</v>
      </c>
      <c r="F2546" s="56"/>
    </row>
    <row r="2547" spans="1:6" ht="15">
      <c r="A2547" s="51">
        <v>2753643</v>
      </c>
      <c r="B2547" t="s">
        <v>2233</v>
      </c>
      <c r="C2547" s="39" t="s">
        <v>2147</v>
      </c>
      <c r="D2547">
        <v>7</v>
      </c>
      <c r="F2547" s="56"/>
    </row>
    <row r="2548" spans="1:6" ht="15">
      <c r="A2548" s="51">
        <v>2753644</v>
      </c>
      <c r="B2548" t="s">
        <v>1103</v>
      </c>
      <c r="C2548" s="39" t="s">
        <v>2147</v>
      </c>
      <c r="D2548">
        <v>8</v>
      </c>
      <c r="F2548" s="56"/>
    </row>
    <row r="2549" spans="1:6" ht="15">
      <c r="A2549" s="51">
        <v>2679506</v>
      </c>
      <c r="B2549" t="s">
        <v>2234</v>
      </c>
      <c r="C2549" s="39" t="s">
        <v>2144</v>
      </c>
      <c r="D2549">
        <v>9</v>
      </c>
      <c r="F2549" s="56"/>
    </row>
    <row r="2550" spans="1:6" ht="15">
      <c r="A2550" s="51">
        <v>2679505</v>
      </c>
      <c r="B2550" t="s">
        <v>2235</v>
      </c>
      <c r="C2550" s="39" t="s">
        <v>2236</v>
      </c>
      <c r="D2550">
        <v>8</v>
      </c>
      <c r="F2550" s="56"/>
    </row>
    <row r="2551" spans="1:6" ht="15">
      <c r="A2551" s="51">
        <v>2677538</v>
      </c>
      <c r="B2551" t="s">
        <v>1196</v>
      </c>
      <c r="C2551" s="39" t="s">
        <v>561</v>
      </c>
      <c r="D2551" t="s">
        <v>4244</v>
      </c>
      <c r="F2551" s="56"/>
    </row>
    <row r="2552" spans="1:6" ht="15">
      <c r="A2552" s="51">
        <v>2677464</v>
      </c>
      <c r="B2552" t="s">
        <v>1197</v>
      </c>
      <c r="C2552" s="39" t="s">
        <v>561</v>
      </c>
      <c r="D2552" t="s">
        <v>4244</v>
      </c>
      <c r="F2552" s="56"/>
    </row>
    <row r="2553" spans="1:6" ht="15">
      <c r="A2553" s="51">
        <v>2677490</v>
      </c>
      <c r="B2553" t="s">
        <v>2237</v>
      </c>
      <c r="C2553" s="39" t="s">
        <v>2238</v>
      </c>
      <c r="D2553">
        <v>8</v>
      </c>
      <c r="F2553" s="56"/>
    </row>
    <row r="2554" spans="1:6" ht="15">
      <c r="A2554" s="51">
        <v>2677547</v>
      </c>
      <c r="B2554" t="s">
        <v>2239</v>
      </c>
      <c r="C2554" s="39" t="s">
        <v>2238</v>
      </c>
      <c r="D2554">
        <v>8</v>
      </c>
      <c r="F2554" s="56"/>
    </row>
    <row r="2555" spans="1:6" ht="15">
      <c r="A2555" s="51">
        <v>2677437</v>
      </c>
      <c r="B2555" t="s">
        <v>2240</v>
      </c>
      <c r="C2555" s="39" t="s">
        <v>1795</v>
      </c>
      <c r="D2555">
        <v>8</v>
      </c>
      <c r="F2555" s="56"/>
    </row>
    <row r="2556" spans="1:6" ht="15">
      <c r="A2556" s="51">
        <v>2677530</v>
      </c>
      <c r="B2556" t="s">
        <v>2241</v>
      </c>
      <c r="C2556" s="39" t="s">
        <v>2242</v>
      </c>
      <c r="D2556">
        <v>7</v>
      </c>
      <c r="F2556" s="56"/>
    </row>
    <row r="2557" spans="1:6" ht="15">
      <c r="A2557" s="51">
        <v>2677556</v>
      </c>
      <c r="B2557" t="s">
        <v>1847</v>
      </c>
      <c r="C2557" s="39" t="s">
        <v>2242</v>
      </c>
      <c r="D2557">
        <v>7</v>
      </c>
      <c r="F2557" s="56"/>
    </row>
    <row r="2558" spans="1:6" ht="15">
      <c r="A2558" s="51">
        <v>2753669</v>
      </c>
      <c r="B2558" t="s">
        <v>2243</v>
      </c>
      <c r="C2558" s="39" t="s">
        <v>1482</v>
      </c>
      <c r="D2558" t="s">
        <v>4244</v>
      </c>
      <c r="F2558" s="56"/>
    </row>
    <row r="2559" spans="1:6" ht="15">
      <c r="A2559" s="51">
        <v>2679489</v>
      </c>
      <c r="B2559" t="s">
        <v>2069</v>
      </c>
      <c r="C2559" s="39" t="s">
        <v>2070</v>
      </c>
      <c r="D2559" t="s">
        <v>4243</v>
      </c>
      <c r="F2559" s="56"/>
    </row>
    <row r="2560" spans="1:6" ht="15">
      <c r="A2560" s="51">
        <v>2677446</v>
      </c>
      <c r="B2560" t="s">
        <v>1856</v>
      </c>
      <c r="C2560" s="39" t="s">
        <v>2244</v>
      </c>
      <c r="D2560">
        <v>8</v>
      </c>
      <c r="F2560" s="56"/>
    </row>
    <row r="2561" spans="1:6" ht="15">
      <c r="A2561" s="51">
        <v>2679509</v>
      </c>
      <c r="B2561" t="s">
        <v>2245</v>
      </c>
      <c r="C2561" s="39" t="s">
        <v>2246</v>
      </c>
      <c r="D2561" t="s">
        <v>4247</v>
      </c>
      <c r="F2561" s="56"/>
    </row>
    <row r="2562" spans="1:6" ht="15">
      <c r="A2562" s="51">
        <v>2677504</v>
      </c>
      <c r="B2562" t="s">
        <v>2247</v>
      </c>
      <c r="C2562" s="39" t="s">
        <v>2246</v>
      </c>
      <c r="D2562" t="s">
        <v>4247</v>
      </c>
      <c r="F2562" s="56"/>
    </row>
    <row r="2563" spans="1:6" ht="15">
      <c r="A2563" s="51">
        <v>2677563</v>
      </c>
      <c r="B2563" t="s">
        <v>244</v>
      </c>
      <c r="C2563" s="39" t="s">
        <v>2246</v>
      </c>
      <c r="D2563" t="s">
        <v>4247</v>
      </c>
      <c r="F2563" s="56"/>
    </row>
    <row r="2564" spans="1:6" ht="15">
      <c r="A2564" s="51">
        <v>2677491</v>
      </c>
      <c r="B2564" t="s">
        <v>2248</v>
      </c>
      <c r="C2564" s="39" t="s">
        <v>2246</v>
      </c>
      <c r="D2564" t="s">
        <v>4243</v>
      </c>
      <c r="F2564" s="56"/>
    </row>
    <row r="2565" spans="1:6" ht="15">
      <c r="A2565" s="51">
        <v>2677511</v>
      </c>
      <c r="B2565" t="s">
        <v>242</v>
      </c>
      <c r="C2565" s="39" t="s">
        <v>2246</v>
      </c>
      <c r="D2565" t="s">
        <v>4244</v>
      </c>
      <c r="F2565" s="56"/>
    </row>
    <row r="2566" spans="1:6" ht="15">
      <c r="A2566" s="51">
        <v>2677539</v>
      </c>
      <c r="B2566" t="s">
        <v>245</v>
      </c>
      <c r="C2566" s="39" t="s">
        <v>2246</v>
      </c>
      <c r="D2566" t="s">
        <v>4244</v>
      </c>
      <c r="F2566" s="56"/>
    </row>
    <row r="2567" spans="1:6" ht="15">
      <c r="A2567" s="51">
        <v>2677498</v>
      </c>
      <c r="B2567" t="s">
        <v>2249</v>
      </c>
      <c r="C2567" s="39" t="s">
        <v>2246</v>
      </c>
      <c r="D2567">
        <v>7</v>
      </c>
      <c r="F2567" s="56"/>
    </row>
    <row r="2568" spans="1:6" ht="15">
      <c r="A2568" s="51">
        <v>2677519</v>
      </c>
      <c r="B2568" t="s">
        <v>1860</v>
      </c>
      <c r="C2568" s="39" t="s">
        <v>2246</v>
      </c>
      <c r="D2568">
        <v>8</v>
      </c>
      <c r="F2568" s="56"/>
    </row>
    <row r="2569" spans="1:6" ht="15">
      <c r="A2569" s="51">
        <v>1527866</v>
      </c>
      <c r="B2569" t="s">
        <v>1930</v>
      </c>
      <c r="C2569" s="39" t="s">
        <v>1312</v>
      </c>
      <c r="D2569">
        <v>9</v>
      </c>
      <c r="F2569" s="56"/>
    </row>
    <row r="2570" spans="1:6" ht="15">
      <c r="A2570" s="51">
        <v>2677440</v>
      </c>
      <c r="B2570" t="s">
        <v>2250</v>
      </c>
      <c r="C2570" s="39" t="s">
        <v>2118</v>
      </c>
      <c r="D2570">
        <v>8</v>
      </c>
      <c r="F2570" s="56"/>
    </row>
    <row r="2571" spans="1:6" ht="15">
      <c r="A2571" s="51">
        <v>2677467</v>
      </c>
      <c r="B2571" t="s">
        <v>2073</v>
      </c>
      <c r="C2571" s="39" t="s">
        <v>2251</v>
      </c>
      <c r="D2571">
        <v>8</v>
      </c>
      <c r="F2571" s="56"/>
    </row>
    <row r="2572" spans="1:6" ht="15">
      <c r="A2572" s="51">
        <v>2677521</v>
      </c>
      <c r="B2572" t="s">
        <v>2252</v>
      </c>
      <c r="C2572" s="39" t="s">
        <v>2251</v>
      </c>
      <c r="D2572">
        <v>8</v>
      </c>
      <c r="F2572" s="56"/>
    </row>
    <row r="2573" spans="1:6" ht="15">
      <c r="A2573" s="51">
        <v>2677451</v>
      </c>
      <c r="B2573" t="s">
        <v>2253</v>
      </c>
      <c r="C2573" s="39" t="s">
        <v>2251</v>
      </c>
      <c r="D2573">
        <v>8</v>
      </c>
      <c r="F2573" s="56"/>
    </row>
    <row r="2574" spans="1:6" ht="15">
      <c r="A2574" s="51">
        <v>2677475</v>
      </c>
      <c r="B2574" t="s">
        <v>425</v>
      </c>
      <c r="C2574" s="39" t="s">
        <v>2177</v>
      </c>
      <c r="D2574">
        <v>8</v>
      </c>
      <c r="F2574" s="56"/>
    </row>
    <row r="2575" spans="1:6" ht="15">
      <c r="A2575" s="51">
        <v>2677532</v>
      </c>
      <c r="B2575" t="s">
        <v>1117</v>
      </c>
      <c r="C2575" s="39" t="s">
        <v>2167</v>
      </c>
      <c r="D2575">
        <v>8</v>
      </c>
      <c r="F2575" s="56"/>
    </row>
    <row r="2576" spans="1:6" ht="15">
      <c r="A2576" s="51">
        <v>2677459</v>
      </c>
      <c r="B2576" t="s">
        <v>2254</v>
      </c>
      <c r="C2576" s="39" t="s">
        <v>1484</v>
      </c>
      <c r="D2576">
        <v>8</v>
      </c>
      <c r="F2576" s="56"/>
    </row>
    <row r="2577" spans="1:6" ht="15">
      <c r="A2577" s="51">
        <v>2677483</v>
      </c>
      <c r="B2577" t="s">
        <v>2255</v>
      </c>
      <c r="C2577" s="39" t="s">
        <v>1484</v>
      </c>
      <c r="D2577">
        <v>8</v>
      </c>
      <c r="F2577" s="56"/>
    </row>
    <row r="2578" spans="1:6" ht="15">
      <c r="A2578" s="51">
        <v>2677542</v>
      </c>
      <c r="B2578" t="s">
        <v>1205</v>
      </c>
      <c r="C2578" s="39" t="s">
        <v>1504</v>
      </c>
      <c r="D2578" t="s">
        <v>4243</v>
      </c>
      <c r="F2578" s="56"/>
    </row>
    <row r="2579" spans="1:6" ht="15">
      <c r="A2579" s="51">
        <v>2753670</v>
      </c>
      <c r="B2579" t="s">
        <v>2256</v>
      </c>
      <c r="C2579" s="39" t="s">
        <v>2074</v>
      </c>
      <c r="D2579">
        <v>8</v>
      </c>
      <c r="F2579" s="56"/>
    </row>
    <row r="2580" spans="1:6" ht="15">
      <c r="A2580" s="51">
        <v>2753662</v>
      </c>
      <c r="B2580" t="s">
        <v>2257</v>
      </c>
      <c r="C2580" s="39" t="s">
        <v>1495</v>
      </c>
      <c r="D2580" t="s">
        <v>4243</v>
      </c>
      <c r="F2580" s="56"/>
    </row>
    <row r="2581" spans="1:6" ht="15">
      <c r="A2581" s="51">
        <v>2753663</v>
      </c>
      <c r="B2581" t="s">
        <v>1494</v>
      </c>
      <c r="C2581" s="39" t="s">
        <v>1495</v>
      </c>
      <c r="D2581" t="s">
        <v>4243</v>
      </c>
      <c r="F2581" s="56"/>
    </row>
    <row r="2582" spans="1:6" ht="15">
      <c r="A2582" s="51">
        <v>2753683</v>
      </c>
      <c r="B2582" t="s">
        <v>1496</v>
      </c>
      <c r="C2582" s="39" t="s">
        <v>1495</v>
      </c>
      <c r="D2582">
        <v>8</v>
      </c>
      <c r="F2582" s="56"/>
    </row>
    <row r="2583" spans="1:6" ht="15">
      <c r="A2583" s="51">
        <v>2753684</v>
      </c>
      <c r="B2583" t="s">
        <v>1497</v>
      </c>
      <c r="C2583" s="39" t="s">
        <v>1495</v>
      </c>
      <c r="D2583">
        <v>8</v>
      </c>
      <c r="F2583" s="56"/>
    </row>
    <row r="2584" spans="1:6" ht="15">
      <c r="A2584" s="51">
        <v>2679459</v>
      </c>
      <c r="B2584" t="s">
        <v>1498</v>
      </c>
      <c r="C2584" s="39" t="s">
        <v>1499</v>
      </c>
      <c r="D2584">
        <v>8</v>
      </c>
      <c r="F2584" s="56"/>
    </row>
    <row r="2585" spans="1:6" ht="15">
      <c r="A2585" s="51">
        <v>2753664</v>
      </c>
      <c r="B2585" t="s">
        <v>1500</v>
      </c>
      <c r="C2585" s="39" t="s">
        <v>1501</v>
      </c>
      <c r="D2585" t="s">
        <v>4244</v>
      </c>
      <c r="F2585" s="56"/>
    </row>
    <row r="2586" spans="1:6" ht="15">
      <c r="A2586" s="51">
        <v>2753685</v>
      </c>
      <c r="B2586" t="s">
        <v>1502</v>
      </c>
      <c r="C2586" s="39" t="s">
        <v>1501</v>
      </c>
      <c r="D2586">
        <v>8</v>
      </c>
      <c r="F2586" s="56"/>
    </row>
    <row r="2587" spans="1:6" ht="15">
      <c r="A2587" s="51">
        <v>2753652</v>
      </c>
      <c r="B2587" t="s">
        <v>2258</v>
      </c>
      <c r="C2587" s="39" t="s">
        <v>2246</v>
      </c>
      <c r="D2587" t="s">
        <v>4247</v>
      </c>
      <c r="F2587" s="56"/>
    </row>
    <row r="2588" spans="1:6" ht="15">
      <c r="A2588" s="51">
        <v>2753682</v>
      </c>
      <c r="B2588" t="s">
        <v>2259</v>
      </c>
      <c r="C2588" s="39" t="s">
        <v>1486</v>
      </c>
      <c r="D2588">
        <v>8</v>
      </c>
      <c r="F2588" s="56"/>
    </row>
    <row r="2589" spans="1:6" ht="15">
      <c r="A2589" s="51">
        <v>2679493</v>
      </c>
      <c r="B2589" t="s">
        <v>2078</v>
      </c>
      <c r="C2589" s="39" t="s">
        <v>2260</v>
      </c>
      <c r="D2589" t="s">
        <v>4244</v>
      </c>
      <c r="F2589" s="56"/>
    </row>
    <row r="2590" spans="1:6" ht="15">
      <c r="A2590" s="51">
        <v>2677523</v>
      </c>
      <c r="B2590" t="s">
        <v>2261</v>
      </c>
      <c r="C2590" s="39" t="s">
        <v>2260</v>
      </c>
      <c r="D2590" t="s">
        <v>4244</v>
      </c>
      <c r="F2590" s="56"/>
    </row>
    <row r="2591" spans="1:6" ht="15">
      <c r="A2591" s="51">
        <v>2677551</v>
      </c>
      <c r="B2591" t="s">
        <v>2262</v>
      </c>
      <c r="C2591" s="39" t="s">
        <v>2260</v>
      </c>
      <c r="D2591" t="s">
        <v>4244</v>
      </c>
      <c r="F2591" s="56"/>
    </row>
    <row r="2592" spans="1:6" ht="15">
      <c r="A2592" s="51">
        <v>2677445</v>
      </c>
      <c r="B2592" t="s">
        <v>2263</v>
      </c>
      <c r="C2592" s="39" t="s">
        <v>2260</v>
      </c>
      <c r="D2592" t="s">
        <v>4244</v>
      </c>
      <c r="F2592" s="56"/>
    </row>
    <row r="2593" spans="1:6" ht="15">
      <c r="A2593" s="51">
        <v>2677501</v>
      </c>
      <c r="B2593" t="s">
        <v>2264</v>
      </c>
      <c r="C2593" s="39" t="s">
        <v>2265</v>
      </c>
      <c r="D2593">
        <v>8</v>
      </c>
      <c r="F2593" s="56"/>
    </row>
    <row r="2594" spans="1:6" ht="15">
      <c r="A2594" s="51">
        <v>2677561</v>
      </c>
      <c r="B2594" t="s">
        <v>2266</v>
      </c>
      <c r="C2594" s="39" t="s">
        <v>2265</v>
      </c>
      <c r="D2594">
        <v>8</v>
      </c>
      <c r="F2594" s="56"/>
    </row>
    <row r="2595" spans="1:6" ht="15">
      <c r="A2595" s="51">
        <v>2753672</v>
      </c>
      <c r="B2595" t="s">
        <v>2082</v>
      </c>
      <c r="C2595" s="39" t="s">
        <v>1308</v>
      </c>
      <c r="D2595">
        <v>8</v>
      </c>
      <c r="F2595" s="56"/>
    </row>
    <row r="2596" spans="1:6" ht="15">
      <c r="A2596" s="51">
        <v>2753671</v>
      </c>
      <c r="B2596" t="s">
        <v>883</v>
      </c>
      <c r="C2596" s="39" t="s">
        <v>1308</v>
      </c>
      <c r="D2596">
        <v>8</v>
      </c>
      <c r="F2596" s="56"/>
    </row>
    <row r="2597" spans="1:6" ht="15">
      <c r="A2597" s="51">
        <v>2753673</v>
      </c>
      <c r="B2597" t="s">
        <v>2083</v>
      </c>
      <c r="C2597" s="39" t="s">
        <v>1308</v>
      </c>
      <c r="D2597">
        <v>8</v>
      </c>
      <c r="F2597" s="56"/>
    </row>
    <row r="2598" spans="1:6" ht="15">
      <c r="A2598" s="51">
        <v>2679465</v>
      </c>
      <c r="B2598" t="s">
        <v>259</v>
      </c>
      <c r="C2598" s="39" t="s">
        <v>440</v>
      </c>
      <c r="D2598">
        <v>9</v>
      </c>
      <c r="F2598" s="56"/>
    </row>
    <row r="2599" spans="1:6" ht="15">
      <c r="A2599" s="51">
        <v>2753674</v>
      </c>
      <c r="B2599" t="s">
        <v>2267</v>
      </c>
      <c r="C2599" s="39" t="s">
        <v>258</v>
      </c>
      <c r="D2599">
        <v>9</v>
      </c>
      <c r="F2599" s="56"/>
    </row>
    <row r="2600" spans="1:6" ht="15">
      <c r="A2600" s="51">
        <v>2677488</v>
      </c>
      <c r="B2600" t="s">
        <v>1133</v>
      </c>
      <c r="C2600" s="39" t="s">
        <v>550</v>
      </c>
      <c r="D2600" t="s">
        <v>4243</v>
      </c>
      <c r="F2600" s="56"/>
    </row>
    <row r="2601" spans="1:6" ht="15">
      <c r="A2601" s="51">
        <v>2679508</v>
      </c>
      <c r="B2601" t="s">
        <v>2268</v>
      </c>
      <c r="C2601" s="39" t="s">
        <v>1515</v>
      </c>
      <c r="D2601" t="s">
        <v>1595</v>
      </c>
      <c r="F2601" s="56"/>
    </row>
    <row r="2602" spans="1:6" ht="15">
      <c r="A2602" s="51">
        <v>2677503</v>
      </c>
      <c r="B2602" t="s">
        <v>2269</v>
      </c>
      <c r="C2602" s="39" t="s">
        <v>550</v>
      </c>
      <c r="D2602" t="s">
        <v>4243</v>
      </c>
      <c r="F2602" s="56"/>
    </row>
    <row r="2603" spans="1:6" ht="15">
      <c r="A2603" s="51">
        <v>2677562</v>
      </c>
      <c r="B2603" t="s">
        <v>457</v>
      </c>
      <c r="C2603" s="39" t="s">
        <v>2270</v>
      </c>
      <c r="D2603" t="s">
        <v>4243</v>
      </c>
      <c r="F2603" s="56"/>
    </row>
    <row r="2604" spans="1:6" ht="15">
      <c r="A2604" s="51">
        <v>2677487</v>
      </c>
      <c r="B2604" t="s">
        <v>2271</v>
      </c>
      <c r="C2604" s="39" t="s">
        <v>2270</v>
      </c>
      <c r="D2604" t="s">
        <v>4243</v>
      </c>
      <c r="F2604" s="56"/>
    </row>
    <row r="2605" spans="1:6" ht="15">
      <c r="A2605" s="51">
        <v>2677510</v>
      </c>
      <c r="B2605" t="s">
        <v>277</v>
      </c>
      <c r="C2605" s="39" t="s">
        <v>2270</v>
      </c>
      <c r="D2605" t="s">
        <v>4243</v>
      </c>
      <c r="F2605" s="56"/>
    </row>
    <row r="2606" spans="1:6" ht="15">
      <c r="A2606" s="51">
        <v>2677432</v>
      </c>
      <c r="B2606" t="s">
        <v>2272</v>
      </c>
      <c r="C2606" s="39" t="s">
        <v>1385</v>
      </c>
      <c r="D2606" t="s">
        <v>4243</v>
      </c>
      <c r="F2606" s="56"/>
    </row>
    <row r="2607" spans="1:6" ht="15">
      <c r="A2607" s="51">
        <v>2677496</v>
      </c>
      <c r="B2607" t="s">
        <v>2273</v>
      </c>
      <c r="C2607" s="39" t="s">
        <v>1799</v>
      </c>
      <c r="D2607">
        <v>7</v>
      </c>
      <c r="F2607" s="56"/>
    </row>
    <row r="2608" spans="1:6" ht="15">
      <c r="A2608" s="51">
        <v>2677468</v>
      </c>
      <c r="B2608" t="s">
        <v>2274</v>
      </c>
      <c r="C2608" s="39" t="s">
        <v>2275</v>
      </c>
      <c r="D2608" t="s">
        <v>4243</v>
      </c>
      <c r="F2608" s="56"/>
    </row>
    <row r="2609" spans="1:6" ht="15">
      <c r="A2609" s="51">
        <v>2677559</v>
      </c>
      <c r="B2609" t="s">
        <v>2276</v>
      </c>
      <c r="C2609" s="39" t="s">
        <v>2275</v>
      </c>
      <c r="D2609" t="s">
        <v>4243</v>
      </c>
      <c r="F2609" s="56"/>
    </row>
    <row r="2610" spans="1:6" ht="15">
      <c r="A2610" s="51">
        <v>2677450</v>
      </c>
      <c r="B2610" t="s">
        <v>1139</v>
      </c>
      <c r="C2610" s="39" t="s">
        <v>2163</v>
      </c>
      <c r="D2610">
        <v>7</v>
      </c>
      <c r="F2610" s="56"/>
    </row>
    <row r="2611" spans="1:6" ht="15">
      <c r="A2611" s="51">
        <v>2677477</v>
      </c>
      <c r="B2611" t="s">
        <v>1140</v>
      </c>
      <c r="C2611" s="39" t="s">
        <v>2163</v>
      </c>
      <c r="D2611">
        <v>7</v>
      </c>
      <c r="F2611" s="56"/>
    </row>
    <row r="2612" spans="1:6" ht="15">
      <c r="A2612" s="51">
        <v>2677531</v>
      </c>
      <c r="B2612" t="s">
        <v>2093</v>
      </c>
      <c r="C2612" s="39" t="s">
        <v>2163</v>
      </c>
      <c r="D2612">
        <v>8</v>
      </c>
      <c r="F2612" s="56"/>
    </row>
    <row r="2613" spans="1:6" ht="15">
      <c r="A2613" s="51">
        <v>2677460</v>
      </c>
      <c r="B2613" t="s">
        <v>2277</v>
      </c>
      <c r="C2613" s="39" t="s">
        <v>2163</v>
      </c>
      <c r="D2613">
        <v>8</v>
      </c>
      <c r="F2613" s="56"/>
    </row>
    <row r="2614" spans="1:6" ht="15">
      <c r="A2614" s="51">
        <v>2677484</v>
      </c>
      <c r="B2614" t="s">
        <v>2278</v>
      </c>
      <c r="C2614" s="39" t="s">
        <v>2279</v>
      </c>
      <c r="D2614">
        <v>8</v>
      </c>
      <c r="F2614" s="56"/>
    </row>
    <row r="2615" spans="1:6" ht="15">
      <c r="A2615" s="51">
        <v>2677540</v>
      </c>
      <c r="B2615" t="s">
        <v>2280</v>
      </c>
      <c r="C2615" s="39" t="s">
        <v>2167</v>
      </c>
      <c r="D2615" t="s">
        <v>4247</v>
      </c>
      <c r="F2615" s="56"/>
    </row>
    <row r="2616" spans="1:6" ht="15">
      <c r="A2616" s="51">
        <v>2677516</v>
      </c>
      <c r="B2616" t="s">
        <v>2281</v>
      </c>
      <c r="C2616" s="39" t="s">
        <v>2167</v>
      </c>
      <c r="D2616" t="s">
        <v>4247</v>
      </c>
      <c r="F2616" s="56"/>
    </row>
    <row r="2617" spans="1:6" ht="15">
      <c r="A2617" s="51">
        <v>2677443</v>
      </c>
      <c r="B2617" t="s">
        <v>2282</v>
      </c>
      <c r="C2617" s="39" t="s">
        <v>2167</v>
      </c>
      <c r="D2617" t="s">
        <v>4243</v>
      </c>
      <c r="F2617" s="56"/>
    </row>
    <row r="2618" spans="1:6" ht="15">
      <c r="A2618" s="51">
        <v>2753647</v>
      </c>
      <c r="B2618" t="s">
        <v>463</v>
      </c>
      <c r="C2618" s="39" t="s">
        <v>2283</v>
      </c>
      <c r="D2618">
        <v>8</v>
      </c>
      <c r="F2618" s="56"/>
    </row>
    <row r="2619" spans="1:6" ht="15">
      <c r="A2619" s="51">
        <v>2753648</v>
      </c>
      <c r="B2619" t="s">
        <v>464</v>
      </c>
      <c r="C2619" s="39" t="s">
        <v>2283</v>
      </c>
      <c r="D2619">
        <v>8</v>
      </c>
      <c r="F2619" s="56"/>
    </row>
    <row r="2620" spans="1:6" ht="15">
      <c r="A2620" s="51">
        <v>2753649</v>
      </c>
      <c r="B2620" t="s">
        <v>465</v>
      </c>
      <c r="C2620" s="39" t="s">
        <v>1277</v>
      </c>
      <c r="D2620">
        <v>8</v>
      </c>
      <c r="F2620" s="56"/>
    </row>
    <row r="2621" spans="1:6" ht="15">
      <c r="A2621" s="51">
        <v>2677436</v>
      </c>
      <c r="B2621" t="s">
        <v>294</v>
      </c>
      <c r="C2621" s="39" t="s">
        <v>2167</v>
      </c>
      <c r="D2621" t="s">
        <v>4247</v>
      </c>
      <c r="F2621" s="56"/>
    </row>
    <row r="2622" spans="1:6" ht="15">
      <c r="A2622" s="51">
        <v>2677529</v>
      </c>
      <c r="B2622" t="s">
        <v>2284</v>
      </c>
      <c r="C2622" s="39" t="s">
        <v>2167</v>
      </c>
      <c r="D2622">
        <v>7</v>
      </c>
      <c r="F2622" s="56"/>
    </row>
    <row r="2623" spans="1:6" ht="15">
      <c r="A2623" s="51">
        <v>2677554</v>
      </c>
      <c r="B2623" t="s">
        <v>2285</v>
      </c>
      <c r="C2623" s="39" t="s">
        <v>2167</v>
      </c>
      <c r="D2623">
        <v>9</v>
      </c>
      <c r="F2623" s="56"/>
    </row>
    <row r="2624" spans="1:6" ht="15">
      <c r="A2624" s="51">
        <v>1715064</v>
      </c>
      <c r="B2624" t="s">
        <v>468</v>
      </c>
      <c r="C2624" s="39" t="s">
        <v>2286</v>
      </c>
      <c r="D2624">
        <v>9</v>
      </c>
      <c r="F2624" s="56"/>
    </row>
    <row r="2625" spans="1:6" ht="15">
      <c r="A2625" s="51">
        <v>1715066</v>
      </c>
      <c r="B2625" t="s">
        <v>2287</v>
      </c>
      <c r="C2625" s="39" t="s">
        <v>258</v>
      </c>
      <c r="D2625">
        <v>9</v>
      </c>
      <c r="F2625" s="56"/>
    </row>
    <row r="2626" spans="1:6" ht="15">
      <c r="A2626" s="51">
        <v>1715067</v>
      </c>
      <c r="B2626" t="s">
        <v>2288</v>
      </c>
      <c r="C2626" s="39" t="s">
        <v>258</v>
      </c>
      <c r="D2626">
        <v>9</v>
      </c>
      <c r="F2626" s="56"/>
    </row>
    <row r="2627" spans="1:6" ht="15">
      <c r="A2627" s="51">
        <v>1715068</v>
      </c>
      <c r="B2627" t="s">
        <v>471</v>
      </c>
      <c r="C2627" s="39" t="s">
        <v>241</v>
      </c>
      <c r="D2627" t="s">
        <v>4249</v>
      </c>
      <c r="F2627" s="56"/>
    </row>
    <row r="2628" spans="1:6" ht="15">
      <c r="A2628" s="51">
        <v>1715069</v>
      </c>
      <c r="B2628" t="s">
        <v>2289</v>
      </c>
      <c r="C2628" s="39" t="s">
        <v>2290</v>
      </c>
      <c r="D2628">
        <v>9</v>
      </c>
      <c r="F2628" s="56"/>
    </row>
    <row r="2629" spans="1:6" ht="15">
      <c r="A2629" s="51">
        <v>1712731</v>
      </c>
      <c r="B2629" t="s">
        <v>1266</v>
      </c>
      <c r="C2629" s="39" t="s">
        <v>1267</v>
      </c>
      <c r="D2629">
        <v>7</v>
      </c>
      <c r="F2629" s="56"/>
    </row>
    <row r="2630" spans="1:6" ht="15">
      <c r="A2630" s="51">
        <v>300083</v>
      </c>
      <c r="B2630" t="s">
        <v>476</v>
      </c>
      <c r="C2630" s="39" t="s">
        <v>2291</v>
      </c>
      <c r="D2630" t="s">
        <v>4243</v>
      </c>
      <c r="F2630" s="56"/>
    </row>
    <row r="2631" spans="1:6" ht="15">
      <c r="A2631" s="51">
        <v>300082</v>
      </c>
      <c r="B2631" t="s">
        <v>478</v>
      </c>
      <c r="C2631" s="39" t="s">
        <v>2291</v>
      </c>
      <c r="D2631">
        <v>7</v>
      </c>
      <c r="F2631" s="56"/>
    </row>
    <row r="2632" spans="1:6" ht="15">
      <c r="A2632" s="51">
        <v>291447</v>
      </c>
      <c r="B2632" t="s">
        <v>479</v>
      </c>
      <c r="C2632" s="39" t="s">
        <v>2291</v>
      </c>
      <c r="D2632">
        <v>8</v>
      </c>
      <c r="F2632" s="56"/>
    </row>
    <row r="2633" spans="1:6" ht="15">
      <c r="A2633" s="51">
        <v>291448</v>
      </c>
      <c r="B2633" t="s">
        <v>480</v>
      </c>
      <c r="C2633" s="39" t="s">
        <v>2291</v>
      </c>
      <c r="D2633">
        <v>8</v>
      </c>
      <c r="F2633" s="56"/>
    </row>
    <row r="2634" spans="1:6" ht="15">
      <c r="A2634" s="51">
        <v>1595638</v>
      </c>
      <c r="B2634" t="s">
        <v>2292</v>
      </c>
      <c r="C2634" s="39" t="s">
        <v>2293</v>
      </c>
      <c r="D2634">
        <v>8</v>
      </c>
      <c r="F2634" s="56"/>
    </row>
    <row r="2635" spans="1:6" ht="15">
      <c r="A2635" s="51">
        <v>319967</v>
      </c>
      <c r="B2635" t="s">
        <v>2294</v>
      </c>
      <c r="C2635" s="39" t="s">
        <v>2295</v>
      </c>
      <c r="D2635">
        <v>9</v>
      </c>
      <c r="F2635" s="56"/>
    </row>
    <row r="2636" spans="1:6" ht="15">
      <c r="A2636" s="51">
        <v>1381830</v>
      </c>
      <c r="B2636" t="s">
        <v>504</v>
      </c>
      <c r="C2636" s="39" t="s">
        <v>2009</v>
      </c>
      <c r="D2636">
        <v>8</v>
      </c>
      <c r="F2636" s="56"/>
    </row>
    <row r="2637" spans="1:6" ht="15">
      <c r="A2637" s="51">
        <v>635432</v>
      </c>
      <c r="B2637" t="s">
        <v>2296</v>
      </c>
      <c r="C2637" s="39" t="s">
        <v>1711</v>
      </c>
      <c r="D2637">
        <v>8</v>
      </c>
      <c r="F2637" s="56"/>
    </row>
    <row r="2638" spans="1:6" ht="15">
      <c r="A2638" s="51">
        <v>767286</v>
      </c>
      <c r="B2638" t="s">
        <v>2297</v>
      </c>
      <c r="C2638" s="39" t="s">
        <v>1711</v>
      </c>
      <c r="D2638">
        <v>8</v>
      </c>
      <c r="F2638" s="56"/>
    </row>
    <row r="2639" spans="1:6" ht="15">
      <c r="A2639" s="51">
        <v>291506</v>
      </c>
      <c r="B2639" t="s">
        <v>518</v>
      </c>
      <c r="C2639" s="39" t="s">
        <v>2298</v>
      </c>
      <c r="D2639" t="s">
        <v>4246</v>
      </c>
      <c r="F2639" s="56"/>
    </row>
    <row r="2640" spans="1:6" ht="15">
      <c r="A2640" s="51">
        <v>291507</v>
      </c>
      <c r="B2640" t="s">
        <v>519</v>
      </c>
      <c r="C2640" s="39" t="s">
        <v>2298</v>
      </c>
      <c r="D2640" t="s">
        <v>4244</v>
      </c>
      <c r="F2640" s="56"/>
    </row>
    <row r="2641" spans="1:6" ht="15">
      <c r="A2641" s="51">
        <v>291509</v>
      </c>
      <c r="B2641" t="s">
        <v>522</v>
      </c>
      <c r="C2641" s="39" t="s">
        <v>1536</v>
      </c>
      <c r="D2641" t="s">
        <v>4246</v>
      </c>
      <c r="F2641" s="56"/>
    </row>
    <row r="2642" spans="1:6" ht="15">
      <c r="A2642" s="51">
        <v>319954</v>
      </c>
      <c r="B2642" t="s">
        <v>2299</v>
      </c>
      <c r="C2642" s="39" t="s">
        <v>132</v>
      </c>
      <c r="D2642" t="s">
        <v>471</v>
      </c>
      <c r="F2642" s="56"/>
    </row>
    <row r="2643" spans="1:6" ht="15">
      <c r="A2643" s="51">
        <v>1688312</v>
      </c>
      <c r="B2643" t="s">
        <v>2300</v>
      </c>
      <c r="C2643" s="39" t="s">
        <v>132</v>
      </c>
      <c r="D2643">
        <v>7</v>
      </c>
      <c r="F2643" s="56"/>
    </row>
    <row r="2644" spans="1:6" ht="15">
      <c r="A2644" s="51">
        <v>319953</v>
      </c>
      <c r="B2644" t="s">
        <v>524</v>
      </c>
      <c r="C2644" s="39" t="s">
        <v>2101</v>
      </c>
      <c r="D2644">
        <v>8</v>
      </c>
      <c r="F2644" s="56"/>
    </row>
    <row r="2645" spans="1:6" ht="15">
      <c r="A2645" s="51">
        <v>1381832</v>
      </c>
      <c r="B2645" t="s">
        <v>527</v>
      </c>
      <c r="C2645" s="39" t="s">
        <v>132</v>
      </c>
      <c r="D2645">
        <v>8</v>
      </c>
      <c r="F2645" s="56"/>
    </row>
    <row r="2646" spans="1:6" ht="15">
      <c r="A2646" s="51">
        <v>291519</v>
      </c>
      <c r="B2646" t="s">
        <v>548</v>
      </c>
      <c r="C2646" s="39" t="s">
        <v>2301</v>
      </c>
      <c r="D2646" t="s">
        <v>468</v>
      </c>
      <c r="F2646" s="56"/>
    </row>
    <row r="2647" spans="1:6" ht="15">
      <c r="A2647" s="51">
        <v>291520</v>
      </c>
      <c r="B2647" t="s">
        <v>2302</v>
      </c>
      <c r="C2647" s="39" t="s">
        <v>2301</v>
      </c>
      <c r="D2647" t="s">
        <v>469</v>
      </c>
      <c r="F2647" s="56"/>
    </row>
    <row r="2648" spans="1:6" ht="15">
      <c r="A2648" s="51">
        <v>291521</v>
      </c>
      <c r="B2648" t="s">
        <v>2303</v>
      </c>
      <c r="C2648" s="39" t="s">
        <v>2301</v>
      </c>
      <c r="D2648" t="s">
        <v>471</v>
      </c>
      <c r="F2648" s="56"/>
    </row>
    <row r="2649" spans="1:6" ht="15">
      <c r="A2649" s="51">
        <v>1381950</v>
      </c>
      <c r="B2649" t="s">
        <v>2304</v>
      </c>
      <c r="C2649" s="39" t="s">
        <v>320</v>
      </c>
      <c r="D2649" t="s">
        <v>4243</v>
      </c>
      <c r="F2649" s="56"/>
    </row>
    <row r="2650" spans="1:6" ht="15">
      <c r="A2650" s="51">
        <v>291524</v>
      </c>
      <c r="B2650" t="s">
        <v>551</v>
      </c>
      <c r="C2650" s="39" t="s">
        <v>185</v>
      </c>
      <c r="D2650" t="s">
        <v>4244</v>
      </c>
      <c r="F2650" s="56"/>
    </row>
    <row r="2651" spans="1:6" ht="15">
      <c r="A2651" s="51">
        <v>291525</v>
      </c>
      <c r="B2651" t="s">
        <v>2305</v>
      </c>
      <c r="C2651" s="39" t="s">
        <v>185</v>
      </c>
      <c r="D2651" t="s">
        <v>4244</v>
      </c>
      <c r="F2651" s="56"/>
    </row>
    <row r="2652" spans="1:6" ht="15">
      <c r="A2652" s="51">
        <v>291537</v>
      </c>
      <c r="B2652" t="s">
        <v>905</v>
      </c>
      <c r="C2652" s="39" t="s">
        <v>166</v>
      </c>
      <c r="D2652" t="s">
        <v>4245</v>
      </c>
      <c r="F2652" s="56"/>
    </row>
    <row r="2653" spans="1:6" ht="15">
      <c r="A2653" s="51">
        <v>291538</v>
      </c>
      <c r="B2653" t="s">
        <v>2306</v>
      </c>
      <c r="C2653" s="39" t="s">
        <v>166</v>
      </c>
      <c r="D2653" t="s">
        <v>4244</v>
      </c>
      <c r="F2653" s="56"/>
    </row>
    <row r="2654" spans="1:6" ht="15">
      <c r="A2654" s="51">
        <v>291539</v>
      </c>
      <c r="B2654" t="s">
        <v>2307</v>
      </c>
      <c r="C2654" s="39" t="s">
        <v>166</v>
      </c>
      <c r="D2654" t="s">
        <v>4243</v>
      </c>
      <c r="F2654" s="56"/>
    </row>
    <row r="2655" spans="1:6" ht="15">
      <c r="A2655" s="51">
        <v>291540</v>
      </c>
      <c r="B2655" t="s">
        <v>566</v>
      </c>
      <c r="C2655" s="39" t="s">
        <v>1352</v>
      </c>
      <c r="D2655" t="s">
        <v>469</v>
      </c>
      <c r="F2655" s="56"/>
    </row>
    <row r="2656" spans="1:6" ht="15">
      <c r="A2656" s="51">
        <v>291541</v>
      </c>
      <c r="B2656" t="s">
        <v>2308</v>
      </c>
      <c r="C2656" s="39" t="s">
        <v>1352</v>
      </c>
      <c r="D2656" t="s">
        <v>469</v>
      </c>
      <c r="F2656" s="56"/>
    </row>
    <row r="2657" spans="1:6" ht="15">
      <c r="A2657" s="51">
        <v>291542</v>
      </c>
      <c r="B2657" t="s">
        <v>907</v>
      </c>
      <c r="C2657" s="39" t="s">
        <v>385</v>
      </c>
      <c r="D2657">
        <v>7</v>
      </c>
      <c r="F2657" s="56"/>
    </row>
    <row r="2658" spans="1:6" ht="15">
      <c r="A2658" s="51">
        <v>291543</v>
      </c>
      <c r="B2658" t="s">
        <v>2309</v>
      </c>
      <c r="C2658" s="39" t="s">
        <v>385</v>
      </c>
      <c r="D2658">
        <v>7</v>
      </c>
      <c r="F2658" s="56"/>
    </row>
    <row r="2659" spans="1:6" ht="15">
      <c r="A2659" s="51">
        <v>1472247</v>
      </c>
      <c r="B2659" t="s">
        <v>569</v>
      </c>
      <c r="C2659" s="39" t="s">
        <v>140</v>
      </c>
      <c r="D2659">
        <v>7</v>
      </c>
      <c r="F2659" s="56"/>
    </row>
    <row r="2660" spans="1:6" ht="15">
      <c r="A2660" s="51">
        <v>291556</v>
      </c>
      <c r="B2660" t="s">
        <v>636</v>
      </c>
      <c r="C2660" s="39" t="s">
        <v>2295</v>
      </c>
      <c r="D2660" t="s">
        <v>4246</v>
      </c>
      <c r="F2660" s="56"/>
    </row>
    <row r="2661" spans="1:6" ht="15">
      <c r="A2661" s="51">
        <v>291557</v>
      </c>
      <c r="B2661" t="s">
        <v>637</v>
      </c>
      <c r="C2661" s="39" t="s">
        <v>2295</v>
      </c>
      <c r="D2661" t="s">
        <v>4244</v>
      </c>
      <c r="F2661" s="56"/>
    </row>
    <row r="2662" spans="1:6" ht="15">
      <c r="A2662" s="51">
        <v>291558</v>
      </c>
      <c r="B2662" t="s">
        <v>638</v>
      </c>
      <c r="C2662" s="39" t="s">
        <v>2295</v>
      </c>
      <c r="D2662" t="s">
        <v>4243</v>
      </c>
      <c r="F2662" s="56"/>
    </row>
    <row r="2663" spans="1:6" ht="15">
      <c r="A2663" s="51">
        <v>291568</v>
      </c>
      <c r="B2663" t="s">
        <v>2310</v>
      </c>
      <c r="C2663" s="39" t="s">
        <v>2311</v>
      </c>
      <c r="D2663" t="s">
        <v>4244</v>
      </c>
      <c r="F2663" s="56"/>
    </row>
    <row r="2664" spans="1:6" ht="15">
      <c r="A2664" s="51">
        <v>291569</v>
      </c>
      <c r="B2664" t="s">
        <v>2312</v>
      </c>
      <c r="C2664" s="39" t="s">
        <v>2311</v>
      </c>
      <c r="D2664" t="s">
        <v>4243</v>
      </c>
      <c r="F2664" s="56"/>
    </row>
    <row r="2665" spans="1:6" ht="15">
      <c r="A2665" s="51">
        <v>1460704</v>
      </c>
      <c r="B2665" t="s">
        <v>650</v>
      </c>
      <c r="C2665" s="39" t="s">
        <v>1589</v>
      </c>
      <c r="D2665">
        <v>7</v>
      </c>
      <c r="F2665" s="56"/>
    </row>
    <row r="2666" spans="1:6" ht="15">
      <c r="A2666" s="51">
        <v>291573</v>
      </c>
      <c r="B2666" t="s">
        <v>670</v>
      </c>
      <c r="C2666" s="39" t="s">
        <v>1692</v>
      </c>
      <c r="D2666" t="s">
        <v>4246</v>
      </c>
      <c r="F2666" s="56"/>
    </row>
    <row r="2667" spans="1:6" ht="15">
      <c r="A2667" s="51">
        <v>291574</v>
      </c>
      <c r="B2667" t="s">
        <v>671</v>
      </c>
      <c r="C2667" s="39" t="s">
        <v>1692</v>
      </c>
      <c r="D2667" t="s">
        <v>4244</v>
      </c>
      <c r="F2667" s="56"/>
    </row>
    <row r="2668" spans="1:6" ht="15">
      <c r="A2668" s="51">
        <v>291575</v>
      </c>
      <c r="B2668" t="s">
        <v>672</v>
      </c>
      <c r="C2668" s="39" t="s">
        <v>1692</v>
      </c>
      <c r="D2668" t="s">
        <v>4243</v>
      </c>
      <c r="F2668" s="56"/>
    </row>
    <row r="2669" spans="1:6" ht="15">
      <c r="A2669" s="51">
        <v>1677413</v>
      </c>
      <c r="B2669" t="s">
        <v>2313</v>
      </c>
      <c r="C2669" s="39" t="s">
        <v>2279</v>
      </c>
      <c r="D2669">
        <v>8</v>
      </c>
      <c r="F2669" s="56"/>
    </row>
    <row r="2670" spans="1:6" ht="15">
      <c r="A2670" s="51">
        <v>291586</v>
      </c>
      <c r="B2670" t="s">
        <v>937</v>
      </c>
      <c r="C2670" s="39" t="s">
        <v>2314</v>
      </c>
      <c r="D2670" t="s">
        <v>1596</v>
      </c>
      <c r="F2670" s="56"/>
    </row>
    <row r="2671" spans="1:6" ht="15">
      <c r="A2671" s="51">
        <v>291587</v>
      </c>
      <c r="B2671" t="s">
        <v>2315</v>
      </c>
      <c r="C2671" s="39" t="s">
        <v>2314</v>
      </c>
      <c r="D2671" t="s">
        <v>471</v>
      </c>
      <c r="F2671" s="56"/>
    </row>
    <row r="2672" spans="1:6" ht="15">
      <c r="A2672" s="51">
        <v>291588</v>
      </c>
      <c r="B2672" t="s">
        <v>2316</v>
      </c>
      <c r="C2672" s="39" t="s">
        <v>2314</v>
      </c>
      <c r="D2672">
        <v>7</v>
      </c>
      <c r="F2672" s="56"/>
    </row>
    <row r="2673" spans="1:6" ht="15">
      <c r="A2673" s="51">
        <v>319944</v>
      </c>
      <c r="B2673" t="s">
        <v>939</v>
      </c>
      <c r="C2673" s="39" t="s">
        <v>2317</v>
      </c>
      <c r="D2673" t="s">
        <v>4246</v>
      </c>
      <c r="F2673" s="56"/>
    </row>
    <row r="2674" spans="1:6" ht="15">
      <c r="A2674" s="51">
        <v>319943</v>
      </c>
      <c r="B2674" t="s">
        <v>941</v>
      </c>
      <c r="C2674" s="39" t="s">
        <v>2317</v>
      </c>
      <c r="D2674" t="s">
        <v>4244</v>
      </c>
      <c r="F2674" s="56"/>
    </row>
    <row r="2675" spans="1:6" ht="15">
      <c r="A2675" s="51">
        <v>1292267</v>
      </c>
      <c r="B2675" t="s">
        <v>2318</v>
      </c>
      <c r="C2675" s="39" t="s">
        <v>2317</v>
      </c>
      <c r="D2675" t="s">
        <v>4243</v>
      </c>
      <c r="F2675" s="56"/>
    </row>
    <row r="2676" spans="1:6" ht="15">
      <c r="A2676" s="51">
        <v>319969</v>
      </c>
      <c r="B2676" t="s">
        <v>701</v>
      </c>
      <c r="C2676" s="39" t="s">
        <v>2319</v>
      </c>
      <c r="D2676" t="s">
        <v>4246</v>
      </c>
      <c r="F2676" s="56"/>
    </row>
    <row r="2677" spans="1:6" ht="15">
      <c r="A2677" s="51">
        <v>635453</v>
      </c>
      <c r="B2677" t="s">
        <v>707</v>
      </c>
      <c r="C2677" s="39" t="s">
        <v>2238</v>
      </c>
      <c r="D2677" t="s">
        <v>4243</v>
      </c>
      <c r="F2677" s="56"/>
    </row>
    <row r="2678" spans="1:6" ht="15">
      <c r="A2678" s="51">
        <v>1712732</v>
      </c>
      <c r="B2678" t="s">
        <v>2320</v>
      </c>
      <c r="C2678" s="39" t="s">
        <v>435</v>
      </c>
      <c r="D2678" t="s">
        <v>4243</v>
      </c>
      <c r="F2678" s="56"/>
    </row>
    <row r="2679" spans="1:6" ht="15">
      <c r="A2679" s="51">
        <v>1712733</v>
      </c>
      <c r="B2679" t="s">
        <v>2321</v>
      </c>
      <c r="C2679" s="39" t="s">
        <v>698</v>
      </c>
      <c r="D2679" t="s">
        <v>4243</v>
      </c>
      <c r="F2679" s="56"/>
    </row>
    <row r="2680" spans="1:6" ht="15">
      <c r="A2680" s="51">
        <v>319310</v>
      </c>
      <c r="B2680" t="s">
        <v>2322</v>
      </c>
      <c r="C2680" s="39" t="s">
        <v>2323</v>
      </c>
      <c r="D2680">
        <v>9</v>
      </c>
      <c r="F2680" s="56"/>
    </row>
    <row r="2681" spans="1:6" ht="15">
      <c r="A2681" s="51">
        <v>3118066</v>
      </c>
      <c r="B2681" t="s">
        <v>1898</v>
      </c>
      <c r="C2681" s="39" t="s">
        <v>1899</v>
      </c>
      <c r="D2681">
        <v>8</v>
      </c>
      <c r="F2681" s="56"/>
    </row>
    <row r="2682" spans="1:6" ht="15">
      <c r="A2682" s="51">
        <v>319317</v>
      </c>
      <c r="B2682" t="s">
        <v>732</v>
      </c>
      <c r="C2682" s="39" t="s">
        <v>2324</v>
      </c>
      <c r="D2682">
        <v>9</v>
      </c>
      <c r="F2682" s="56"/>
    </row>
    <row r="2683" spans="1:6" ht="15">
      <c r="A2683" s="51">
        <v>319314</v>
      </c>
      <c r="B2683" t="s">
        <v>733</v>
      </c>
      <c r="C2683" s="39" t="s">
        <v>2324</v>
      </c>
      <c r="D2683">
        <v>9</v>
      </c>
      <c r="F2683" s="56"/>
    </row>
    <row r="2684" spans="1:6" ht="15">
      <c r="A2684" s="51">
        <v>319312</v>
      </c>
      <c r="B2684" t="s">
        <v>734</v>
      </c>
      <c r="C2684" s="39" t="s">
        <v>2324</v>
      </c>
      <c r="D2684">
        <v>9</v>
      </c>
      <c r="F2684" s="56"/>
    </row>
    <row r="2685" spans="1:6" ht="15">
      <c r="A2685" s="51">
        <v>1715071</v>
      </c>
      <c r="B2685" t="s">
        <v>736</v>
      </c>
      <c r="C2685" s="39" t="s">
        <v>440</v>
      </c>
      <c r="D2685">
        <v>9</v>
      </c>
      <c r="F2685" s="56"/>
    </row>
    <row r="2686" spans="1:6" ht="15">
      <c r="A2686" s="51">
        <v>319313</v>
      </c>
      <c r="B2686">
        <v>116</v>
      </c>
      <c r="C2686" s="39" t="s">
        <v>450</v>
      </c>
      <c r="D2686">
        <v>9</v>
      </c>
      <c r="F2686" s="56"/>
    </row>
    <row r="2687" spans="1:6" ht="15">
      <c r="A2687" s="51">
        <v>319315</v>
      </c>
      <c r="B2687" t="s">
        <v>2325</v>
      </c>
      <c r="C2687" s="39" t="s">
        <v>2326</v>
      </c>
      <c r="D2687">
        <v>9</v>
      </c>
      <c r="F2687" s="56"/>
    </row>
    <row r="2688" spans="1:6" ht="15">
      <c r="A2688" s="51">
        <v>319318</v>
      </c>
      <c r="B2688" t="s">
        <v>742</v>
      </c>
      <c r="C2688" s="39" t="s">
        <v>2326</v>
      </c>
      <c r="D2688">
        <v>9</v>
      </c>
      <c r="F2688" s="56"/>
    </row>
    <row r="2689" spans="1:6" ht="15">
      <c r="A2689" s="51">
        <v>291451</v>
      </c>
      <c r="B2689" t="s">
        <v>2327</v>
      </c>
      <c r="C2689" s="39" t="s">
        <v>380</v>
      </c>
      <c r="D2689" t="s">
        <v>4246</v>
      </c>
      <c r="F2689" s="56"/>
    </row>
    <row r="2690" spans="1:6" ht="15">
      <c r="A2690" s="51">
        <v>291452</v>
      </c>
      <c r="B2690" t="s">
        <v>2328</v>
      </c>
      <c r="C2690" s="39" t="s">
        <v>380</v>
      </c>
      <c r="D2690" t="s">
        <v>4243</v>
      </c>
      <c r="F2690" s="56"/>
    </row>
    <row r="2691" spans="1:6" ht="15">
      <c r="A2691" s="51">
        <v>291453</v>
      </c>
      <c r="B2691" t="s">
        <v>2329</v>
      </c>
      <c r="C2691" s="39" t="s">
        <v>235</v>
      </c>
      <c r="D2691" t="s">
        <v>4244</v>
      </c>
      <c r="F2691" s="56"/>
    </row>
    <row r="2692" spans="1:6" ht="15">
      <c r="A2692" s="51">
        <v>291454</v>
      </c>
      <c r="B2692" t="s">
        <v>1614</v>
      </c>
      <c r="C2692" s="39" t="s">
        <v>235</v>
      </c>
      <c r="D2692" t="s">
        <v>4244</v>
      </c>
      <c r="F2692" s="56"/>
    </row>
    <row r="2693" spans="1:6" ht="15">
      <c r="A2693" s="51">
        <v>291455</v>
      </c>
      <c r="B2693" t="s">
        <v>2330</v>
      </c>
      <c r="C2693" s="39" t="s">
        <v>547</v>
      </c>
      <c r="D2693" t="s">
        <v>4244</v>
      </c>
      <c r="F2693" s="56"/>
    </row>
    <row r="2694" spans="1:6" ht="15">
      <c r="A2694" s="51">
        <v>291456</v>
      </c>
      <c r="B2694" t="s">
        <v>775</v>
      </c>
      <c r="C2694" s="39" t="s">
        <v>547</v>
      </c>
      <c r="D2694" t="s">
        <v>4244</v>
      </c>
      <c r="F2694" s="56"/>
    </row>
    <row r="2695" spans="1:6" ht="15">
      <c r="A2695" s="51">
        <v>291457</v>
      </c>
      <c r="B2695" t="s">
        <v>2331</v>
      </c>
      <c r="C2695" s="39" t="s">
        <v>394</v>
      </c>
      <c r="D2695">
        <v>7</v>
      </c>
      <c r="F2695" s="56"/>
    </row>
    <row r="2696" spans="1:6" ht="15">
      <c r="A2696" s="51">
        <v>635456</v>
      </c>
      <c r="B2696" t="s">
        <v>2332</v>
      </c>
      <c r="C2696" s="39" t="s">
        <v>261</v>
      </c>
      <c r="D2696" t="s">
        <v>4245</v>
      </c>
      <c r="F2696" s="56"/>
    </row>
    <row r="2697" spans="1:6" ht="15">
      <c r="A2697" s="51">
        <v>291461</v>
      </c>
      <c r="B2697" t="s">
        <v>2333</v>
      </c>
      <c r="C2697" s="39" t="s">
        <v>243</v>
      </c>
      <c r="D2697" t="s">
        <v>4245</v>
      </c>
      <c r="F2697" s="56"/>
    </row>
    <row r="2698" spans="1:6" ht="15">
      <c r="A2698" s="51">
        <v>291462</v>
      </c>
      <c r="B2698" t="s">
        <v>2334</v>
      </c>
      <c r="C2698" s="39" t="s">
        <v>243</v>
      </c>
      <c r="D2698" t="s">
        <v>4247</v>
      </c>
      <c r="F2698" s="56"/>
    </row>
    <row r="2699" spans="1:6" ht="15">
      <c r="A2699" s="51">
        <v>291463</v>
      </c>
      <c r="B2699" t="s">
        <v>2335</v>
      </c>
      <c r="C2699" s="39" t="s">
        <v>558</v>
      </c>
      <c r="D2699" t="s">
        <v>4244</v>
      </c>
      <c r="F2699" s="56"/>
    </row>
    <row r="2700" spans="1:6" ht="15">
      <c r="A2700" s="51">
        <v>291464</v>
      </c>
      <c r="B2700" t="s">
        <v>2336</v>
      </c>
      <c r="C2700" s="39" t="s">
        <v>558</v>
      </c>
      <c r="D2700" t="s">
        <v>4244</v>
      </c>
      <c r="F2700" s="56"/>
    </row>
    <row r="2701" spans="1:6" ht="15">
      <c r="A2701" s="51">
        <v>291465</v>
      </c>
      <c r="B2701" t="s">
        <v>2337</v>
      </c>
      <c r="C2701" s="39" t="s">
        <v>329</v>
      </c>
      <c r="D2701">
        <v>7</v>
      </c>
      <c r="F2701" s="56"/>
    </row>
    <row r="2702" spans="1:6" ht="15">
      <c r="A2702" s="51">
        <v>291467</v>
      </c>
      <c r="B2702" t="s">
        <v>2338</v>
      </c>
      <c r="C2702" s="39" t="s">
        <v>2339</v>
      </c>
      <c r="D2702" t="s">
        <v>4248</v>
      </c>
      <c r="F2702" s="56"/>
    </row>
    <row r="2703" spans="1:6" ht="15">
      <c r="A2703" s="51">
        <v>291468</v>
      </c>
      <c r="B2703" t="s">
        <v>2340</v>
      </c>
      <c r="C2703" s="39" t="s">
        <v>2339</v>
      </c>
      <c r="D2703" t="s">
        <v>4245</v>
      </c>
      <c r="F2703" s="56"/>
    </row>
    <row r="2704" spans="1:6" ht="15">
      <c r="A2704" s="51">
        <v>291469</v>
      </c>
      <c r="B2704" t="s">
        <v>1615</v>
      </c>
      <c r="C2704" s="39" t="s">
        <v>2341</v>
      </c>
      <c r="D2704" t="s">
        <v>4244</v>
      </c>
      <c r="F2704" s="56"/>
    </row>
    <row r="2705" spans="1:6" ht="15">
      <c r="A2705" s="51">
        <v>291470</v>
      </c>
      <c r="B2705" t="s">
        <v>2342</v>
      </c>
      <c r="C2705" s="39" t="s">
        <v>428</v>
      </c>
      <c r="D2705" t="s">
        <v>4244</v>
      </c>
      <c r="F2705" s="56"/>
    </row>
    <row r="2706" spans="1:6" ht="15">
      <c r="A2706" s="51">
        <v>291472</v>
      </c>
      <c r="B2706" t="s">
        <v>2343</v>
      </c>
      <c r="C2706" s="39" t="s">
        <v>2094</v>
      </c>
      <c r="D2706" t="s">
        <v>4244</v>
      </c>
      <c r="F2706" s="56"/>
    </row>
    <row r="2707" spans="1:6" ht="15">
      <c r="A2707" s="51">
        <v>291473</v>
      </c>
      <c r="B2707" t="s">
        <v>2344</v>
      </c>
      <c r="C2707" s="39" t="s">
        <v>2094</v>
      </c>
      <c r="D2707">
        <v>7</v>
      </c>
      <c r="F2707" s="56"/>
    </row>
    <row r="2708" spans="1:6" ht="15">
      <c r="A2708" s="51">
        <v>291474</v>
      </c>
      <c r="B2708" t="s">
        <v>2345</v>
      </c>
      <c r="C2708" s="39" t="s">
        <v>2094</v>
      </c>
      <c r="D2708">
        <v>7</v>
      </c>
      <c r="F2708" s="56"/>
    </row>
    <row r="2709" spans="1:6" ht="15">
      <c r="A2709" s="51">
        <v>1472245</v>
      </c>
      <c r="B2709" t="s">
        <v>2346</v>
      </c>
      <c r="C2709" s="39" t="s">
        <v>2251</v>
      </c>
      <c r="D2709">
        <v>8</v>
      </c>
      <c r="F2709" s="56"/>
    </row>
    <row r="2710" spans="1:6" ht="15">
      <c r="A2710" s="51">
        <v>291479</v>
      </c>
      <c r="B2710" t="s">
        <v>2347</v>
      </c>
      <c r="C2710" s="39" t="s">
        <v>359</v>
      </c>
      <c r="D2710" t="s">
        <v>4245</v>
      </c>
      <c r="F2710" s="56"/>
    </row>
    <row r="2711" spans="1:6" ht="15">
      <c r="A2711" s="51">
        <v>291480</v>
      </c>
      <c r="B2711" t="s">
        <v>2348</v>
      </c>
      <c r="C2711" s="39" t="s">
        <v>359</v>
      </c>
      <c r="D2711" t="s">
        <v>4246</v>
      </c>
      <c r="F2711" s="56"/>
    </row>
    <row r="2712" spans="1:6" ht="15">
      <c r="A2712" s="51">
        <v>291481</v>
      </c>
      <c r="B2712" t="s">
        <v>2349</v>
      </c>
      <c r="C2712" s="39" t="s">
        <v>2350</v>
      </c>
      <c r="D2712" t="s">
        <v>4249</v>
      </c>
      <c r="F2712" s="56"/>
    </row>
    <row r="2713" spans="1:6" ht="15">
      <c r="A2713" s="51">
        <v>291482</v>
      </c>
      <c r="B2713" t="s">
        <v>2351</v>
      </c>
      <c r="C2713" s="39" t="s">
        <v>1799</v>
      </c>
      <c r="D2713">
        <v>8</v>
      </c>
      <c r="F2713" s="56"/>
    </row>
    <row r="2714" spans="1:6" ht="15">
      <c r="A2714" s="51">
        <v>291485</v>
      </c>
      <c r="B2714" t="s">
        <v>2352</v>
      </c>
      <c r="C2714" s="39" t="s">
        <v>1024</v>
      </c>
      <c r="D2714" t="s">
        <v>4243</v>
      </c>
      <c r="F2714" s="56"/>
    </row>
    <row r="2715" spans="1:6" ht="15">
      <c r="A2715" s="51">
        <v>291493</v>
      </c>
      <c r="B2715" t="s">
        <v>2353</v>
      </c>
      <c r="C2715" s="39" t="s">
        <v>971</v>
      </c>
      <c r="D2715" t="s">
        <v>4246</v>
      </c>
      <c r="F2715" s="56"/>
    </row>
    <row r="2716" spans="1:6" ht="15">
      <c r="A2716" s="51">
        <v>291494</v>
      </c>
      <c r="B2716" t="s">
        <v>2354</v>
      </c>
      <c r="C2716" s="39" t="s">
        <v>971</v>
      </c>
      <c r="D2716" t="s">
        <v>4244</v>
      </c>
      <c r="F2716" s="56"/>
    </row>
    <row r="2717" spans="1:6" ht="15">
      <c r="A2717" s="51">
        <v>1382443</v>
      </c>
      <c r="B2717" t="s">
        <v>2355</v>
      </c>
      <c r="C2717" s="39" t="s">
        <v>971</v>
      </c>
      <c r="D2717" t="s">
        <v>4243</v>
      </c>
      <c r="F2717" s="56"/>
    </row>
    <row r="2718" spans="1:6" ht="15">
      <c r="A2718" s="51">
        <v>291498</v>
      </c>
      <c r="B2718" t="s">
        <v>1619</v>
      </c>
      <c r="C2718" s="39" t="s">
        <v>2356</v>
      </c>
      <c r="D2718" t="s">
        <v>4247</v>
      </c>
      <c r="F2718" s="56"/>
    </row>
    <row r="2719" spans="1:6" ht="15">
      <c r="A2719" s="51">
        <v>291499</v>
      </c>
      <c r="B2719" t="s">
        <v>2357</v>
      </c>
      <c r="C2719" s="39" t="s">
        <v>2356</v>
      </c>
      <c r="D2719" t="s">
        <v>4247</v>
      </c>
      <c r="F2719" s="56"/>
    </row>
    <row r="2720" spans="1:6" ht="15">
      <c r="A2720" s="51">
        <v>291500</v>
      </c>
      <c r="B2720" t="s">
        <v>2358</v>
      </c>
      <c r="C2720" s="39" t="s">
        <v>2356</v>
      </c>
      <c r="D2720" t="s">
        <v>4243</v>
      </c>
      <c r="F2720" s="56"/>
    </row>
    <row r="2721" spans="1:6" ht="15">
      <c r="A2721" s="51">
        <v>1454730</v>
      </c>
      <c r="B2721" t="s">
        <v>2359</v>
      </c>
      <c r="C2721" s="39" t="s">
        <v>2356</v>
      </c>
      <c r="D2721">
        <v>8</v>
      </c>
      <c r="F2721" s="56"/>
    </row>
    <row r="2722" spans="1:6" ht="15">
      <c r="A2722" s="51">
        <v>1702168</v>
      </c>
      <c r="B2722" t="s">
        <v>1270</v>
      </c>
      <c r="C2722" s="39" t="s">
        <v>2360</v>
      </c>
      <c r="D2722">
        <v>9</v>
      </c>
      <c r="F2722" s="56"/>
    </row>
    <row r="2723" spans="1:6" ht="15">
      <c r="A2723" s="51">
        <v>291501</v>
      </c>
      <c r="B2723" t="s">
        <v>2361</v>
      </c>
      <c r="C2723" s="39" t="s">
        <v>2362</v>
      </c>
      <c r="D2723" t="s">
        <v>4244</v>
      </c>
      <c r="F2723" s="56"/>
    </row>
    <row r="2724" spans="1:6" ht="15">
      <c r="A2724" s="51">
        <v>291502</v>
      </c>
      <c r="B2724" t="s">
        <v>2363</v>
      </c>
      <c r="C2724" s="39" t="s">
        <v>2362</v>
      </c>
      <c r="D2724" t="s">
        <v>4243</v>
      </c>
      <c r="F2724" s="56"/>
    </row>
    <row r="2725" spans="1:6" ht="15">
      <c r="A2725" s="51">
        <v>291503</v>
      </c>
      <c r="B2725" t="s">
        <v>2364</v>
      </c>
      <c r="C2725" s="39" t="s">
        <v>2362</v>
      </c>
      <c r="D2725">
        <v>7</v>
      </c>
      <c r="F2725" s="56"/>
    </row>
    <row r="2726" spans="1:6" ht="15">
      <c r="A2726" s="51">
        <v>1712734</v>
      </c>
      <c r="B2726" t="s">
        <v>2365</v>
      </c>
      <c r="C2726" s="39" t="s">
        <v>433</v>
      </c>
      <c r="D2726" t="s">
        <v>4245</v>
      </c>
      <c r="F2726" s="56"/>
    </row>
    <row r="2727" spans="1:6" ht="15">
      <c r="A2727" s="51">
        <v>291514</v>
      </c>
      <c r="B2727" t="s">
        <v>2366</v>
      </c>
      <c r="C2727" s="39" t="s">
        <v>914</v>
      </c>
      <c r="D2727" t="s">
        <v>4244</v>
      </c>
      <c r="F2727" s="56"/>
    </row>
    <row r="2728" spans="1:6" ht="15">
      <c r="A2728" s="51">
        <v>291515</v>
      </c>
      <c r="B2728" t="s">
        <v>2367</v>
      </c>
      <c r="C2728" s="39" t="s">
        <v>914</v>
      </c>
      <c r="D2728" t="s">
        <v>4244</v>
      </c>
      <c r="F2728" s="56"/>
    </row>
    <row r="2729" spans="1:6" ht="15">
      <c r="A2729" s="51">
        <v>291527</v>
      </c>
      <c r="B2729" t="s">
        <v>1905</v>
      </c>
      <c r="C2729" s="39" t="s">
        <v>1338</v>
      </c>
      <c r="D2729" t="s">
        <v>4244</v>
      </c>
      <c r="F2729" s="56"/>
    </row>
    <row r="2730" spans="1:6" ht="15">
      <c r="A2730" s="51">
        <v>291528</v>
      </c>
      <c r="B2730" t="s">
        <v>1906</v>
      </c>
      <c r="C2730" s="39" t="s">
        <v>1338</v>
      </c>
      <c r="D2730" t="s">
        <v>4244</v>
      </c>
      <c r="F2730" s="56"/>
    </row>
    <row r="2731" spans="1:6" ht="15">
      <c r="A2731" s="51">
        <v>291529</v>
      </c>
      <c r="B2731" t="s">
        <v>1907</v>
      </c>
      <c r="C2731" s="39" t="s">
        <v>1338</v>
      </c>
      <c r="D2731">
        <v>8</v>
      </c>
      <c r="F2731" s="56"/>
    </row>
    <row r="2732" spans="1:6" ht="15">
      <c r="A2732" s="51">
        <v>291530</v>
      </c>
      <c r="B2732" t="s">
        <v>1908</v>
      </c>
      <c r="C2732" s="39" t="s">
        <v>1338</v>
      </c>
      <c r="D2732">
        <v>9</v>
      </c>
      <c r="F2732" s="56"/>
    </row>
    <row r="2733" spans="1:6" ht="15">
      <c r="A2733" s="51">
        <v>291531</v>
      </c>
      <c r="B2733" t="s">
        <v>1909</v>
      </c>
      <c r="C2733" s="39" t="s">
        <v>1910</v>
      </c>
      <c r="D2733" t="s">
        <v>4244</v>
      </c>
      <c r="F2733" s="56"/>
    </row>
    <row r="2734" spans="1:6" ht="15">
      <c r="A2734" s="51">
        <v>1702165</v>
      </c>
      <c r="B2734" t="s">
        <v>2368</v>
      </c>
      <c r="C2734" s="39" t="s">
        <v>2369</v>
      </c>
      <c r="D2734">
        <v>8</v>
      </c>
      <c r="F2734" s="56"/>
    </row>
    <row r="2735" spans="1:6" ht="15">
      <c r="A2735" s="51">
        <v>291533</v>
      </c>
      <c r="B2735" t="s">
        <v>1913</v>
      </c>
      <c r="C2735" s="39" t="s">
        <v>1274</v>
      </c>
      <c r="D2735" t="s">
        <v>4244</v>
      </c>
      <c r="F2735" s="56"/>
    </row>
    <row r="2736" spans="1:6" ht="15">
      <c r="A2736" s="51">
        <v>291534</v>
      </c>
      <c r="B2736" t="s">
        <v>1273</v>
      </c>
      <c r="C2736" s="39" t="s">
        <v>1274</v>
      </c>
      <c r="D2736">
        <v>7</v>
      </c>
      <c r="F2736" s="56"/>
    </row>
    <row r="2737" spans="1:6" ht="15">
      <c r="A2737" s="51">
        <v>291535</v>
      </c>
      <c r="B2737" t="s">
        <v>1914</v>
      </c>
      <c r="C2737" s="39" t="s">
        <v>1274</v>
      </c>
      <c r="D2737">
        <v>8</v>
      </c>
      <c r="F2737" s="56"/>
    </row>
    <row r="2738" spans="1:6" ht="15">
      <c r="A2738" s="51">
        <v>3118067</v>
      </c>
      <c r="B2738" t="s">
        <v>2111</v>
      </c>
      <c r="C2738" s="39" t="s">
        <v>2110</v>
      </c>
      <c r="D2738">
        <v>8</v>
      </c>
      <c r="F2738" s="56"/>
    </row>
    <row r="2739" spans="1:6" ht="15">
      <c r="A2739" s="51">
        <v>319319</v>
      </c>
      <c r="B2739" t="s">
        <v>1278</v>
      </c>
      <c r="C2739" s="39" t="s">
        <v>1279</v>
      </c>
      <c r="D2739" t="s">
        <v>4243</v>
      </c>
      <c r="F2739" s="56"/>
    </row>
    <row r="2740" spans="1:6" ht="15">
      <c r="A2740" s="51">
        <v>319972</v>
      </c>
      <c r="B2740" t="s">
        <v>1917</v>
      </c>
      <c r="C2740" s="39" t="s">
        <v>1279</v>
      </c>
      <c r="D2740">
        <v>8</v>
      </c>
      <c r="F2740" s="56"/>
    </row>
    <row r="2741" spans="1:6" ht="15">
      <c r="A2741" s="51">
        <v>1383543</v>
      </c>
      <c r="B2741" t="s">
        <v>1280</v>
      </c>
      <c r="C2741" s="39" t="s">
        <v>1281</v>
      </c>
      <c r="D2741">
        <v>8</v>
      </c>
      <c r="F2741" s="56"/>
    </row>
    <row r="2742" spans="1:6" ht="15">
      <c r="A2742" s="51">
        <v>1383547</v>
      </c>
      <c r="B2742" t="s">
        <v>1282</v>
      </c>
      <c r="C2742" s="39" t="s">
        <v>1918</v>
      </c>
      <c r="D2742">
        <v>8</v>
      </c>
      <c r="F2742" s="56"/>
    </row>
    <row r="2743" spans="1:6" ht="15">
      <c r="A2743" s="51">
        <v>1383546</v>
      </c>
      <c r="B2743" t="s">
        <v>2134</v>
      </c>
      <c r="C2743" s="39" t="s">
        <v>1918</v>
      </c>
      <c r="D2743">
        <v>8</v>
      </c>
      <c r="F2743" s="56"/>
    </row>
    <row r="2744" spans="1:6" ht="15">
      <c r="A2744" s="51">
        <v>1383550</v>
      </c>
      <c r="B2744" t="s">
        <v>1283</v>
      </c>
      <c r="C2744" s="39" t="s">
        <v>1284</v>
      </c>
      <c r="D2744">
        <v>8</v>
      </c>
      <c r="F2744" s="56"/>
    </row>
    <row r="2745" spans="1:6" ht="15">
      <c r="A2745" s="51">
        <v>1383553</v>
      </c>
      <c r="B2745" t="s">
        <v>1919</v>
      </c>
      <c r="C2745" s="39" t="s">
        <v>1284</v>
      </c>
      <c r="D2745">
        <v>8</v>
      </c>
      <c r="F2745" s="56"/>
    </row>
    <row r="2746" spans="1:6" ht="15">
      <c r="A2746" s="51">
        <v>3118068</v>
      </c>
      <c r="B2746" t="s">
        <v>1920</v>
      </c>
      <c r="C2746" s="39" t="s">
        <v>1921</v>
      </c>
      <c r="D2746">
        <v>8</v>
      </c>
      <c r="F2746" s="56"/>
    </row>
    <row r="2747" spans="1:6" ht="15">
      <c r="A2747" s="51">
        <v>3118069</v>
      </c>
      <c r="B2747" t="s">
        <v>1924</v>
      </c>
      <c r="C2747" s="39" t="s">
        <v>1925</v>
      </c>
      <c r="D2747">
        <v>8</v>
      </c>
      <c r="F2747" s="56"/>
    </row>
    <row r="2748" spans="1:6" ht="15">
      <c r="A2748" s="51">
        <v>319968</v>
      </c>
      <c r="B2748" t="s">
        <v>1292</v>
      </c>
      <c r="C2748" s="39" t="s">
        <v>2370</v>
      </c>
      <c r="D2748">
        <v>8</v>
      </c>
      <c r="F2748" s="56"/>
    </row>
    <row r="2749" spans="1:6" ht="15">
      <c r="A2749" s="51">
        <v>816465</v>
      </c>
      <c r="B2749" t="s">
        <v>2139</v>
      </c>
      <c r="C2749" s="39" t="s">
        <v>2140</v>
      </c>
      <c r="D2749">
        <v>8</v>
      </c>
      <c r="F2749" s="56"/>
    </row>
    <row r="2750" spans="1:6" ht="15">
      <c r="A2750" s="51">
        <v>319977</v>
      </c>
      <c r="B2750" t="s">
        <v>1296</v>
      </c>
      <c r="C2750" s="39" t="s">
        <v>1297</v>
      </c>
      <c r="D2750">
        <v>8</v>
      </c>
      <c r="F2750" s="56"/>
    </row>
    <row r="2751" spans="1:6" ht="15">
      <c r="A2751" s="51">
        <v>319979</v>
      </c>
      <c r="B2751" t="s">
        <v>1298</v>
      </c>
      <c r="C2751" s="39" t="s">
        <v>1299</v>
      </c>
      <c r="D2751">
        <v>8</v>
      </c>
      <c r="F2751" s="56"/>
    </row>
    <row r="2752" spans="1:6" ht="15">
      <c r="A2752" s="51">
        <v>319978</v>
      </c>
      <c r="B2752" t="s">
        <v>1926</v>
      </c>
      <c r="C2752" s="39" t="s">
        <v>1299</v>
      </c>
      <c r="D2752">
        <v>9</v>
      </c>
      <c r="F2752" s="56"/>
    </row>
    <row r="2753" spans="1:6" ht="15">
      <c r="A2753" s="51">
        <v>319923</v>
      </c>
      <c r="B2753" t="s">
        <v>1300</v>
      </c>
      <c r="C2753" s="39" t="s">
        <v>1301</v>
      </c>
      <c r="D2753">
        <v>8</v>
      </c>
      <c r="F2753" s="56"/>
    </row>
    <row r="2754" spans="1:6" ht="15">
      <c r="A2754" s="51">
        <v>319922</v>
      </c>
      <c r="B2754" t="s">
        <v>1302</v>
      </c>
      <c r="C2754" s="39" t="s">
        <v>1301</v>
      </c>
      <c r="D2754">
        <v>8</v>
      </c>
      <c r="F2754" s="56"/>
    </row>
    <row r="2755" spans="1:6" ht="15">
      <c r="A2755" s="51">
        <v>319976</v>
      </c>
      <c r="B2755" t="s">
        <v>1303</v>
      </c>
      <c r="C2755" s="39" t="s">
        <v>1304</v>
      </c>
      <c r="D2755">
        <v>8</v>
      </c>
      <c r="F2755" s="56"/>
    </row>
    <row r="2756" spans="1:6" ht="15">
      <c r="A2756" s="51">
        <v>319975</v>
      </c>
      <c r="B2756" t="s">
        <v>1305</v>
      </c>
      <c r="C2756" s="39" t="s">
        <v>1306</v>
      </c>
      <c r="D2756">
        <v>8</v>
      </c>
      <c r="F2756" s="56"/>
    </row>
    <row r="2757" spans="1:6" ht="15">
      <c r="A2757" s="51">
        <v>319984</v>
      </c>
      <c r="B2757" t="s">
        <v>2143</v>
      </c>
      <c r="C2757" s="39" t="s">
        <v>2144</v>
      </c>
      <c r="D2757">
        <v>9</v>
      </c>
      <c r="F2757" s="56"/>
    </row>
    <row r="2758" spans="1:6" ht="15">
      <c r="A2758" s="51">
        <v>319985</v>
      </c>
      <c r="B2758" t="s">
        <v>2145</v>
      </c>
      <c r="C2758" s="39" t="s">
        <v>2144</v>
      </c>
      <c r="D2758">
        <v>9</v>
      </c>
      <c r="F2758" s="56"/>
    </row>
    <row r="2759" spans="1:6" ht="15">
      <c r="A2759" s="51">
        <v>319983</v>
      </c>
      <c r="B2759" t="s">
        <v>2146</v>
      </c>
      <c r="C2759" s="39" t="s">
        <v>2147</v>
      </c>
      <c r="D2759">
        <v>8</v>
      </c>
      <c r="F2759" s="56"/>
    </row>
    <row r="2760" spans="1:6" ht="15">
      <c r="A2760" s="51">
        <v>319986</v>
      </c>
      <c r="B2760" t="s">
        <v>2371</v>
      </c>
      <c r="C2760" s="39" t="s">
        <v>2147</v>
      </c>
      <c r="D2760">
        <v>8</v>
      </c>
      <c r="F2760" s="56"/>
    </row>
    <row r="2761" spans="1:6" ht="15">
      <c r="A2761" s="51">
        <v>319982</v>
      </c>
      <c r="B2761" t="s">
        <v>2148</v>
      </c>
      <c r="C2761" s="39" t="s">
        <v>2149</v>
      </c>
      <c r="D2761">
        <v>8</v>
      </c>
      <c r="F2761" s="56"/>
    </row>
    <row r="2762" spans="1:6" ht="15">
      <c r="A2762" s="51">
        <v>319981</v>
      </c>
      <c r="B2762" t="s">
        <v>2150</v>
      </c>
      <c r="C2762" s="39" t="s">
        <v>2151</v>
      </c>
      <c r="D2762">
        <v>8</v>
      </c>
      <c r="F2762" s="56"/>
    </row>
    <row r="2763" spans="1:6" ht="15">
      <c r="A2763" s="51">
        <v>291576</v>
      </c>
      <c r="B2763" t="s">
        <v>1307</v>
      </c>
      <c r="C2763" s="39" t="s">
        <v>1308</v>
      </c>
      <c r="D2763">
        <v>8</v>
      </c>
      <c r="F2763" s="56"/>
    </row>
    <row r="2764" spans="1:6" ht="15">
      <c r="A2764" s="51">
        <v>291577</v>
      </c>
      <c r="B2764" t="s">
        <v>1309</v>
      </c>
      <c r="C2764" s="39" t="s">
        <v>1308</v>
      </c>
      <c r="D2764">
        <v>8</v>
      </c>
      <c r="F2764" s="56"/>
    </row>
    <row r="2765" spans="1:6" ht="15">
      <c r="A2765" s="51">
        <v>291578</v>
      </c>
      <c r="B2765" t="s">
        <v>1310</v>
      </c>
      <c r="C2765" s="39" t="s">
        <v>1308</v>
      </c>
      <c r="D2765">
        <v>9</v>
      </c>
      <c r="F2765" s="56"/>
    </row>
    <row r="2766" spans="1:6" ht="15">
      <c r="A2766" s="51">
        <v>319987</v>
      </c>
      <c r="B2766" t="s">
        <v>1928</v>
      </c>
      <c r="C2766" s="39" t="s">
        <v>1929</v>
      </c>
      <c r="D2766">
        <v>9</v>
      </c>
      <c r="F2766" s="56"/>
    </row>
    <row r="2767" spans="1:6" ht="15">
      <c r="A2767" s="51">
        <v>1527678</v>
      </c>
      <c r="B2767" t="s">
        <v>2372</v>
      </c>
      <c r="C2767" s="39" t="s">
        <v>2373</v>
      </c>
      <c r="D2767">
        <v>9</v>
      </c>
      <c r="F2767" s="56"/>
    </row>
    <row r="2768" spans="1:6" ht="15">
      <c r="A2768" s="51">
        <v>1527865</v>
      </c>
      <c r="B2768" t="s">
        <v>2374</v>
      </c>
      <c r="C2768" s="39" t="s">
        <v>1312</v>
      </c>
      <c r="D2768">
        <v>9</v>
      </c>
      <c r="F2768" s="56"/>
    </row>
    <row r="2769" spans="1:6" ht="15">
      <c r="A2769" s="51">
        <v>1527869</v>
      </c>
      <c r="B2769" t="s">
        <v>1932</v>
      </c>
      <c r="C2769" s="39" t="s">
        <v>1312</v>
      </c>
      <c r="D2769">
        <v>9</v>
      </c>
      <c r="F2769" s="56"/>
    </row>
    <row r="2770" spans="1:6" ht="15">
      <c r="A2770" s="51">
        <v>319993</v>
      </c>
      <c r="B2770" t="s">
        <v>1315</v>
      </c>
      <c r="C2770" s="39" t="s">
        <v>1316</v>
      </c>
      <c r="D2770">
        <v>8</v>
      </c>
      <c r="F2770" s="56"/>
    </row>
    <row r="2771" spans="1:6" ht="15">
      <c r="A2771" s="51">
        <v>319992</v>
      </c>
      <c r="B2771" t="s">
        <v>1936</v>
      </c>
      <c r="C2771" s="39" t="s">
        <v>1316</v>
      </c>
      <c r="D2771">
        <v>8</v>
      </c>
      <c r="F2771" s="56"/>
    </row>
    <row r="2772" spans="1:6" ht="15">
      <c r="A2772" s="51">
        <v>3118117</v>
      </c>
      <c r="B2772" t="s">
        <v>2375</v>
      </c>
      <c r="C2772" s="39" t="s">
        <v>2376</v>
      </c>
      <c r="D2772">
        <v>9</v>
      </c>
      <c r="F2772" s="56"/>
    </row>
    <row r="2773" spans="1:6" ht="15">
      <c r="A2773" s="51">
        <v>319997</v>
      </c>
      <c r="B2773" t="s">
        <v>1319</v>
      </c>
      <c r="C2773" s="39" t="s">
        <v>1320</v>
      </c>
      <c r="D2773">
        <v>8</v>
      </c>
      <c r="F2773" s="56"/>
    </row>
    <row r="2774" spans="1:6" ht="15">
      <c r="A2774" s="51">
        <v>319996</v>
      </c>
      <c r="B2774" t="s">
        <v>1321</v>
      </c>
      <c r="C2774" s="39" t="s">
        <v>1320</v>
      </c>
      <c r="D2774">
        <v>8</v>
      </c>
      <c r="F2774" s="56"/>
    </row>
    <row r="2775" spans="1:6" ht="15">
      <c r="A2775" s="51">
        <v>319971</v>
      </c>
      <c r="B2775" t="s">
        <v>1322</v>
      </c>
      <c r="C2775" s="39" t="s">
        <v>1320</v>
      </c>
      <c r="D2775">
        <v>8</v>
      </c>
      <c r="F2775" s="56"/>
    </row>
    <row r="2776" spans="1:6" ht="15">
      <c r="A2776" s="51">
        <v>319658</v>
      </c>
      <c r="B2776" t="s">
        <v>2377</v>
      </c>
      <c r="C2776" s="39" t="s">
        <v>1347</v>
      </c>
      <c r="D2776" t="s">
        <v>4243</v>
      </c>
      <c r="F2776" s="56"/>
    </row>
    <row r="2777" spans="1:6" ht="15">
      <c r="A2777" s="51">
        <v>319657</v>
      </c>
      <c r="B2777" t="s">
        <v>2378</v>
      </c>
      <c r="C2777" s="39" t="s">
        <v>1347</v>
      </c>
      <c r="D2777">
        <v>8</v>
      </c>
      <c r="F2777" s="56"/>
    </row>
    <row r="2778" spans="1:6" ht="15">
      <c r="A2778" s="51">
        <v>319659</v>
      </c>
      <c r="B2778" t="s">
        <v>2379</v>
      </c>
      <c r="C2778" s="39" t="s">
        <v>1347</v>
      </c>
      <c r="D2778">
        <v>8</v>
      </c>
      <c r="F2778" s="56"/>
    </row>
    <row r="2779" spans="1:6" ht="15">
      <c r="A2779" s="51">
        <v>1677398</v>
      </c>
      <c r="B2779" t="s">
        <v>2380</v>
      </c>
      <c r="C2779" s="39" t="s">
        <v>1388</v>
      </c>
      <c r="D2779" t="s">
        <v>4247</v>
      </c>
      <c r="F2779" s="56"/>
    </row>
    <row r="2780" spans="1:6" ht="15">
      <c r="A2780" s="51">
        <v>1677400</v>
      </c>
      <c r="B2780" t="s">
        <v>2381</v>
      </c>
      <c r="C2780" s="39" t="s">
        <v>2032</v>
      </c>
      <c r="D2780" t="s">
        <v>4243</v>
      </c>
      <c r="F2780" s="56"/>
    </row>
    <row r="2781" spans="1:6" ht="15">
      <c r="A2781" s="51">
        <v>1712735</v>
      </c>
      <c r="B2781" t="s">
        <v>2382</v>
      </c>
      <c r="C2781" s="39" t="s">
        <v>2074</v>
      </c>
      <c r="D2781">
        <v>8</v>
      </c>
      <c r="F2781" s="56"/>
    </row>
    <row r="2782" spans="1:6" ht="15">
      <c r="A2782" s="51">
        <v>319664</v>
      </c>
      <c r="B2782" t="s">
        <v>2383</v>
      </c>
      <c r="C2782" s="39" t="s">
        <v>1338</v>
      </c>
      <c r="D2782" t="s">
        <v>4244</v>
      </c>
      <c r="F2782" s="56"/>
    </row>
    <row r="2783" spans="1:6" ht="15">
      <c r="A2783" s="51">
        <v>319663</v>
      </c>
      <c r="B2783" t="s">
        <v>2384</v>
      </c>
      <c r="C2783" s="39" t="s">
        <v>1338</v>
      </c>
      <c r="D2783" t="s">
        <v>4244</v>
      </c>
      <c r="F2783" s="56"/>
    </row>
    <row r="2784" spans="1:6" ht="15">
      <c r="A2784" s="51">
        <v>319666</v>
      </c>
      <c r="B2784" t="s">
        <v>2385</v>
      </c>
      <c r="C2784" s="39" t="s">
        <v>1338</v>
      </c>
      <c r="D2784" t="s">
        <v>4244</v>
      </c>
      <c r="F2784" s="56"/>
    </row>
    <row r="2785" spans="1:6" ht="15">
      <c r="A2785" s="51">
        <v>319665</v>
      </c>
      <c r="B2785" t="s">
        <v>2386</v>
      </c>
      <c r="C2785" s="39" t="s">
        <v>1338</v>
      </c>
      <c r="D2785">
        <v>8</v>
      </c>
      <c r="F2785" s="56"/>
    </row>
    <row r="2786" spans="1:6" ht="15">
      <c r="A2786" s="51">
        <v>319667</v>
      </c>
      <c r="B2786" t="s">
        <v>2387</v>
      </c>
      <c r="C2786" s="39" t="s">
        <v>1338</v>
      </c>
      <c r="D2786">
        <v>8</v>
      </c>
      <c r="F2786" s="56"/>
    </row>
    <row r="2787" spans="1:6" ht="15">
      <c r="A2787" s="51">
        <v>319673</v>
      </c>
      <c r="B2787" t="s">
        <v>2388</v>
      </c>
      <c r="C2787" s="39" t="s">
        <v>2389</v>
      </c>
      <c r="D2787" t="s">
        <v>4246</v>
      </c>
      <c r="F2787" s="56"/>
    </row>
    <row r="2788" spans="1:6" ht="15">
      <c r="A2788" s="51">
        <v>319670</v>
      </c>
      <c r="B2788" t="s">
        <v>2390</v>
      </c>
      <c r="C2788" s="39" t="s">
        <v>2389</v>
      </c>
      <c r="D2788" t="s">
        <v>4244</v>
      </c>
      <c r="F2788" s="56"/>
    </row>
    <row r="2789" spans="1:6" ht="15">
      <c r="A2789" s="51">
        <v>319674</v>
      </c>
      <c r="B2789" t="s">
        <v>2391</v>
      </c>
      <c r="C2789" s="39" t="s">
        <v>2389</v>
      </c>
      <c r="D2789">
        <v>8</v>
      </c>
      <c r="F2789" s="56"/>
    </row>
    <row r="2790" spans="1:6" ht="15">
      <c r="A2790" s="51">
        <v>319669</v>
      </c>
      <c r="B2790" t="s">
        <v>2392</v>
      </c>
      <c r="C2790" s="39" t="s">
        <v>2130</v>
      </c>
      <c r="D2790">
        <v>8</v>
      </c>
      <c r="F2790" s="56"/>
    </row>
    <row r="2791" spans="1:6" ht="15">
      <c r="A2791" s="51">
        <v>319676</v>
      </c>
      <c r="B2791" t="s">
        <v>2393</v>
      </c>
      <c r="C2791" s="39" t="s">
        <v>2130</v>
      </c>
      <c r="D2791">
        <v>8</v>
      </c>
      <c r="F2791" s="56"/>
    </row>
    <row r="2792" spans="1:6" ht="15">
      <c r="A2792" s="51">
        <v>319675</v>
      </c>
      <c r="B2792" t="s">
        <v>2394</v>
      </c>
      <c r="C2792" s="39" t="s">
        <v>2130</v>
      </c>
      <c r="D2792">
        <v>8</v>
      </c>
      <c r="F2792" s="56"/>
    </row>
    <row r="2793" spans="1:6" ht="15">
      <c r="A2793" s="51">
        <v>319681</v>
      </c>
      <c r="B2793" t="s">
        <v>2395</v>
      </c>
      <c r="C2793" s="39" t="s">
        <v>2147</v>
      </c>
      <c r="D2793">
        <v>8</v>
      </c>
      <c r="F2793" s="56"/>
    </row>
    <row r="2794" spans="1:6" ht="15">
      <c r="A2794" s="51">
        <v>319680</v>
      </c>
      <c r="B2794" t="s">
        <v>2396</v>
      </c>
      <c r="C2794" s="39" t="s">
        <v>2147</v>
      </c>
      <c r="D2794">
        <v>8</v>
      </c>
      <c r="F2794" s="56"/>
    </row>
    <row r="2795" spans="1:6" ht="15">
      <c r="A2795" s="51">
        <v>319678</v>
      </c>
      <c r="B2795" t="s">
        <v>2397</v>
      </c>
      <c r="C2795" s="39" t="s">
        <v>2193</v>
      </c>
      <c r="D2795">
        <v>8</v>
      </c>
      <c r="F2795" s="56"/>
    </row>
    <row r="2796" spans="1:6" ht="15">
      <c r="A2796" s="51">
        <v>319684</v>
      </c>
      <c r="B2796" t="s">
        <v>2398</v>
      </c>
      <c r="C2796" s="39" t="s">
        <v>1301</v>
      </c>
      <c r="D2796">
        <v>8</v>
      </c>
      <c r="F2796" s="56"/>
    </row>
    <row r="2797" spans="1:6" ht="15">
      <c r="A2797" s="51">
        <v>319683</v>
      </c>
      <c r="B2797" t="s">
        <v>2399</v>
      </c>
      <c r="C2797" s="39" t="s">
        <v>1301</v>
      </c>
      <c r="D2797">
        <v>8</v>
      </c>
      <c r="F2797" s="56"/>
    </row>
    <row r="2798" spans="1:6" ht="15">
      <c r="A2798" s="51">
        <v>319682</v>
      </c>
      <c r="B2798" t="s">
        <v>2400</v>
      </c>
      <c r="C2798" s="39" t="s">
        <v>1301</v>
      </c>
      <c r="D2798">
        <v>8</v>
      </c>
      <c r="F2798" s="56"/>
    </row>
    <row r="2799" spans="1:6" ht="15">
      <c r="A2799" s="51">
        <v>319686</v>
      </c>
      <c r="B2799" t="s">
        <v>2401</v>
      </c>
      <c r="C2799" s="39" t="s">
        <v>1495</v>
      </c>
      <c r="D2799">
        <v>8</v>
      </c>
      <c r="F2799" s="56"/>
    </row>
    <row r="2800" spans="1:6" ht="15">
      <c r="A2800" s="51">
        <v>319685</v>
      </c>
      <c r="B2800" t="s">
        <v>2402</v>
      </c>
      <c r="C2800" s="39" t="s">
        <v>1495</v>
      </c>
      <c r="D2800">
        <v>8</v>
      </c>
      <c r="F2800" s="56"/>
    </row>
    <row r="2801" spans="1:6" ht="15">
      <c r="A2801" s="51">
        <v>291867</v>
      </c>
      <c r="B2801" t="s">
        <v>392</v>
      </c>
      <c r="C2801" s="39" t="s">
        <v>2403</v>
      </c>
      <c r="D2801">
        <v>7</v>
      </c>
      <c r="F2801" s="56"/>
    </row>
    <row r="2802" spans="1:6" ht="15">
      <c r="A2802" s="51">
        <v>319704</v>
      </c>
      <c r="B2802" t="s">
        <v>2404</v>
      </c>
      <c r="C2802" s="39" t="s">
        <v>2172</v>
      </c>
      <c r="D2802">
        <v>7</v>
      </c>
      <c r="F2802" s="56"/>
    </row>
    <row r="2803" spans="1:6" ht="15">
      <c r="A2803" s="51">
        <v>319703</v>
      </c>
      <c r="B2803" t="s">
        <v>2405</v>
      </c>
      <c r="C2803" s="39" t="s">
        <v>2172</v>
      </c>
      <c r="D2803">
        <v>8</v>
      </c>
      <c r="F2803" s="56"/>
    </row>
    <row r="2804" spans="1:6" ht="15">
      <c r="A2804" s="51">
        <v>319694</v>
      </c>
      <c r="B2804" t="s">
        <v>2406</v>
      </c>
      <c r="C2804" s="39" t="s">
        <v>2407</v>
      </c>
      <c r="D2804" t="s">
        <v>4244</v>
      </c>
      <c r="F2804" s="56"/>
    </row>
    <row r="2805" spans="1:6" ht="15">
      <c r="A2805" s="51">
        <v>319693</v>
      </c>
      <c r="B2805" t="s">
        <v>2408</v>
      </c>
      <c r="C2805" s="39" t="s">
        <v>2407</v>
      </c>
      <c r="D2805">
        <v>7</v>
      </c>
      <c r="F2805" s="56"/>
    </row>
    <row r="2806" spans="1:6" ht="15">
      <c r="A2806" s="51">
        <v>319692</v>
      </c>
      <c r="B2806" t="s">
        <v>2409</v>
      </c>
      <c r="C2806" s="39" t="s">
        <v>2407</v>
      </c>
      <c r="D2806">
        <v>8</v>
      </c>
      <c r="F2806" s="56"/>
    </row>
    <row r="2807" spans="1:6" ht="15">
      <c r="A2807" s="51">
        <v>319691</v>
      </c>
      <c r="B2807" t="s">
        <v>2410</v>
      </c>
      <c r="C2807" s="39" t="s">
        <v>2411</v>
      </c>
      <c r="D2807" t="s">
        <v>4244</v>
      </c>
      <c r="F2807" s="56"/>
    </row>
    <row r="2808" spans="1:6" ht="15">
      <c r="A2808" s="51">
        <v>319690</v>
      </c>
      <c r="B2808" t="s">
        <v>2412</v>
      </c>
      <c r="C2808" s="39" t="s">
        <v>2411</v>
      </c>
      <c r="D2808">
        <v>7</v>
      </c>
      <c r="F2808" s="56"/>
    </row>
    <row r="2809" spans="1:6" ht="15">
      <c r="A2809" s="51">
        <v>319689</v>
      </c>
      <c r="B2809" t="s">
        <v>2413</v>
      </c>
      <c r="C2809" s="39" t="s">
        <v>2414</v>
      </c>
      <c r="D2809">
        <v>8</v>
      </c>
      <c r="F2809" s="56"/>
    </row>
    <row r="2810" spans="1:6" ht="15">
      <c r="A2810" s="51">
        <v>319697</v>
      </c>
      <c r="B2810" t="s">
        <v>2415</v>
      </c>
      <c r="C2810" s="39" t="s">
        <v>1343</v>
      </c>
      <c r="D2810">
        <v>8</v>
      </c>
      <c r="F2810" s="56"/>
    </row>
    <row r="2811" spans="1:6" ht="15">
      <c r="A2811" s="51">
        <v>319699</v>
      </c>
      <c r="B2811" t="s">
        <v>2416</v>
      </c>
      <c r="C2811" s="39" t="s">
        <v>1343</v>
      </c>
      <c r="D2811">
        <v>8</v>
      </c>
      <c r="F2811" s="56"/>
    </row>
    <row r="2812" spans="1:6" ht="15">
      <c r="A2812" s="51">
        <v>1712736</v>
      </c>
      <c r="B2812" t="s">
        <v>2417</v>
      </c>
      <c r="C2812" s="39" t="s">
        <v>1521</v>
      </c>
      <c r="D2812" t="s">
        <v>4243</v>
      </c>
      <c r="F2812" s="56"/>
    </row>
    <row r="2813" spans="1:6" ht="15">
      <c r="A2813" s="51">
        <v>319719</v>
      </c>
      <c r="B2813" t="s">
        <v>2418</v>
      </c>
      <c r="C2813" s="39" t="s">
        <v>1308</v>
      </c>
      <c r="D2813">
        <v>9</v>
      </c>
      <c r="F2813" s="56"/>
    </row>
    <row r="2814" spans="1:6" ht="15">
      <c r="A2814" s="51">
        <v>319718</v>
      </c>
      <c r="B2814" t="s">
        <v>2419</v>
      </c>
      <c r="C2814" s="39" t="s">
        <v>1308</v>
      </c>
      <c r="D2814">
        <v>9</v>
      </c>
      <c r="F2814" s="56"/>
    </row>
    <row r="2815" spans="1:6" ht="15">
      <c r="A2815" s="51">
        <v>319717</v>
      </c>
      <c r="B2815" t="s">
        <v>2420</v>
      </c>
      <c r="C2815" s="39" t="s">
        <v>1308</v>
      </c>
      <c r="D2815">
        <v>9</v>
      </c>
      <c r="F2815" s="56"/>
    </row>
    <row r="2816" spans="1:6" ht="15">
      <c r="A2816" s="51">
        <v>1712749</v>
      </c>
      <c r="B2816" t="s">
        <v>2421</v>
      </c>
      <c r="C2816" s="39" t="s">
        <v>2422</v>
      </c>
      <c r="D2816" t="s">
        <v>4249</v>
      </c>
      <c r="F2816" s="56"/>
    </row>
    <row r="2817" spans="1:6" ht="15">
      <c r="A2817" s="51">
        <v>319721</v>
      </c>
      <c r="B2817" t="s">
        <v>2423</v>
      </c>
      <c r="C2817" s="39" t="s">
        <v>2424</v>
      </c>
      <c r="D2817">
        <v>9</v>
      </c>
      <c r="F2817" s="56"/>
    </row>
    <row r="2818" spans="1:6" ht="15">
      <c r="A2818" s="51">
        <v>319720</v>
      </c>
      <c r="B2818" t="s">
        <v>2425</v>
      </c>
      <c r="C2818" s="39" t="s">
        <v>2424</v>
      </c>
      <c r="D2818">
        <v>9</v>
      </c>
      <c r="F2818" s="56"/>
    </row>
    <row r="2819" spans="1:6" ht="15">
      <c r="A2819" s="51">
        <v>319715</v>
      </c>
      <c r="B2819" t="s">
        <v>2426</v>
      </c>
      <c r="C2819" s="39" t="s">
        <v>1299</v>
      </c>
      <c r="D2819">
        <v>9</v>
      </c>
      <c r="F2819" s="56"/>
    </row>
    <row r="2820" spans="1:6" ht="15">
      <c r="A2820" s="51">
        <v>319714</v>
      </c>
      <c r="B2820" t="s">
        <v>2427</v>
      </c>
      <c r="C2820" s="39" t="s">
        <v>1299</v>
      </c>
      <c r="D2820">
        <v>9</v>
      </c>
      <c r="F2820" s="56"/>
    </row>
    <row r="2821" spans="1:6" ht="15">
      <c r="A2821" s="51">
        <v>319712</v>
      </c>
      <c r="B2821" t="s">
        <v>2428</v>
      </c>
      <c r="C2821" s="39" t="s">
        <v>1299</v>
      </c>
      <c r="D2821">
        <v>9</v>
      </c>
      <c r="F2821" s="56"/>
    </row>
    <row r="2822" spans="1:6" ht="15">
      <c r="A2822" s="51">
        <v>319713</v>
      </c>
      <c r="B2822" t="s">
        <v>2429</v>
      </c>
      <c r="C2822" s="39" t="s">
        <v>2430</v>
      </c>
      <c r="D2822">
        <v>8</v>
      </c>
      <c r="F2822" s="56"/>
    </row>
    <row r="2823" spans="1:6" ht="15">
      <c r="A2823" s="51">
        <v>319710</v>
      </c>
      <c r="B2823" t="s">
        <v>2431</v>
      </c>
      <c r="C2823" s="39" t="s">
        <v>2177</v>
      </c>
      <c r="D2823">
        <v>8</v>
      </c>
      <c r="F2823" s="56"/>
    </row>
    <row r="2824" spans="1:6" ht="15">
      <c r="A2824" s="51">
        <v>319707</v>
      </c>
      <c r="B2824" t="s">
        <v>2432</v>
      </c>
      <c r="C2824" s="39" t="s">
        <v>2433</v>
      </c>
      <c r="D2824">
        <v>8</v>
      </c>
      <c r="F2824" s="56"/>
    </row>
    <row r="2825" spans="1:6" ht="15">
      <c r="A2825" s="51">
        <v>319706</v>
      </c>
      <c r="B2825" t="s">
        <v>2434</v>
      </c>
      <c r="C2825" s="39" t="s">
        <v>2433</v>
      </c>
      <c r="D2825">
        <v>8</v>
      </c>
      <c r="F2825" s="56"/>
    </row>
    <row r="2826" spans="1:6" ht="15">
      <c r="A2826" s="51">
        <v>319709</v>
      </c>
      <c r="B2826" t="s">
        <v>2435</v>
      </c>
      <c r="C2826" s="39" t="s">
        <v>2436</v>
      </c>
      <c r="D2826">
        <v>8</v>
      </c>
      <c r="F2826" s="56"/>
    </row>
    <row r="2827" spans="1:6" ht="15">
      <c r="A2827" s="51">
        <v>319722</v>
      </c>
      <c r="B2827" t="s">
        <v>2437</v>
      </c>
      <c r="C2827" s="39" t="s">
        <v>2438</v>
      </c>
      <c r="D2827">
        <v>9</v>
      </c>
      <c r="F2827" s="56"/>
    </row>
    <row r="2828" spans="1:6" ht="15">
      <c r="A2828" s="51">
        <v>319711</v>
      </c>
      <c r="B2828" t="s">
        <v>2439</v>
      </c>
      <c r="C2828" s="39" t="s">
        <v>2440</v>
      </c>
      <c r="D2828">
        <v>8</v>
      </c>
      <c r="F2828" s="56"/>
    </row>
    <row r="2829" spans="1:6" ht="15">
      <c r="A2829" s="51">
        <v>319716</v>
      </c>
      <c r="B2829" t="s">
        <v>2441</v>
      </c>
      <c r="C2829" s="39" t="s">
        <v>2440</v>
      </c>
      <c r="D2829">
        <v>9</v>
      </c>
      <c r="F2829" s="56"/>
    </row>
    <row r="2830" spans="1:6" ht="15">
      <c r="A2830" s="51">
        <v>319702</v>
      </c>
      <c r="B2830" t="s">
        <v>2442</v>
      </c>
      <c r="C2830" s="39" t="s">
        <v>1284</v>
      </c>
      <c r="D2830">
        <v>8</v>
      </c>
      <c r="F2830" s="56"/>
    </row>
    <row r="2831" spans="1:6" ht="15">
      <c r="A2831" s="51">
        <v>319700</v>
      </c>
      <c r="B2831" t="s">
        <v>2443</v>
      </c>
      <c r="C2831" s="39" t="s">
        <v>1284</v>
      </c>
      <c r="D2831">
        <v>8</v>
      </c>
      <c r="F2831" s="56"/>
    </row>
    <row r="2832" spans="1:6" ht="15">
      <c r="A2832" s="51">
        <v>319698</v>
      </c>
      <c r="B2832" t="s">
        <v>2444</v>
      </c>
      <c r="C2832" s="39" t="s">
        <v>1284</v>
      </c>
      <c r="D2832">
        <v>8</v>
      </c>
      <c r="F2832" s="56"/>
    </row>
    <row r="2833" spans="1:6" ht="15">
      <c r="A2833" s="51">
        <v>1677401</v>
      </c>
      <c r="B2833" t="s">
        <v>2445</v>
      </c>
      <c r="C2833" s="39" t="s">
        <v>1486</v>
      </c>
      <c r="D2833">
        <v>8</v>
      </c>
      <c r="F2833" s="56"/>
    </row>
    <row r="2834" spans="1:6" ht="15">
      <c r="A2834" s="51">
        <v>319648</v>
      </c>
      <c r="B2834" t="s">
        <v>2446</v>
      </c>
      <c r="C2834" s="39" t="s">
        <v>2407</v>
      </c>
      <c r="D2834">
        <v>8</v>
      </c>
      <c r="F2834" s="56"/>
    </row>
    <row r="2835" spans="1:6" ht="15">
      <c r="A2835" s="51">
        <v>319651</v>
      </c>
      <c r="B2835" t="s">
        <v>2447</v>
      </c>
      <c r="C2835" s="39" t="s">
        <v>2407</v>
      </c>
      <c r="D2835">
        <v>8</v>
      </c>
      <c r="F2835" s="56"/>
    </row>
    <row r="2836" spans="1:6" ht="15">
      <c r="A2836" s="51">
        <v>319649</v>
      </c>
      <c r="B2836" t="s">
        <v>2448</v>
      </c>
      <c r="C2836" s="39" t="s">
        <v>2407</v>
      </c>
      <c r="D2836">
        <v>8</v>
      </c>
      <c r="F2836" s="56"/>
    </row>
    <row r="2837" spans="1:6" ht="15">
      <c r="A2837" s="51">
        <v>319653</v>
      </c>
      <c r="B2837" t="s">
        <v>2449</v>
      </c>
      <c r="C2837" s="39" t="s">
        <v>2411</v>
      </c>
      <c r="D2837">
        <v>8</v>
      </c>
      <c r="F2837" s="56"/>
    </row>
    <row r="2838" spans="1:6" ht="15">
      <c r="A2838" s="51">
        <v>319652</v>
      </c>
      <c r="B2838" t="s">
        <v>2450</v>
      </c>
      <c r="C2838" s="39" t="s">
        <v>2411</v>
      </c>
      <c r="D2838">
        <v>8</v>
      </c>
      <c r="F2838" s="56"/>
    </row>
    <row r="2839" spans="1:6" ht="15">
      <c r="A2839" s="51">
        <v>319650</v>
      </c>
      <c r="B2839" t="s">
        <v>2451</v>
      </c>
      <c r="C2839" s="39" t="s">
        <v>2414</v>
      </c>
      <c r="D2839">
        <v>8</v>
      </c>
      <c r="F2839" s="56"/>
    </row>
    <row r="2840" spans="1:6" ht="15">
      <c r="A2840" s="51">
        <v>1592668</v>
      </c>
      <c r="B2840" t="s">
        <v>126</v>
      </c>
      <c r="C2840" s="39" t="s">
        <v>1390</v>
      </c>
      <c r="D2840" t="s">
        <v>4244</v>
      </c>
      <c r="F2840" s="56"/>
    </row>
    <row r="2841" spans="1:6" ht="15">
      <c r="A2841" s="51">
        <v>319695</v>
      </c>
      <c r="B2841" t="s">
        <v>2452</v>
      </c>
      <c r="C2841" s="39" t="s">
        <v>228</v>
      </c>
      <c r="D2841">
        <v>9</v>
      </c>
      <c r="F2841" s="56"/>
    </row>
    <row r="2842" spans="1:6" ht="15">
      <c r="A2842" s="51">
        <v>301663</v>
      </c>
      <c r="B2842" t="s">
        <v>87</v>
      </c>
      <c r="C2842" s="39" t="s">
        <v>88</v>
      </c>
      <c r="D2842">
        <v>8</v>
      </c>
      <c r="F2842" s="56"/>
    </row>
    <row r="2843" spans="1:6" ht="15">
      <c r="A2843" s="51">
        <v>301666</v>
      </c>
      <c r="B2843" t="s">
        <v>319</v>
      </c>
      <c r="C2843" s="39" t="s">
        <v>320</v>
      </c>
      <c r="D2843" t="s">
        <v>4243</v>
      </c>
      <c r="F2843" s="56"/>
    </row>
    <row r="2844" spans="1:6" ht="15">
      <c r="A2844" s="51">
        <v>301667</v>
      </c>
      <c r="B2844" t="s">
        <v>321</v>
      </c>
      <c r="C2844" s="39" t="s">
        <v>320</v>
      </c>
      <c r="D2844" t="s">
        <v>4243</v>
      </c>
      <c r="F2844" s="56"/>
    </row>
    <row r="2845" spans="1:6" ht="15">
      <c r="A2845" s="51">
        <v>634675</v>
      </c>
      <c r="B2845" t="s">
        <v>1788</v>
      </c>
      <c r="C2845" s="39" t="s">
        <v>1352</v>
      </c>
      <c r="D2845" t="s">
        <v>469</v>
      </c>
      <c r="F2845" s="56"/>
    </row>
    <row r="2846" spans="1:6" ht="15">
      <c r="A2846" s="51">
        <v>301668</v>
      </c>
      <c r="B2846" t="s">
        <v>1789</v>
      </c>
      <c r="C2846" s="39" t="s">
        <v>1352</v>
      </c>
      <c r="D2846" t="s">
        <v>469</v>
      </c>
      <c r="F2846" s="56"/>
    </row>
    <row r="2847" spans="1:6" ht="15">
      <c r="A2847" s="51">
        <v>301669</v>
      </c>
      <c r="B2847" t="s">
        <v>975</v>
      </c>
      <c r="C2847" s="39" t="s">
        <v>536</v>
      </c>
      <c r="D2847" t="s">
        <v>4246</v>
      </c>
      <c r="F2847" s="56"/>
    </row>
    <row r="2848" spans="1:6" ht="15">
      <c r="A2848" s="51">
        <v>301670</v>
      </c>
      <c r="B2848" t="s">
        <v>323</v>
      </c>
      <c r="C2848" s="39" t="s">
        <v>536</v>
      </c>
      <c r="D2848" t="s">
        <v>4247</v>
      </c>
      <c r="F2848" s="56"/>
    </row>
    <row r="2849" spans="1:6" ht="15">
      <c r="A2849" s="51">
        <v>301671</v>
      </c>
      <c r="B2849" t="s">
        <v>2453</v>
      </c>
      <c r="C2849" s="39" t="s">
        <v>2454</v>
      </c>
      <c r="D2849" t="s">
        <v>4243</v>
      </c>
      <c r="F2849" s="56"/>
    </row>
    <row r="2850" spans="1:6" ht="15">
      <c r="A2850" s="51">
        <v>301672</v>
      </c>
      <c r="B2850" t="s">
        <v>2455</v>
      </c>
      <c r="C2850" s="39" t="s">
        <v>2454</v>
      </c>
      <c r="D2850">
        <v>8</v>
      </c>
      <c r="F2850" s="56"/>
    </row>
    <row r="2851" spans="1:6" ht="15">
      <c r="A2851" s="51">
        <v>631234</v>
      </c>
      <c r="B2851" t="s">
        <v>2456</v>
      </c>
      <c r="C2851" s="39" t="s">
        <v>983</v>
      </c>
      <c r="D2851" t="s">
        <v>1596</v>
      </c>
      <c r="F2851" s="56"/>
    </row>
    <row r="2852" spans="1:6" ht="15">
      <c r="A2852" s="51">
        <v>631246</v>
      </c>
      <c r="B2852" t="s">
        <v>2457</v>
      </c>
      <c r="C2852" s="39" t="s">
        <v>983</v>
      </c>
      <c r="D2852" t="s">
        <v>1596</v>
      </c>
      <c r="F2852" s="56"/>
    </row>
    <row r="2853" spans="1:6" ht="15">
      <c r="A2853" s="51">
        <v>301673</v>
      </c>
      <c r="B2853" t="s">
        <v>994</v>
      </c>
      <c r="C2853" s="39" t="s">
        <v>312</v>
      </c>
      <c r="D2853" t="s">
        <v>471</v>
      </c>
      <c r="F2853" s="56"/>
    </row>
    <row r="2854" spans="1:6" ht="15">
      <c r="A2854" s="51">
        <v>301674</v>
      </c>
      <c r="B2854" t="s">
        <v>1355</v>
      </c>
      <c r="C2854" s="39" t="s">
        <v>312</v>
      </c>
      <c r="D2854">
        <v>8</v>
      </c>
      <c r="F2854" s="56"/>
    </row>
    <row r="2855" spans="1:6" ht="15">
      <c r="A2855" s="51">
        <v>301675</v>
      </c>
      <c r="B2855" t="s">
        <v>1525</v>
      </c>
      <c r="C2855" s="39" t="s">
        <v>312</v>
      </c>
      <c r="D2855">
        <v>9</v>
      </c>
      <c r="F2855" s="56"/>
    </row>
    <row r="2856" spans="1:6" ht="15">
      <c r="A2856" s="51">
        <v>1380059</v>
      </c>
      <c r="B2856" t="s">
        <v>328</v>
      </c>
      <c r="C2856" s="39" t="s">
        <v>2458</v>
      </c>
      <c r="D2856" t="s">
        <v>4243</v>
      </c>
      <c r="F2856" s="56"/>
    </row>
    <row r="2857" spans="1:6" ht="15">
      <c r="A2857" s="51">
        <v>301676</v>
      </c>
      <c r="B2857" t="s">
        <v>330</v>
      </c>
      <c r="C2857" s="39" t="s">
        <v>331</v>
      </c>
      <c r="D2857" t="s">
        <v>4244</v>
      </c>
      <c r="F2857" s="56"/>
    </row>
    <row r="2858" spans="1:6" ht="15">
      <c r="A2858" s="51">
        <v>301677</v>
      </c>
      <c r="B2858" t="s">
        <v>332</v>
      </c>
      <c r="C2858" s="39" t="s">
        <v>331</v>
      </c>
      <c r="D2858" t="s">
        <v>4244</v>
      </c>
      <c r="F2858" s="56"/>
    </row>
    <row r="2859" spans="1:6" ht="15">
      <c r="A2859" s="51">
        <v>301678</v>
      </c>
      <c r="B2859" t="s">
        <v>1970</v>
      </c>
      <c r="C2859" s="39" t="s">
        <v>99</v>
      </c>
      <c r="D2859">
        <v>7</v>
      </c>
      <c r="F2859" s="56"/>
    </row>
    <row r="2860" spans="1:6" ht="15">
      <c r="A2860" s="51">
        <v>633023</v>
      </c>
      <c r="B2860" t="s">
        <v>1971</v>
      </c>
      <c r="C2860" s="39" t="s">
        <v>99</v>
      </c>
      <c r="D2860">
        <v>7</v>
      </c>
      <c r="F2860" s="56"/>
    </row>
    <row r="2861" spans="1:6" ht="15">
      <c r="A2861" s="51">
        <v>633022</v>
      </c>
      <c r="B2861" t="s">
        <v>2459</v>
      </c>
      <c r="C2861" s="39" t="s">
        <v>104</v>
      </c>
      <c r="D2861" t="s">
        <v>4243</v>
      </c>
      <c r="F2861" s="56"/>
    </row>
    <row r="2862" spans="1:6" ht="15">
      <c r="A2862" s="51">
        <v>301680</v>
      </c>
      <c r="B2862" t="s">
        <v>339</v>
      </c>
      <c r="C2862" s="39" t="s">
        <v>999</v>
      </c>
      <c r="D2862" t="s">
        <v>468</v>
      </c>
      <c r="F2862" s="56"/>
    </row>
    <row r="2863" spans="1:6" ht="15">
      <c r="A2863" s="51">
        <v>301681</v>
      </c>
      <c r="B2863" t="s">
        <v>340</v>
      </c>
      <c r="C2863" s="39" t="s">
        <v>999</v>
      </c>
      <c r="D2863" t="s">
        <v>468</v>
      </c>
      <c r="F2863" s="56"/>
    </row>
    <row r="2864" spans="1:6" ht="15">
      <c r="A2864" s="51">
        <v>301682</v>
      </c>
      <c r="B2864" t="s">
        <v>1000</v>
      </c>
      <c r="C2864" s="39" t="s">
        <v>999</v>
      </c>
      <c r="D2864" t="s">
        <v>469</v>
      </c>
      <c r="F2864" s="56"/>
    </row>
    <row r="2865" spans="1:6" ht="15">
      <c r="A2865" s="51">
        <v>301683</v>
      </c>
      <c r="B2865" t="s">
        <v>2460</v>
      </c>
      <c r="C2865" s="39" t="s">
        <v>999</v>
      </c>
      <c r="D2865" t="s">
        <v>471</v>
      </c>
      <c r="F2865" s="56"/>
    </row>
    <row r="2866" spans="1:6" ht="15">
      <c r="A2866" s="51">
        <v>301684</v>
      </c>
      <c r="B2866" t="s">
        <v>2461</v>
      </c>
      <c r="C2866" s="39" t="s">
        <v>999</v>
      </c>
      <c r="D2866">
        <v>7</v>
      </c>
      <c r="F2866" s="56"/>
    </row>
    <row r="2867" spans="1:6" ht="15">
      <c r="A2867" s="51">
        <v>301685</v>
      </c>
      <c r="B2867" t="s">
        <v>109</v>
      </c>
      <c r="C2867" s="39" t="s">
        <v>108</v>
      </c>
      <c r="D2867" t="s">
        <v>4245</v>
      </c>
      <c r="F2867" s="56"/>
    </row>
    <row r="2868" spans="1:6" ht="15">
      <c r="A2868" s="51">
        <v>301686</v>
      </c>
      <c r="B2868" t="s">
        <v>111</v>
      </c>
      <c r="C2868" s="39" t="s">
        <v>108</v>
      </c>
      <c r="D2868" t="s">
        <v>4245</v>
      </c>
      <c r="F2868" s="56"/>
    </row>
    <row r="2869" spans="1:6" ht="15">
      <c r="A2869" s="51">
        <v>301687</v>
      </c>
      <c r="B2869" t="s">
        <v>112</v>
      </c>
      <c r="C2869" s="39" t="s">
        <v>108</v>
      </c>
      <c r="D2869" t="s">
        <v>4244</v>
      </c>
      <c r="F2869" s="56"/>
    </row>
    <row r="2870" spans="1:6" ht="15">
      <c r="A2870" s="51">
        <v>301688</v>
      </c>
      <c r="B2870" t="s">
        <v>347</v>
      </c>
      <c r="C2870" s="39" t="s">
        <v>542</v>
      </c>
      <c r="D2870" t="s">
        <v>4246</v>
      </c>
      <c r="F2870" s="56"/>
    </row>
    <row r="2871" spans="1:6" ht="15">
      <c r="A2871" s="51">
        <v>301689</v>
      </c>
      <c r="B2871" t="s">
        <v>1005</v>
      </c>
      <c r="C2871" s="39" t="s">
        <v>349</v>
      </c>
      <c r="D2871" t="s">
        <v>4247</v>
      </c>
      <c r="F2871" s="56"/>
    </row>
    <row r="2872" spans="1:6" ht="15">
      <c r="A2872" s="51">
        <v>301690</v>
      </c>
      <c r="B2872" t="s">
        <v>1006</v>
      </c>
      <c r="C2872" s="39" t="s">
        <v>349</v>
      </c>
      <c r="D2872" t="s">
        <v>4243</v>
      </c>
      <c r="F2872" s="56"/>
    </row>
    <row r="2873" spans="1:6" ht="15">
      <c r="A2873" s="51">
        <v>301691</v>
      </c>
      <c r="B2873" t="s">
        <v>348</v>
      </c>
      <c r="C2873" s="39" t="s">
        <v>120</v>
      </c>
      <c r="D2873" t="s">
        <v>4245</v>
      </c>
      <c r="F2873" s="56"/>
    </row>
    <row r="2874" spans="1:6" ht="15">
      <c r="A2874" s="51">
        <v>301692</v>
      </c>
      <c r="B2874" t="s">
        <v>350</v>
      </c>
      <c r="C2874" s="39" t="s">
        <v>120</v>
      </c>
      <c r="D2874" t="s">
        <v>4246</v>
      </c>
      <c r="F2874" s="56"/>
    </row>
    <row r="2875" spans="1:6" ht="15">
      <c r="A2875" s="51">
        <v>301693</v>
      </c>
      <c r="B2875" t="s">
        <v>351</v>
      </c>
      <c r="C2875" s="39" t="s">
        <v>120</v>
      </c>
      <c r="D2875" t="s">
        <v>4244</v>
      </c>
      <c r="F2875" s="56"/>
    </row>
    <row r="2876" spans="1:6" ht="15">
      <c r="A2876" s="51">
        <v>301694</v>
      </c>
      <c r="B2876" t="s">
        <v>1165</v>
      </c>
      <c r="C2876" s="39" t="s">
        <v>914</v>
      </c>
      <c r="D2876" t="s">
        <v>4244</v>
      </c>
      <c r="F2876" s="56"/>
    </row>
    <row r="2877" spans="1:6" ht="15">
      <c r="A2877" s="51">
        <v>301695</v>
      </c>
      <c r="B2877" t="s">
        <v>122</v>
      </c>
      <c r="C2877" s="39" t="s">
        <v>914</v>
      </c>
      <c r="D2877" t="s">
        <v>4244</v>
      </c>
      <c r="F2877" s="56"/>
    </row>
    <row r="2878" spans="1:6" ht="15">
      <c r="A2878" s="51">
        <v>301696</v>
      </c>
      <c r="B2878" t="s">
        <v>124</v>
      </c>
      <c r="C2878" s="39" t="s">
        <v>914</v>
      </c>
      <c r="D2878">
        <v>7</v>
      </c>
      <c r="F2878" s="56"/>
    </row>
    <row r="2879" spans="1:6" ht="15">
      <c r="A2879" s="51">
        <v>301697</v>
      </c>
      <c r="B2879" t="s">
        <v>125</v>
      </c>
      <c r="C2879" s="39" t="s">
        <v>914</v>
      </c>
      <c r="D2879">
        <v>8</v>
      </c>
      <c r="F2879" s="56"/>
    </row>
    <row r="2880" spans="1:6" ht="15">
      <c r="A2880" s="51">
        <v>301698</v>
      </c>
      <c r="B2880" t="s">
        <v>1010</v>
      </c>
      <c r="C2880" s="39" t="s">
        <v>781</v>
      </c>
      <c r="D2880" t="s">
        <v>4245</v>
      </c>
      <c r="F2880" s="56"/>
    </row>
    <row r="2881" spans="1:6" ht="15">
      <c r="A2881" s="51">
        <v>301699</v>
      </c>
      <c r="B2881" t="s">
        <v>1720</v>
      </c>
      <c r="C2881" s="39" t="s">
        <v>781</v>
      </c>
      <c r="D2881" t="s">
        <v>4247</v>
      </c>
      <c r="F2881" s="56"/>
    </row>
    <row r="2882" spans="1:6" ht="15">
      <c r="A2882" s="51">
        <v>301700</v>
      </c>
      <c r="B2882" t="s">
        <v>129</v>
      </c>
      <c r="C2882" s="39" t="s">
        <v>130</v>
      </c>
      <c r="D2882" t="s">
        <v>4243</v>
      </c>
      <c r="F2882" s="56"/>
    </row>
    <row r="2883" spans="1:6" ht="15">
      <c r="A2883" s="51">
        <v>301702</v>
      </c>
      <c r="B2883" t="s">
        <v>360</v>
      </c>
      <c r="C2883" s="39" t="s">
        <v>362</v>
      </c>
      <c r="D2883" t="s">
        <v>4247</v>
      </c>
      <c r="F2883" s="56"/>
    </row>
    <row r="2884" spans="1:6" ht="15">
      <c r="A2884" s="51">
        <v>301703</v>
      </c>
      <c r="B2884" t="s">
        <v>139</v>
      </c>
      <c r="C2884" s="39" t="s">
        <v>140</v>
      </c>
      <c r="D2884">
        <v>7</v>
      </c>
      <c r="F2884" s="56"/>
    </row>
    <row r="2885" spans="1:6" ht="15">
      <c r="A2885" s="51">
        <v>633061</v>
      </c>
      <c r="B2885" t="s">
        <v>2462</v>
      </c>
      <c r="C2885" s="39" t="s">
        <v>1024</v>
      </c>
      <c r="D2885" t="s">
        <v>4243</v>
      </c>
      <c r="F2885" s="56"/>
    </row>
    <row r="2886" spans="1:6" ht="15">
      <c r="A2886" s="51">
        <v>301704</v>
      </c>
      <c r="B2886" t="s">
        <v>2463</v>
      </c>
      <c r="C2886" s="39" t="s">
        <v>664</v>
      </c>
      <c r="D2886" t="s">
        <v>4243</v>
      </c>
      <c r="F2886" s="56"/>
    </row>
    <row r="2887" spans="1:6" ht="15">
      <c r="A2887" s="51">
        <v>301705</v>
      </c>
      <c r="B2887" t="s">
        <v>364</v>
      </c>
      <c r="C2887" s="39" t="s">
        <v>664</v>
      </c>
      <c r="D2887" t="s">
        <v>4243</v>
      </c>
      <c r="F2887" s="56"/>
    </row>
    <row r="2888" spans="1:6" ht="15">
      <c r="A2888" s="51">
        <v>301706</v>
      </c>
      <c r="B2888" t="s">
        <v>365</v>
      </c>
      <c r="C2888" s="39" t="s">
        <v>664</v>
      </c>
      <c r="D2888">
        <v>7</v>
      </c>
      <c r="F2888" s="56"/>
    </row>
    <row r="2889" spans="1:6" ht="15">
      <c r="A2889" s="51">
        <v>633025</v>
      </c>
      <c r="B2889" t="s">
        <v>2464</v>
      </c>
      <c r="C2889" s="39" t="s">
        <v>1028</v>
      </c>
      <c r="D2889" t="s">
        <v>4246</v>
      </c>
      <c r="F2889" s="56"/>
    </row>
    <row r="2890" spans="1:6" ht="15">
      <c r="A2890" s="51">
        <v>301709</v>
      </c>
      <c r="B2890" t="s">
        <v>2465</v>
      </c>
      <c r="C2890" s="39" t="s">
        <v>1028</v>
      </c>
      <c r="D2890" t="s">
        <v>4246</v>
      </c>
      <c r="F2890" s="56"/>
    </row>
    <row r="2891" spans="1:6" ht="15">
      <c r="A2891" s="51">
        <v>301710</v>
      </c>
      <c r="B2891" t="s">
        <v>2466</v>
      </c>
      <c r="C2891" s="39" t="s">
        <v>228</v>
      </c>
      <c r="D2891">
        <v>9</v>
      </c>
      <c r="F2891" s="56"/>
    </row>
    <row r="2892" spans="1:6" ht="15">
      <c r="A2892" s="51">
        <v>301712</v>
      </c>
      <c r="B2892" t="s">
        <v>2467</v>
      </c>
      <c r="C2892" s="39" t="s">
        <v>896</v>
      </c>
      <c r="D2892">
        <v>8</v>
      </c>
      <c r="F2892" s="56"/>
    </row>
    <row r="2893" spans="1:6" ht="15">
      <c r="A2893" s="51">
        <v>633051</v>
      </c>
      <c r="B2893" t="s">
        <v>1741</v>
      </c>
      <c r="C2893" s="39" t="s">
        <v>373</v>
      </c>
      <c r="D2893" t="s">
        <v>4248</v>
      </c>
      <c r="F2893" s="56"/>
    </row>
    <row r="2894" spans="1:6" ht="15">
      <c r="A2894" s="51">
        <v>301713</v>
      </c>
      <c r="B2894" t="s">
        <v>1034</v>
      </c>
      <c r="C2894" s="39" t="s">
        <v>1035</v>
      </c>
      <c r="D2894" t="s">
        <v>1595</v>
      </c>
      <c r="F2894" s="56"/>
    </row>
    <row r="2895" spans="1:6" ht="15">
      <c r="A2895" s="51">
        <v>301714</v>
      </c>
      <c r="B2895" t="s">
        <v>1036</v>
      </c>
      <c r="C2895" s="39" t="s">
        <v>1035</v>
      </c>
      <c r="D2895" t="s">
        <v>1595</v>
      </c>
      <c r="F2895" s="56"/>
    </row>
    <row r="2896" spans="1:6" ht="15">
      <c r="A2896" s="51">
        <v>301717</v>
      </c>
      <c r="B2896" t="s">
        <v>2468</v>
      </c>
      <c r="C2896" s="39" t="s">
        <v>375</v>
      </c>
      <c r="D2896">
        <v>7</v>
      </c>
      <c r="F2896" s="56"/>
    </row>
    <row r="2897" spans="1:6" ht="15">
      <c r="A2897" s="51">
        <v>301718</v>
      </c>
      <c r="B2897" t="s">
        <v>2469</v>
      </c>
      <c r="C2897" s="39" t="s">
        <v>375</v>
      </c>
      <c r="D2897">
        <v>8</v>
      </c>
      <c r="F2897" s="56"/>
    </row>
    <row r="2898" spans="1:6" ht="15">
      <c r="A2898" s="51">
        <v>301719</v>
      </c>
      <c r="B2898" t="s">
        <v>2470</v>
      </c>
      <c r="C2898" s="39" t="s">
        <v>2471</v>
      </c>
      <c r="D2898">
        <v>8</v>
      </c>
      <c r="F2898" s="56"/>
    </row>
    <row r="2899" spans="1:6" ht="15">
      <c r="A2899" s="51">
        <v>301720</v>
      </c>
      <c r="B2899" t="s">
        <v>2472</v>
      </c>
      <c r="C2899" s="39" t="s">
        <v>385</v>
      </c>
      <c r="D2899">
        <v>7</v>
      </c>
      <c r="F2899" s="56"/>
    </row>
    <row r="2900" spans="1:6" ht="15">
      <c r="A2900" s="51">
        <v>631232</v>
      </c>
      <c r="B2900" t="s">
        <v>2473</v>
      </c>
      <c r="C2900" s="39" t="s">
        <v>803</v>
      </c>
      <c r="D2900">
        <v>7</v>
      </c>
      <c r="F2900" s="56"/>
    </row>
    <row r="2901" spans="1:6" ht="15">
      <c r="A2901" s="51">
        <v>633029</v>
      </c>
      <c r="B2901" t="s">
        <v>1547</v>
      </c>
      <c r="C2901" s="39" t="s">
        <v>1046</v>
      </c>
      <c r="D2901" t="s">
        <v>469</v>
      </c>
      <c r="F2901" s="56"/>
    </row>
    <row r="2902" spans="1:6" ht="15">
      <c r="A2902" s="51">
        <v>301723</v>
      </c>
      <c r="B2902" t="s">
        <v>1184</v>
      </c>
      <c r="C2902" s="39" t="s">
        <v>1052</v>
      </c>
      <c r="D2902" t="s">
        <v>4243</v>
      </c>
      <c r="F2902" s="56"/>
    </row>
    <row r="2903" spans="1:6" ht="15">
      <c r="A2903" s="51">
        <v>301724</v>
      </c>
      <c r="B2903" t="s">
        <v>1430</v>
      </c>
      <c r="C2903" s="39" t="s">
        <v>955</v>
      </c>
      <c r="D2903">
        <v>7</v>
      </c>
      <c r="F2903" s="56"/>
    </row>
    <row r="2904" spans="1:6" ht="15">
      <c r="A2904" s="51">
        <v>301725</v>
      </c>
      <c r="B2904" t="s">
        <v>1053</v>
      </c>
      <c r="C2904" s="39" t="s">
        <v>955</v>
      </c>
      <c r="D2904">
        <v>7</v>
      </c>
      <c r="F2904" s="56"/>
    </row>
    <row r="2905" spans="1:6" ht="15">
      <c r="A2905" s="51">
        <v>301726</v>
      </c>
      <c r="B2905" t="s">
        <v>1055</v>
      </c>
      <c r="C2905" s="39" t="s">
        <v>166</v>
      </c>
      <c r="D2905" t="s">
        <v>4245</v>
      </c>
      <c r="F2905" s="56"/>
    </row>
    <row r="2906" spans="1:6" ht="15">
      <c r="A2906" s="51">
        <v>301727</v>
      </c>
      <c r="B2906" t="s">
        <v>1056</v>
      </c>
      <c r="C2906" s="39" t="s">
        <v>166</v>
      </c>
      <c r="D2906" t="s">
        <v>4244</v>
      </c>
      <c r="F2906" s="56"/>
    </row>
    <row r="2907" spans="1:6" ht="15">
      <c r="A2907" s="51">
        <v>301728</v>
      </c>
      <c r="B2907" t="s">
        <v>1058</v>
      </c>
      <c r="C2907" s="39" t="s">
        <v>166</v>
      </c>
      <c r="D2907" t="s">
        <v>4243</v>
      </c>
      <c r="F2907" s="56"/>
    </row>
    <row r="2908" spans="1:6" ht="15">
      <c r="A2908" s="51">
        <v>301729</v>
      </c>
      <c r="B2908" t="s">
        <v>1824</v>
      </c>
      <c r="C2908" s="39" t="s">
        <v>177</v>
      </c>
      <c r="D2908" t="s">
        <v>1595</v>
      </c>
      <c r="F2908" s="56"/>
    </row>
    <row r="2909" spans="1:6" ht="15">
      <c r="A2909" s="51">
        <v>301730</v>
      </c>
      <c r="B2909" t="s">
        <v>1825</v>
      </c>
      <c r="C2909" s="39" t="s">
        <v>177</v>
      </c>
      <c r="D2909" t="s">
        <v>468</v>
      </c>
      <c r="F2909" s="56"/>
    </row>
    <row r="2910" spans="1:6" ht="15">
      <c r="A2910" s="51">
        <v>633030</v>
      </c>
      <c r="B2910" t="s">
        <v>389</v>
      </c>
      <c r="C2910" s="39" t="s">
        <v>183</v>
      </c>
      <c r="D2910">
        <v>7</v>
      </c>
      <c r="F2910" s="56"/>
    </row>
    <row r="2911" spans="1:6" ht="15">
      <c r="A2911" s="51">
        <v>301735</v>
      </c>
      <c r="B2911" t="s">
        <v>393</v>
      </c>
      <c r="C2911" s="39" t="s">
        <v>394</v>
      </c>
      <c r="D2911">
        <v>7</v>
      </c>
      <c r="F2911" s="56"/>
    </row>
    <row r="2912" spans="1:6" ht="15">
      <c r="A2912" s="51">
        <v>301738</v>
      </c>
      <c r="B2912" t="s">
        <v>2219</v>
      </c>
      <c r="C2912" s="39" t="s">
        <v>185</v>
      </c>
      <c r="D2912" t="s">
        <v>4244</v>
      </c>
      <c r="F2912" s="56"/>
    </row>
    <row r="2913" spans="1:6" ht="15">
      <c r="A2913" s="51">
        <v>301739</v>
      </c>
      <c r="B2913" t="s">
        <v>863</v>
      </c>
      <c r="C2913" s="39" t="s">
        <v>185</v>
      </c>
      <c r="D2913" t="s">
        <v>4244</v>
      </c>
      <c r="F2913" s="56"/>
    </row>
    <row r="2914" spans="1:6" ht="15">
      <c r="A2914" s="51">
        <v>301740</v>
      </c>
      <c r="B2914" t="s">
        <v>2474</v>
      </c>
      <c r="C2914" s="39" t="s">
        <v>189</v>
      </c>
      <c r="D2914" t="s">
        <v>4244</v>
      </c>
      <c r="F2914" s="56"/>
    </row>
    <row r="2915" spans="1:6" ht="15">
      <c r="A2915" s="51">
        <v>301741</v>
      </c>
      <c r="B2915" t="s">
        <v>2475</v>
      </c>
      <c r="C2915" s="39" t="s">
        <v>189</v>
      </c>
      <c r="D2915">
        <v>7</v>
      </c>
      <c r="F2915" s="56"/>
    </row>
    <row r="2916" spans="1:6" ht="15">
      <c r="A2916" s="51">
        <v>301742</v>
      </c>
      <c r="B2916" t="s">
        <v>2476</v>
      </c>
      <c r="C2916" s="39" t="s">
        <v>189</v>
      </c>
      <c r="D2916">
        <v>8</v>
      </c>
      <c r="F2916" s="56"/>
    </row>
    <row r="2917" spans="1:6" ht="15">
      <c r="A2917" s="51">
        <v>301743</v>
      </c>
      <c r="B2917" t="s">
        <v>2477</v>
      </c>
      <c r="C2917" s="39" t="s">
        <v>189</v>
      </c>
      <c r="D2917">
        <v>9</v>
      </c>
      <c r="F2917" s="56"/>
    </row>
    <row r="2918" spans="1:6" ht="15">
      <c r="A2918" s="51">
        <v>301744</v>
      </c>
      <c r="B2918" t="s">
        <v>2478</v>
      </c>
      <c r="C2918" s="39" t="s">
        <v>1831</v>
      </c>
      <c r="D2918" t="s">
        <v>4246</v>
      </c>
      <c r="F2918" s="56"/>
    </row>
    <row r="2919" spans="1:6" ht="15">
      <c r="A2919" s="51">
        <v>301745</v>
      </c>
      <c r="B2919" t="s">
        <v>867</v>
      </c>
      <c r="C2919" s="39" t="s">
        <v>1831</v>
      </c>
      <c r="D2919" t="s">
        <v>4247</v>
      </c>
      <c r="F2919" s="56"/>
    </row>
    <row r="2920" spans="1:6" ht="15">
      <c r="A2920" s="51">
        <v>301746</v>
      </c>
      <c r="B2920" t="s">
        <v>193</v>
      </c>
      <c r="C2920" s="39" t="s">
        <v>1831</v>
      </c>
      <c r="D2920" t="s">
        <v>4243</v>
      </c>
      <c r="F2920" s="56"/>
    </row>
    <row r="2921" spans="1:6" ht="15">
      <c r="A2921" s="51">
        <v>301747</v>
      </c>
      <c r="B2921" t="s">
        <v>1190</v>
      </c>
      <c r="C2921" s="39" t="s">
        <v>402</v>
      </c>
      <c r="D2921" t="s">
        <v>4245</v>
      </c>
      <c r="F2921" s="56"/>
    </row>
    <row r="2922" spans="1:6" ht="15">
      <c r="A2922" s="51">
        <v>633026</v>
      </c>
      <c r="B2922" t="s">
        <v>1565</v>
      </c>
      <c r="C2922" s="39" t="s">
        <v>908</v>
      </c>
      <c r="D2922" t="s">
        <v>4244</v>
      </c>
      <c r="F2922" s="56"/>
    </row>
    <row r="2923" spans="1:6" ht="15">
      <c r="A2923" s="51">
        <v>1380060</v>
      </c>
      <c r="B2923" t="s">
        <v>199</v>
      </c>
      <c r="C2923" s="39" t="s">
        <v>2301</v>
      </c>
      <c r="D2923" t="s">
        <v>468</v>
      </c>
      <c r="F2923" s="56"/>
    </row>
    <row r="2924" spans="1:6" ht="15">
      <c r="A2924" s="51">
        <v>1380061</v>
      </c>
      <c r="B2924" t="s">
        <v>201</v>
      </c>
      <c r="C2924" s="39" t="s">
        <v>2301</v>
      </c>
      <c r="D2924" t="s">
        <v>469</v>
      </c>
      <c r="F2924" s="56"/>
    </row>
    <row r="2925" spans="1:6" ht="15">
      <c r="A2925" s="51">
        <v>1380062</v>
      </c>
      <c r="B2925" t="s">
        <v>2479</v>
      </c>
      <c r="C2925" s="39" t="s">
        <v>2301</v>
      </c>
      <c r="D2925" t="s">
        <v>471</v>
      </c>
      <c r="F2925" s="56"/>
    </row>
    <row r="2926" spans="1:6" ht="15">
      <c r="A2926" s="51">
        <v>633037</v>
      </c>
      <c r="B2926" t="s">
        <v>2480</v>
      </c>
      <c r="C2926" s="39" t="s">
        <v>1835</v>
      </c>
      <c r="D2926" t="s">
        <v>4243</v>
      </c>
      <c r="F2926" s="56"/>
    </row>
    <row r="2927" spans="1:6" ht="15">
      <c r="A2927" s="51">
        <v>634684</v>
      </c>
      <c r="B2927" t="s">
        <v>1191</v>
      </c>
      <c r="C2927" s="39" t="s">
        <v>561</v>
      </c>
      <c r="D2927" t="s">
        <v>4247</v>
      </c>
      <c r="F2927" s="56"/>
    </row>
    <row r="2928" spans="1:6" ht="15">
      <c r="A2928" s="51">
        <v>301757</v>
      </c>
      <c r="B2928" t="s">
        <v>409</v>
      </c>
      <c r="C2928" s="39" t="s">
        <v>410</v>
      </c>
      <c r="D2928" t="s">
        <v>4246</v>
      </c>
      <c r="F2928" s="56"/>
    </row>
    <row r="2929" spans="1:6" ht="15">
      <c r="A2929" s="51">
        <v>301758</v>
      </c>
      <c r="B2929" t="s">
        <v>411</v>
      </c>
      <c r="C2929" s="39" t="s">
        <v>410</v>
      </c>
      <c r="D2929" t="s">
        <v>4243</v>
      </c>
      <c r="F2929" s="56"/>
    </row>
    <row r="2930" spans="1:6" ht="15">
      <c r="A2930" s="51">
        <v>301759</v>
      </c>
      <c r="B2930" t="s">
        <v>412</v>
      </c>
      <c r="C2930" s="39" t="s">
        <v>410</v>
      </c>
      <c r="D2930">
        <v>7</v>
      </c>
      <c r="F2930" s="56"/>
    </row>
    <row r="2931" spans="1:6" ht="15">
      <c r="A2931" s="51">
        <v>633060</v>
      </c>
      <c r="B2931" t="s">
        <v>2481</v>
      </c>
      <c r="C2931" s="39" t="s">
        <v>2482</v>
      </c>
      <c r="D2931" t="s">
        <v>4243</v>
      </c>
      <c r="F2931" s="56"/>
    </row>
    <row r="2932" spans="1:6" ht="15">
      <c r="A2932" s="51">
        <v>301760</v>
      </c>
      <c r="B2932" t="s">
        <v>1079</v>
      </c>
      <c r="C2932" s="39" t="s">
        <v>1080</v>
      </c>
      <c r="D2932" t="s">
        <v>4244</v>
      </c>
      <c r="F2932" s="56"/>
    </row>
    <row r="2933" spans="1:6" ht="15">
      <c r="A2933" s="51">
        <v>301761</v>
      </c>
      <c r="B2933" t="s">
        <v>1081</v>
      </c>
      <c r="C2933" s="39" t="s">
        <v>1080</v>
      </c>
      <c r="D2933" t="s">
        <v>4244</v>
      </c>
      <c r="F2933" s="56"/>
    </row>
    <row r="2934" spans="1:6" ht="15">
      <c r="A2934" s="51">
        <v>301762</v>
      </c>
      <c r="B2934" t="s">
        <v>1673</v>
      </c>
      <c r="C2934" s="39" t="s">
        <v>1083</v>
      </c>
      <c r="D2934" t="s">
        <v>466</v>
      </c>
      <c r="F2934" s="56"/>
    </row>
    <row r="2935" spans="1:6" ht="15">
      <c r="A2935" s="51">
        <v>301763</v>
      </c>
      <c r="B2935" t="s">
        <v>1085</v>
      </c>
      <c r="C2935" s="39" t="s">
        <v>1083</v>
      </c>
      <c r="D2935" t="s">
        <v>1595</v>
      </c>
      <c r="F2935" s="56"/>
    </row>
    <row r="2936" spans="1:6" ht="15">
      <c r="A2936" s="51">
        <v>301764</v>
      </c>
      <c r="B2936" t="s">
        <v>1086</v>
      </c>
      <c r="C2936" s="39" t="s">
        <v>1083</v>
      </c>
      <c r="D2936" t="s">
        <v>469</v>
      </c>
      <c r="F2936" s="56"/>
    </row>
    <row r="2937" spans="1:6" ht="15">
      <c r="A2937" s="51">
        <v>301765</v>
      </c>
      <c r="B2937" t="s">
        <v>1087</v>
      </c>
      <c r="C2937" s="39" t="s">
        <v>1083</v>
      </c>
      <c r="D2937" t="s">
        <v>471</v>
      </c>
      <c r="F2937" s="56"/>
    </row>
    <row r="2938" spans="1:6" ht="15">
      <c r="A2938" s="51">
        <v>301766</v>
      </c>
      <c r="B2938" t="s">
        <v>1677</v>
      </c>
      <c r="C2938" s="39" t="s">
        <v>2483</v>
      </c>
      <c r="D2938">
        <v>9</v>
      </c>
      <c r="F2938" s="56"/>
    </row>
    <row r="2939" spans="1:6" ht="15">
      <c r="A2939" s="51">
        <v>301767</v>
      </c>
      <c r="B2939" t="s">
        <v>2484</v>
      </c>
      <c r="C2939" s="39" t="s">
        <v>1083</v>
      </c>
      <c r="D2939" t="s">
        <v>468</v>
      </c>
      <c r="F2939" s="56"/>
    </row>
    <row r="2940" spans="1:6" ht="15">
      <c r="A2940" s="51">
        <v>301768</v>
      </c>
      <c r="B2940" t="s">
        <v>2485</v>
      </c>
      <c r="C2940" s="39" t="s">
        <v>1083</v>
      </c>
      <c r="D2940" t="s">
        <v>469</v>
      </c>
      <c r="F2940" s="56"/>
    </row>
    <row r="2941" spans="1:6" ht="15">
      <c r="A2941" s="51">
        <v>301769</v>
      </c>
      <c r="B2941" t="s">
        <v>1094</v>
      </c>
      <c r="C2941" s="39" t="s">
        <v>1095</v>
      </c>
      <c r="D2941" t="s">
        <v>469</v>
      </c>
      <c r="F2941" s="56"/>
    </row>
    <row r="2942" spans="1:6" ht="15">
      <c r="A2942" s="51">
        <v>301770</v>
      </c>
      <c r="B2942" t="s">
        <v>1096</v>
      </c>
      <c r="C2942" s="39" t="s">
        <v>1095</v>
      </c>
      <c r="D2942" t="s">
        <v>469</v>
      </c>
      <c r="F2942" s="56"/>
    </row>
    <row r="2943" spans="1:6" ht="15">
      <c r="A2943" s="51">
        <v>634686</v>
      </c>
      <c r="B2943" t="s">
        <v>1844</v>
      </c>
      <c r="C2943" s="39" t="s">
        <v>2314</v>
      </c>
      <c r="D2943" t="s">
        <v>4247</v>
      </c>
      <c r="F2943" s="56"/>
    </row>
    <row r="2944" spans="1:6" ht="15">
      <c r="A2944" s="51">
        <v>634689</v>
      </c>
      <c r="B2944" t="s">
        <v>2486</v>
      </c>
      <c r="C2944" s="39" t="s">
        <v>2314</v>
      </c>
      <c r="D2944" t="s">
        <v>4243</v>
      </c>
      <c r="F2944" s="56"/>
    </row>
    <row r="2945" spans="1:6" ht="15">
      <c r="A2945" s="51">
        <v>634691</v>
      </c>
      <c r="B2945" t="s">
        <v>2487</v>
      </c>
      <c r="C2945" s="39" t="s">
        <v>2314</v>
      </c>
      <c r="D2945">
        <v>7</v>
      </c>
      <c r="F2945" s="56"/>
    </row>
    <row r="2946" spans="1:6" ht="15">
      <c r="A2946" s="51">
        <v>633082</v>
      </c>
      <c r="B2946" t="s">
        <v>2040</v>
      </c>
      <c r="C2946" s="39" t="s">
        <v>224</v>
      </c>
      <c r="D2946" t="s">
        <v>4243</v>
      </c>
      <c r="F2946" s="56"/>
    </row>
    <row r="2947" spans="1:6" ht="15">
      <c r="A2947" s="51">
        <v>633084</v>
      </c>
      <c r="B2947" t="s">
        <v>1228</v>
      </c>
      <c r="C2947" s="39" t="s">
        <v>1098</v>
      </c>
      <c r="D2947" t="s">
        <v>1595</v>
      </c>
      <c r="F2947" s="56"/>
    </row>
    <row r="2948" spans="1:6" ht="15">
      <c r="A2948" s="51">
        <v>633087</v>
      </c>
      <c r="B2948" t="s">
        <v>1259</v>
      </c>
      <c r="C2948" s="39" t="s">
        <v>1098</v>
      </c>
      <c r="D2948" t="s">
        <v>468</v>
      </c>
      <c r="F2948" s="56"/>
    </row>
    <row r="2949" spans="1:6" ht="15">
      <c r="A2949" s="51">
        <v>633089</v>
      </c>
      <c r="B2949" t="s">
        <v>2488</v>
      </c>
      <c r="C2949" s="39" t="s">
        <v>1098</v>
      </c>
      <c r="D2949" t="s">
        <v>469</v>
      </c>
      <c r="F2949" s="56"/>
    </row>
    <row r="2950" spans="1:6" ht="15">
      <c r="A2950" s="51">
        <v>301774</v>
      </c>
      <c r="B2950" t="s">
        <v>2489</v>
      </c>
      <c r="C2950" s="39" t="s">
        <v>2490</v>
      </c>
      <c r="D2950" t="s">
        <v>471</v>
      </c>
      <c r="F2950" s="56"/>
    </row>
    <row r="2951" spans="1:6" ht="15">
      <c r="A2951" s="51">
        <v>301775</v>
      </c>
      <c r="B2951" t="s">
        <v>2491</v>
      </c>
      <c r="C2951" s="39" t="s">
        <v>2490</v>
      </c>
      <c r="D2951">
        <v>9</v>
      </c>
      <c r="F2951" s="56"/>
    </row>
    <row r="2952" spans="1:6" ht="15">
      <c r="A2952" s="51">
        <v>301776</v>
      </c>
      <c r="B2952" t="s">
        <v>2492</v>
      </c>
      <c r="C2952" s="39" t="s">
        <v>1098</v>
      </c>
      <c r="D2952" t="s">
        <v>466</v>
      </c>
      <c r="F2952" s="56"/>
    </row>
    <row r="2953" spans="1:6" ht="15">
      <c r="A2953" s="51">
        <v>301777</v>
      </c>
      <c r="B2953" t="s">
        <v>2047</v>
      </c>
      <c r="C2953" s="39" t="s">
        <v>1098</v>
      </c>
      <c r="D2953" t="s">
        <v>1595</v>
      </c>
      <c r="F2953" s="56"/>
    </row>
    <row r="2954" spans="1:6" ht="15">
      <c r="A2954" s="51">
        <v>301778</v>
      </c>
      <c r="B2954" t="s">
        <v>2049</v>
      </c>
      <c r="C2954" s="39" t="s">
        <v>1098</v>
      </c>
      <c r="D2954" t="s">
        <v>469</v>
      </c>
      <c r="F2954" s="56"/>
    </row>
    <row r="2955" spans="1:6" ht="15">
      <c r="A2955" s="51">
        <v>633074</v>
      </c>
      <c r="B2955" t="s">
        <v>421</v>
      </c>
      <c r="C2955" s="39" t="s">
        <v>2493</v>
      </c>
      <c r="D2955" t="s">
        <v>4243</v>
      </c>
      <c r="F2955" s="56"/>
    </row>
    <row r="2956" spans="1:6" ht="15">
      <c r="A2956" s="51">
        <v>633062</v>
      </c>
      <c r="B2956" t="s">
        <v>2494</v>
      </c>
      <c r="C2956" s="39" t="s">
        <v>1107</v>
      </c>
      <c r="D2956" t="s">
        <v>4245</v>
      </c>
      <c r="F2956" s="56"/>
    </row>
    <row r="2957" spans="1:6" ht="15">
      <c r="A2957" s="51">
        <v>301780</v>
      </c>
      <c r="B2957" t="s">
        <v>2495</v>
      </c>
      <c r="C2957" s="39" t="s">
        <v>1107</v>
      </c>
      <c r="D2957" t="s">
        <v>4245</v>
      </c>
      <c r="F2957" s="56"/>
    </row>
    <row r="2958" spans="1:6" ht="15">
      <c r="A2958" s="51">
        <v>1383640</v>
      </c>
      <c r="B2958" t="s">
        <v>2496</v>
      </c>
      <c r="C2958" s="39" t="s">
        <v>228</v>
      </c>
      <c r="D2958">
        <v>9</v>
      </c>
      <c r="F2958" s="56"/>
    </row>
    <row r="2959" spans="1:6" ht="15">
      <c r="A2959" s="51">
        <v>301782</v>
      </c>
      <c r="B2959" t="s">
        <v>2241</v>
      </c>
      <c r="C2959" s="39" t="s">
        <v>1848</v>
      </c>
      <c r="D2959" t="s">
        <v>4243</v>
      </c>
      <c r="F2959" s="56"/>
    </row>
    <row r="2960" spans="1:6" ht="15">
      <c r="A2960" s="51">
        <v>301783</v>
      </c>
      <c r="B2960" t="s">
        <v>2497</v>
      </c>
      <c r="C2960" s="39" t="s">
        <v>1848</v>
      </c>
      <c r="D2960" t="s">
        <v>4243</v>
      </c>
      <c r="F2960" s="56"/>
    </row>
    <row r="2961" spans="1:6" ht="15">
      <c r="A2961" s="51">
        <v>301784</v>
      </c>
      <c r="B2961" t="s">
        <v>2498</v>
      </c>
      <c r="C2961" s="39" t="s">
        <v>1848</v>
      </c>
      <c r="D2961">
        <v>7</v>
      </c>
      <c r="F2961" s="56"/>
    </row>
    <row r="2962" spans="1:6" ht="15">
      <c r="A2962" s="51">
        <v>301785</v>
      </c>
      <c r="B2962" t="s">
        <v>2499</v>
      </c>
      <c r="C2962" s="39" t="s">
        <v>1848</v>
      </c>
      <c r="D2962">
        <v>7</v>
      </c>
      <c r="F2962" s="56"/>
    </row>
    <row r="2963" spans="1:6" ht="15">
      <c r="A2963" s="51">
        <v>301786</v>
      </c>
      <c r="B2963" t="s">
        <v>2500</v>
      </c>
      <c r="C2963" s="39" t="s">
        <v>1848</v>
      </c>
      <c r="D2963">
        <v>8</v>
      </c>
      <c r="F2963" s="56"/>
    </row>
    <row r="2964" spans="1:6" ht="15">
      <c r="A2964" s="51">
        <v>301787</v>
      </c>
      <c r="B2964" t="s">
        <v>2501</v>
      </c>
      <c r="C2964" s="39" t="s">
        <v>1848</v>
      </c>
      <c r="D2964">
        <v>8</v>
      </c>
      <c r="F2964" s="56"/>
    </row>
    <row r="2965" spans="1:6" ht="15">
      <c r="A2965" s="51">
        <v>301788</v>
      </c>
      <c r="B2965" t="s">
        <v>2502</v>
      </c>
      <c r="C2965" s="39" t="s">
        <v>1848</v>
      </c>
      <c r="D2965">
        <v>8</v>
      </c>
      <c r="F2965" s="56"/>
    </row>
    <row r="2966" spans="1:6" ht="15">
      <c r="A2966" s="51">
        <v>301789</v>
      </c>
      <c r="B2966" t="s">
        <v>2503</v>
      </c>
      <c r="C2966" s="39" t="s">
        <v>1848</v>
      </c>
      <c r="D2966">
        <v>9</v>
      </c>
      <c r="F2966" s="56"/>
    </row>
    <row r="2967" spans="1:6" ht="15">
      <c r="A2967" s="51">
        <v>301790</v>
      </c>
      <c r="B2967" t="s">
        <v>2504</v>
      </c>
      <c r="C2967" s="39" t="s">
        <v>1848</v>
      </c>
      <c r="D2967">
        <v>9</v>
      </c>
      <c r="F2967" s="56"/>
    </row>
    <row r="2968" spans="1:6" ht="15">
      <c r="A2968" s="51">
        <v>634122</v>
      </c>
      <c r="B2968" t="s">
        <v>2243</v>
      </c>
      <c r="C2968" s="39" t="s">
        <v>235</v>
      </c>
      <c r="D2968" t="s">
        <v>4244</v>
      </c>
      <c r="F2968" s="56"/>
    </row>
    <row r="2969" spans="1:6" ht="15">
      <c r="A2969" s="51">
        <v>634187</v>
      </c>
      <c r="B2969" t="s">
        <v>2068</v>
      </c>
      <c r="C2969" s="39" t="s">
        <v>1112</v>
      </c>
      <c r="D2969" t="s">
        <v>4243</v>
      </c>
      <c r="F2969" s="56"/>
    </row>
    <row r="2970" spans="1:6" ht="15">
      <c r="A2970" s="51">
        <v>633052</v>
      </c>
      <c r="B2970" t="s">
        <v>240</v>
      </c>
      <c r="C2970" s="39" t="s">
        <v>938</v>
      </c>
      <c r="D2970" t="s">
        <v>4249</v>
      </c>
      <c r="F2970" s="56"/>
    </row>
    <row r="2971" spans="1:6" ht="15">
      <c r="A2971" s="51">
        <v>301794</v>
      </c>
      <c r="B2971" t="s">
        <v>1113</v>
      </c>
      <c r="C2971" s="39" t="s">
        <v>1114</v>
      </c>
      <c r="D2971" t="s">
        <v>4246</v>
      </c>
      <c r="F2971" s="56"/>
    </row>
    <row r="2972" spans="1:6" ht="15">
      <c r="A2972" s="51">
        <v>301795</v>
      </c>
      <c r="B2972" t="s">
        <v>2505</v>
      </c>
      <c r="C2972" s="39" t="s">
        <v>1114</v>
      </c>
      <c r="D2972" t="s">
        <v>4244</v>
      </c>
      <c r="F2972" s="56"/>
    </row>
    <row r="2973" spans="1:6" ht="15">
      <c r="A2973" s="51">
        <v>301796</v>
      </c>
      <c r="B2973" t="s">
        <v>2506</v>
      </c>
      <c r="C2973" s="39" t="s">
        <v>1114</v>
      </c>
      <c r="D2973">
        <v>7</v>
      </c>
      <c r="F2973" s="56"/>
    </row>
    <row r="2974" spans="1:6" ht="15">
      <c r="A2974" s="51">
        <v>301797</v>
      </c>
      <c r="B2974" t="s">
        <v>2507</v>
      </c>
      <c r="C2974" s="39" t="s">
        <v>1114</v>
      </c>
      <c r="D2974">
        <v>9</v>
      </c>
      <c r="F2974" s="56"/>
    </row>
    <row r="2975" spans="1:6" ht="15">
      <c r="A2975" s="51">
        <v>301798</v>
      </c>
      <c r="B2975" t="s">
        <v>1774</v>
      </c>
      <c r="C2975" s="39" t="s">
        <v>243</v>
      </c>
      <c r="D2975" t="s">
        <v>4247</v>
      </c>
      <c r="F2975" s="56"/>
    </row>
    <row r="2976" spans="1:6" ht="15">
      <c r="A2976" s="51">
        <v>301800</v>
      </c>
      <c r="B2976" t="s">
        <v>2077</v>
      </c>
      <c r="C2976" s="39" t="s">
        <v>428</v>
      </c>
      <c r="D2976" t="s">
        <v>4244</v>
      </c>
      <c r="F2976" s="56"/>
    </row>
    <row r="2977" spans="1:6" ht="15">
      <c r="A2977" s="51">
        <v>633024</v>
      </c>
      <c r="B2977" t="s">
        <v>432</v>
      </c>
      <c r="C2977" s="39" t="s">
        <v>433</v>
      </c>
      <c r="D2977" t="s">
        <v>4245</v>
      </c>
      <c r="F2977" s="56"/>
    </row>
    <row r="2978" spans="1:6" ht="15">
      <c r="A2978" s="51">
        <v>631233</v>
      </c>
      <c r="B2978" t="s">
        <v>2508</v>
      </c>
      <c r="C2978" s="39" t="s">
        <v>307</v>
      </c>
      <c r="D2978">
        <v>9</v>
      </c>
      <c r="F2978" s="56"/>
    </row>
    <row r="2979" spans="1:6" ht="15">
      <c r="A2979" s="51">
        <v>1421472</v>
      </c>
      <c r="B2979" t="s">
        <v>441</v>
      </c>
      <c r="C2979" s="39" t="s">
        <v>258</v>
      </c>
      <c r="D2979">
        <v>9</v>
      </c>
      <c r="F2979" s="56"/>
    </row>
    <row r="2980" spans="1:6" ht="15">
      <c r="A2980" s="51">
        <v>634201</v>
      </c>
      <c r="B2980" t="s">
        <v>2509</v>
      </c>
      <c r="C2980" s="39" t="s">
        <v>258</v>
      </c>
      <c r="D2980">
        <v>9</v>
      </c>
      <c r="F2980" s="56"/>
    </row>
    <row r="2981" spans="1:6" ht="15">
      <c r="A2981" s="51">
        <v>634209</v>
      </c>
      <c r="B2981" t="s">
        <v>2510</v>
      </c>
      <c r="C2981" s="39" t="s">
        <v>276</v>
      </c>
      <c r="D2981" t="s">
        <v>4244</v>
      </c>
      <c r="F2981" s="56"/>
    </row>
    <row r="2982" spans="1:6" ht="15">
      <c r="A2982" s="51">
        <v>1380063</v>
      </c>
      <c r="B2982" t="s">
        <v>2511</v>
      </c>
      <c r="C2982" s="39" t="s">
        <v>1137</v>
      </c>
      <c r="D2982">
        <v>7</v>
      </c>
      <c r="F2982" s="56"/>
    </row>
    <row r="2983" spans="1:6" ht="15">
      <c r="A2983" s="51">
        <v>634211</v>
      </c>
      <c r="B2983" t="s">
        <v>294</v>
      </c>
      <c r="C2983" s="39" t="s">
        <v>278</v>
      </c>
      <c r="D2983" t="s">
        <v>4246</v>
      </c>
      <c r="F2983" s="56"/>
    </row>
    <row r="2984" spans="1:6" ht="15">
      <c r="A2984" s="51">
        <v>634210</v>
      </c>
      <c r="B2984" t="s">
        <v>1213</v>
      </c>
      <c r="C2984" s="39" t="s">
        <v>283</v>
      </c>
      <c r="D2984">
        <v>8</v>
      </c>
      <c r="F2984" s="56"/>
    </row>
    <row r="2985" spans="1:6" ht="15">
      <c r="A2985" s="51">
        <v>291590</v>
      </c>
      <c r="B2985" t="s">
        <v>87</v>
      </c>
      <c r="C2985" s="39" t="s">
        <v>88</v>
      </c>
      <c r="D2985">
        <v>8</v>
      </c>
      <c r="F2985" s="56"/>
    </row>
    <row r="2986" spans="1:6" ht="15">
      <c r="A2986" s="51">
        <v>291591</v>
      </c>
      <c r="B2986" t="s">
        <v>1348</v>
      </c>
      <c r="C2986" s="39" t="s">
        <v>88</v>
      </c>
      <c r="D2986">
        <v>8</v>
      </c>
      <c r="F2986" s="56"/>
    </row>
    <row r="2987" spans="1:6" ht="15">
      <c r="A2987" s="51">
        <v>291592</v>
      </c>
      <c r="B2987" t="s">
        <v>2512</v>
      </c>
      <c r="C2987" s="39" t="s">
        <v>324</v>
      </c>
      <c r="D2987" t="s">
        <v>4243</v>
      </c>
      <c r="F2987" s="56"/>
    </row>
    <row r="2988" spans="1:6" ht="15">
      <c r="A2988" s="51">
        <v>291593</v>
      </c>
      <c r="B2988" t="s">
        <v>975</v>
      </c>
      <c r="C2988" s="39" t="s">
        <v>324</v>
      </c>
      <c r="D2988" t="s">
        <v>4243</v>
      </c>
      <c r="F2988" s="56"/>
    </row>
    <row r="2989" spans="1:6" ht="15">
      <c r="A2989" s="51">
        <v>291594</v>
      </c>
      <c r="B2989" t="s">
        <v>323</v>
      </c>
      <c r="C2989" s="39" t="s">
        <v>324</v>
      </c>
      <c r="D2989">
        <v>7</v>
      </c>
      <c r="F2989" s="56"/>
    </row>
    <row r="2990" spans="1:6" ht="15">
      <c r="A2990" s="51">
        <v>291595</v>
      </c>
      <c r="B2990" t="s">
        <v>1232</v>
      </c>
      <c r="C2990" s="39" t="s">
        <v>2513</v>
      </c>
      <c r="D2990">
        <v>7</v>
      </c>
      <c r="F2990" s="56"/>
    </row>
    <row r="2991" spans="1:6" ht="15">
      <c r="A2991" s="51">
        <v>291596</v>
      </c>
      <c r="B2991" t="s">
        <v>2453</v>
      </c>
      <c r="C2991" s="39" t="s">
        <v>2513</v>
      </c>
      <c r="D2991">
        <v>8</v>
      </c>
      <c r="F2991" s="56"/>
    </row>
    <row r="2992" spans="1:6" ht="15">
      <c r="A2992" s="51">
        <v>1590342</v>
      </c>
      <c r="B2992" t="s">
        <v>2455</v>
      </c>
      <c r="C2992" s="39" t="s">
        <v>2513</v>
      </c>
      <c r="D2992">
        <v>9</v>
      </c>
      <c r="F2992" s="56"/>
    </row>
    <row r="2993" spans="1:6" ht="15">
      <c r="A2993" s="51">
        <v>291598</v>
      </c>
      <c r="B2993" t="s">
        <v>979</v>
      </c>
      <c r="C2993" s="39" t="s">
        <v>2513</v>
      </c>
      <c r="D2993">
        <v>8</v>
      </c>
      <c r="F2993" s="56"/>
    </row>
    <row r="2994" spans="1:6" ht="15">
      <c r="A2994" s="51">
        <v>291599</v>
      </c>
      <c r="B2994" t="s">
        <v>2514</v>
      </c>
      <c r="C2994" s="39" t="s">
        <v>2513</v>
      </c>
      <c r="D2994">
        <v>8</v>
      </c>
      <c r="F2994" s="56"/>
    </row>
    <row r="2995" spans="1:6" ht="15">
      <c r="A2995" s="51">
        <v>291600</v>
      </c>
      <c r="B2995" t="s">
        <v>2515</v>
      </c>
      <c r="C2995" s="39" t="s">
        <v>2513</v>
      </c>
      <c r="D2995">
        <v>9</v>
      </c>
      <c r="F2995" s="56"/>
    </row>
    <row r="2996" spans="1:6" ht="15">
      <c r="A2996" s="51">
        <v>2516848</v>
      </c>
      <c r="B2996" t="s">
        <v>2123</v>
      </c>
      <c r="C2996" s="39" t="s">
        <v>2124</v>
      </c>
      <c r="D2996">
        <v>8</v>
      </c>
      <c r="F2996" s="56"/>
    </row>
    <row r="2997" spans="1:6" ht="15">
      <c r="A2997" s="51">
        <v>291601</v>
      </c>
      <c r="B2997" t="s">
        <v>984</v>
      </c>
      <c r="C2997" s="39" t="s">
        <v>2516</v>
      </c>
      <c r="D2997">
        <v>8</v>
      </c>
      <c r="F2997" s="56"/>
    </row>
    <row r="2998" spans="1:6" ht="15">
      <c r="A2998" s="51">
        <v>291602</v>
      </c>
      <c r="B2998" t="s">
        <v>2517</v>
      </c>
      <c r="C2998" s="39" t="s">
        <v>2516</v>
      </c>
      <c r="D2998">
        <v>8</v>
      </c>
      <c r="F2998" s="56"/>
    </row>
    <row r="2999" spans="1:6" ht="15">
      <c r="A2999" s="51">
        <v>1590343</v>
      </c>
      <c r="B2999" t="s">
        <v>987</v>
      </c>
      <c r="C2999" s="39" t="s">
        <v>2516</v>
      </c>
      <c r="D2999">
        <v>9</v>
      </c>
      <c r="F2999" s="56"/>
    </row>
    <row r="3000" spans="1:6" ht="15">
      <c r="A3000" s="51">
        <v>291604</v>
      </c>
      <c r="B3000" t="s">
        <v>2518</v>
      </c>
      <c r="C3000" s="39" t="s">
        <v>1622</v>
      </c>
      <c r="D3000" t="s">
        <v>4248</v>
      </c>
      <c r="F3000" s="56"/>
    </row>
    <row r="3001" spans="1:6" ht="15">
      <c r="A3001" s="51">
        <v>291605</v>
      </c>
      <c r="B3001" t="s">
        <v>1625</v>
      </c>
      <c r="C3001" s="39" t="s">
        <v>1626</v>
      </c>
      <c r="D3001" t="s">
        <v>4245</v>
      </c>
      <c r="F3001" s="56"/>
    </row>
    <row r="3002" spans="1:6" ht="15">
      <c r="A3002" s="51">
        <v>291606</v>
      </c>
      <c r="B3002" t="s">
        <v>330</v>
      </c>
      <c r="C3002" s="39" t="s">
        <v>331</v>
      </c>
      <c r="D3002" t="s">
        <v>4244</v>
      </c>
      <c r="F3002" s="56"/>
    </row>
    <row r="3003" spans="1:6" ht="15">
      <c r="A3003" s="51">
        <v>291607</v>
      </c>
      <c r="B3003" t="s">
        <v>332</v>
      </c>
      <c r="C3003" s="39" t="s">
        <v>331</v>
      </c>
      <c r="D3003" t="s">
        <v>4244</v>
      </c>
      <c r="F3003" s="56"/>
    </row>
    <row r="3004" spans="1:6" ht="15">
      <c r="A3004" s="51">
        <v>291608</v>
      </c>
      <c r="B3004" t="s">
        <v>333</v>
      </c>
      <c r="C3004" s="39" t="s">
        <v>331</v>
      </c>
      <c r="D3004">
        <v>7</v>
      </c>
      <c r="F3004" s="56"/>
    </row>
    <row r="3005" spans="1:6" ht="15">
      <c r="A3005" s="51">
        <v>291609</v>
      </c>
      <c r="B3005" t="s">
        <v>1237</v>
      </c>
      <c r="C3005" s="39" t="s">
        <v>331</v>
      </c>
      <c r="D3005">
        <v>8</v>
      </c>
      <c r="F3005" s="56"/>
    </row>
    <row r="3006" spans="1:6" ht="15">
      <c r="A3006" s="51">
        <v>291610</v>
      </c>
      <c r="B3006" t="s">
        <v>2519</v>
      </c>
      <c r="C3006" s="39" t="s">
        <v>336</v>
      </c>
      <c r="D3006" t="s">
        <v>4243</v>
      </c>
      <c r="F3006" s="56"/>
    </row>
    <row r="3007" spans="1:6" ht="15">
      <c r="A3007" s="51">
        <v>291611</v>
      </c>
      <c r="B3007" t="s">
        <v>338</v>
      </c>
      <c r="C3007" s="39" t="s">
        <v>99</v>
      </c>
      <c r="D3007">
        <v>7</v>
      </c>
      <c r="F3007" s="56"/>
    </row>
    <row r="3008" spans="1:6" ht="15">
      <c r="A3008" s="51">
        <v>291612</v>
      </c>
      <c r="B3008" t="s">
        <v>100</v>
      </c>
      <c r="C3008" s="39" t="s">
        <v>104</v>
      </c>
      <c r="D3008" t="s">
        <v>4243</v>
      </c>
      <c r="F3008" s="56"/>
    </row>
    <row r="3009" spans="1:6" ht="15">
      <c r="A3009" s="51" t="s">
        <v>4250</v>
      </c>
      <c r="B3009" t="s">
        <v>111</v>
      </c>
      <c r="C3009" s="39" t="s">
        <v>342</v>
      </c>
      <c r="D3009" t="s">
        <v>4246</v>
      </c>
      <c r="F3009" s="56"/>
    </row>
    <row r="3010" spans="1:6" ht="15">
      <c r="A3010" s="51">
        <v>291614</v>
      </c>
      <c r="B3010" t="s">
        <v>112</v>
      </c>
      <c r="C3010" s="39" t="s">
        <v>342</v>
      </c>
      <c r="D3010" t="s">
        <v>4244</v>
      </c>
      <c r="F3010" s="56"/>
    </row>
    <row r="3011" spans="1:6" ht="15">
      <c r="A3011" s="51">
        <v>291615</v>
      </c>
      <c r="B3011" t="s">
        <v>1157</v>
      </c>
      <c r="C3011" s="39" t="s">
        <v>108</v>
      </c>
      <c r="D3011" t="s">
        <v>4245</v>
      </c>
      <c r="F3011" s="56"/>
    </row>
    <row r="3012" spans="1:6" ht="15">
      <c r="A3012" s="51">
        <v>291616</v>
      </c>
      <c r="B3012" t="s">
        <v>110</v>
      </c>
      <c r="C3012" s="39" t="s">
        <v>108</v>
      </c>
      <c r="D3012" t="s">
        <v>4245</v>
      </c>
      <c r="F3012" s="56"/>
    </row>
    <row r="3013" spans="1:6" ht="15">
      <c r="A3013" s="51">
        <v>291617</v>
      </c>
      <c r="B3013" t="s">
        <v>1158</v>
      </c>
      <c r="C3013" s="39" t="s">
        <v>108</v>
      </c>
      <c r="D3013" t="s">
        <v>4244</v>
      </c>
      <c r="F3013" s="56"/>
    </row>
    <row r="3014" spans="1:6" ht="15">
      <c r="A3014" s="51">
        <v>291618</v>
      </c>
      <c r="B3014" t="s">
        <v>2520</v>
      </c>
      <c r="C3014" s="39" t="s">
        <v>2521</v>
      </c>
      <c r="D3014" t="s">
        <v>4243</v>
      </c>
      <c r="F3014" s="56"/>
    </row>
    <row r="3015" spans="1:6" ht="15">
      <c r="A3015" s="51">
        <v>291619</v>
      </c>
      <c r="B3015" t="s">
        <v>356</v>
      </c>
      <c r="C3015" s="39" t="s">
        <v>357</v>
      </c>
      <c r="D3015">
        <v>9</v>
      </c>
      <c r="F3015" s="56"/>
    </row>
    <row r="3016" spans="1:6" ht="15">
      <c r="A3016" s="51">
        <v>291620</v>
      </c>
      <c r="B3016" t="s">
        <v>360</v>
      </c>
      <c r="C3016" s="39" t="s">
        <v>1639</v>
      </c>
      <c r="D3016" t="s">
        <v>4247</v>
      </c>
      <c r="F3016" s="56"/>
    </row>
    <row r="3017" spans="1:6" ht="15">
      <c r="A3017" s="51">
        <v>291621</v>
      </c>
      <c r="B3017" t="s">
        <v>1645</v>
      </c>
      <c r="C3017" s="39" t="s">
        <v>1639</v>
      </c>
      <c r="D3017" t="s">
        <v>4243</v>
      </c>
      <c r="F3017" s="56"/>
    </row>
    <row r="3018" spans="1:6" ht="15">
      <c r="A3018" s="51">
        <v>291622</v>
      </c>
      <c r="B3018" t="s">
        <v>2522</v>
      </c>
      <c r="C3018" s="39" t="s">
        <v>1639</v>
      </c>
      <c r="D3018">
        <v>7</v>
      </c>
      <c r="F3018" s="56"/>
    </row>
    <row r="3019" spans="1:6" ht="15">
      <c r="A3019" s="51">
        <v>291623</v>
      </c>
      <c r="B3019" t="s">
        <v>2523</v>
      </c>
      <c r="C3019" s="39" t="s">
        <v>1639</v>
      </c>
      <c r="D3019">
        <v>8</v>
      </c>
      <c r="F3019" s="56"/>
    </row>
    <row r="3020" spans="1:6" ht="15">
      <c r="A3020" s="51">
        <v>291624</v>
      </c>
      <c r="B3020" t="s">
        <v>2524</v>
      </c>
      <c r="C3020" s="39" t="s">
        <v>1639</v>
      </c>
      <c r="D3020">
        <v>8</v>
      </c>
      <c r="F3020" s="56"/>
    </row>
    <row r="3021" spans="1:6" ht="15">
      <c r="A3021" s="51">
        <v>291625</v>
      </c>
      <c r="B3021" t="s">
        <v>2525</v>
      </c>
      <c r="C3021" s="39" t="s">
        <v>1639</v>
      </c>
      <c r="D3021">
        <v>9</v>
      </c>
      <c r="F3021" s="56"/>
    </row>
    <row r="3022" spans="1:6" ht="15">
      <c r="A3022" s="51">
        <v>291626</v>
      </c>
      <c r="B3022" t="s">
        <v>361</v>
      </c>
      <c r="C3022" s="39" t="s">
        <v>359</v>
      </c>
      <c r="D3022" t="s">
        <v>4245</v>
      </c>
      <c r="F3022" s="56"/>
    </row>
    <row r="3023" spans="1:6" ht="15">
      <c r="A3023" s="51">
        <v>291627</v>
      </c>
      <c r="B3023" t="s">
        <v>363</v>
      </c>
      <c r="C3023" s="39" t="s">
        <v>359</v>
      </c>
      <c r="D3023" t="s">
        <v>4246</v>
      </c>
      <c r="F3023" s="56"/>
    </row>
    <row r="3024" spans="1:6" ht="15">
      <c r="A3024" s="51">
        <v>291628</v>
      </c>
      <c r="B3024" t="s">
        <v>1022</v>
      </c>
      <c r="C3024" s="39" t="s">
        <v>132</v>
      </c>
      <c r="D3024">
        <v>8</v>
      </c>
      <c r="F3024" s="56"/>
    </row>
    <row r="3025" spans="1:6" ht="15">
      <c r="A3025" s="51">
        <v>291629</v>
      </c>
      <c r="B3025" t="s">
        <v>1534</v>
      </c>
      <c r="C3025" s="39" t="s">
        <v>132</v>
      </c>
      <c r="D3025">
        <v>8</v>
      </c>
      <c r="F3025" s="56"/>
    </row>
    <row r="3026" spans="1:6" ht="15">
      <c r="A3026" s="51">
        <v>291630</v>
      </c>
      <c r="B3026" t="s">
        <v>2526</v>
      </c>
      <c r="C3026" s="39" t="s">
        <v>132</v>
      </c>
      <c r="D3026">
        <v>9</v>
      </c>
      <c r="F3026" s="56"/>
    </row>
    <row r="3027" spans="1:6" ht="15">
      <c r="A3027" s="51">
        <v>291631</v>
      </c>
      <c r="B3027" t="s">
        <v>1818</v>
      </c>
      <c r="C3027" s="39" t="s">
        <v>138</v>
      </c>
      <c r="D3027">
        <v>9</v>
      </c>
      <c r="F3027" s="56"/>
    </row>
    <row r="3028" spans="1:6" ht="15">
      <c r="A3028" s="51">
        <v>291632</v>
      </c>
      <c r="B3028" t="s">
        <v>1734</v>
      </c>
      <c r="C3028" s="39" t="s">
        <v>1735</v>
      </c>
      <c r="D3028" t="s">
        <v>4244</v>
      </c>
      <c r="F3028" s="56"/>
    </row>
    <row r="3029" spans="1:6" ht="15">
      <c r="A3029" s="51">
        <v>291633</v>
      </c>
      <c r="B3029" t="s">
        <v>1403</v>
      </c>
      <c r="C3029" s="39" t="s">
        <v>1735</v>
      </c>
      <c r="D3029">
        <v>7</v>
      </c>
      <c r="F3029" s="56"/>
    </row>
    <row r="3030" spans="1:6" ht="15">
      <c r="A3030" s="51">
        <v>291634</v>
      </c>
      <c r="B3030" t="s">
        <v>1736</v>
      </c>
      <c r="C3030" s="39" t="s">
        <v>1735</v>
      </c>
      <c r="D3030">
        <v>8</v>
      </c>
      <c r="F3030" s="56"/>
    </row>
    <row r="3031" spans="1:6" ht="15">
      <c r="A3031" s="51">
        <v>291635</v>
      </c>
      <c r="B3031" t="s">
        <v>1999</v>
      </c>
      <c r="C3031" s="39" t="s">
        <v>2527</v>
      </c>
      <c r="D3031">
        <v>7</v>
      </c>
      <c r="F3031" s="56"/>
    </row>
    <row r="3032" spans="1:6" ht="15">
      <c r="A3032" s="51">
        <v>291636</v>
      </c>
      <c r="B3032" t="s">
        <v>2207</v>
      </c>
      <c r="C3032" s="39" t="s">
        <v>2527</v>
      </c>
      <c r="D3032">
        <v>7</v>
      </c>
      <c r="F3032" s="56"/>
    </row>
    <row r="3033" spans="1:6" ht="15">
      <c r="A3033" s="51">
        <v>291637</v>
      </c>
      <c r="B3033" t="s">
        <v>2006</v>
      </c>
      <c r="C3033" s="39" t="s">
        <v>2528</v>
      </c>
      <c r="D3033">
        <v>8</v>
      </c>
      <c r="F3033" s="56"/>
    </row>
    <row r="3034" spans="1:6" ht="15">
      <c r="A3034" s="51">
        <v>291638</v>
      </c>
      <c r="B3034" t="s">
        <v>1419</v>
      </c>
      <c r="C3034" s="39" t="s">
        <v>2528</v>
      </c>
      <c r="D3034">
        <v>8</v>
      </c>
      <c r="F3034" s="56"/>
    </row>
    <row r="3035" spans="1:6" ht="15">
      <c r="A3035" s="51">
        <v>291639</v>
      </c>
      <c r="B3035" t="s">
        <v>2529</v>
      </c>
      <c r="C3035" s="39" t="s">
        <v>2528</v>
      </c>
      <c r="D3035">
        <v>9</v>
      </c>
      <c r="F3035" s="56"/>
    </row>
    <row r="3036" spans="1:6" ht="15">
      <c r="A3036" s="51">
        <v>291640</v>
      </c>
      <c r="B3036" t="s">
        <v>1543</v>
      </c>
      <c r="C3036" s="39" t="s">
        <v>1542</v>
      </c>
      <c r="D3036" t="s">
        <v>4247</v>
      </c>
      <c r="F3036" s="56"/>
    </row>
    <row r="3037" spans="1:6" ht="15">
      <c r="A3037" s="51">
        <v>291641</v>
      </c>
      <c r="B3037" t="s">
        <v>1544</v>
      </c>
      <c r="C3037" s="39" t="s">
        <v>1542</v>
      </c>
      <c r="D3037" t="s">
        <v>4243</v>
      </c>
      <c r="F3037" s="56"/>
    </row>
    <row r="3038" spans="1:6" ht="15">
      <c r="A3038" s="51">
        <v>291642</v>
      </c>
      <c r="B3038" t="s">
        <v>1546</v>
      </c>
      <c r="C3038" s="39" t="s">
        <v>1542</v>
      </c>
      <c r="D3038">
        <v>9</v>
      </c>
      <c r="F3038" s="56"/>
    </row>
    <row r="3039" spans="1:6" ht="15">
      <c r="A3039" s="51">
        <v>291643</v>
      </c>
      <c r="B3039" t="s">
        <v>2530</v>
      </c>
      <c r="C3039" s="39" t="s">
        <v>1542</v>
      </c>
      <c r="D3039">
        <v>7</v>
      </c>
      <c r="F3039" s="56"/>
    </row>
    <row r="3040" spans="1:6" ht="15">
      <c r="A3040" s="51">
        <v>291644</v>
      </c>
      <c r="B3040" t="s">
        <v>2531</v>
      </c>
      <c r="C3040" s="39" t="s">
        <v>1542</v>
      </c>
      <c r="D3040">
        <v>8</v>
      </c>
      <c r="F3040" s="56"/>
    </row>
    <row r="3041" spans="1:6" ht="15">
      <c r="A3041" s="51">
        <v>291645</v>
      </c>
      <c r="B3041" t="s">
        <v>1549</v>
      </c>
      <c r="C3041" s="39" t="s">
        <v>1429</v>
      </c>
      <c r="D3041" t="s">
        <v>4244</v>
      </c>
      <c r="F3041" s="56"/>
    </row>
    <row r="3042" spans="1:6" ht="15">
      <c r="A3042" s="51">
        <v>291646</v>
      </c>
      <c r="B3042" t="s">
        <v>1551</v>
      </c>
      <c r="C3042" s="39" t="s">
        <v>1429</v>
      </c>
      <c r="D3042" t="s">
        <v>4244</v>
      </c>
      <c r="F3042" s="56"/>
    </row>
    <row r="3043" spans="1:6" ht="15">
      <c r="A3043" s="51">
        <v>291647</v>
      </c>
      <c r="B3043" t="s">
        <v>160</v>
      </c>
      <c r="C3043" s="39" t="s">
        <v>161</v>
      </c>
      <c r="D3043" t="s">
        <v>4246</v>
      </c>
      <c r="F3043" s="56"/>
    </row>
    <row r="3044" spans="1:6" ht="15">
      <c r="A3044" s="51">
        <v>291648</v>
      </c>
      <c r="B3044" t="s">
        <v>162</v>
      </c>
      <c r="C3044" s="39" t="s">
        <v>161</v>
      </c>
      <c r="D3044" t="s">
        <v>4243</v>
      </c>
      <c r="F3044" s="56"/>
    </row>
    <row r="3045" spans="1:6" ht="15">
      <c r="A3045" s="51">
        <v>291649</v>
      </c>
      <c r="B3045" t="s">
        <v>163</v>
      </c>
      <c r="C3045" s="39" t="s">
        <v>161</v>
      </c>
      <c r="D3045">
        <v>7</v>
      </c>
      <c r="F3045" s="56"/>
    </row>
    <row r="3046" spans="1:6" ht="15">
      <c r="A3046" s="51">
        <v>291650</v>
      </c>
      <c r="B3046" t="s">
        <v>164</v>
      </c>
      <c r="C3046" s="39" t="s">
        <v>161</v>
      </c>
      <c r="D3046">
        <v>8</v>
      </c>
      <c r="F3046" s="56"/>
    </row>
    <row r="3047" spans="1:6" ht="15">
      <c r="A3047" s="51">
        <v>291651</v>
      </c>
      <c r="B3047" t="s">
        <v>2532</v>
      </c>
      <c r="C3047" s="39" t="s">
        <v>2533</v>
      </c>
      <c r="D3047">
        <v>8</v>
      </c>
      <c r="F3047" s="56"/>
    </row>
    <row r="3048" spans="1:6" ht="15">
      <c r="A3048" s="51">
        <v>1590344</v>
      </c>
      <c r="B3048" t="s">
        <v>1653</v>
      </c>
      <c r="C3048" s="39" t="s">
        <v>2533</v>
      </c>
      <c r="D3048">
        <v>8</v>
      </c>
      <c r="F3048" s="56"/>
    </row>
    <row r="3049" spans="1:6" ht="15">
      <c r="A3049" s="51">
        <v>291653</v>
      </c>
      <c r="B3049" t="s">
        <v>165</v>
      </c>
      <c r="C3049" s="39" t="s">
        <v>175</v>
      </c>
      <c r="D3049" t="s">
        <v>4247</v>
      </c>
      <c r="F3049" s="56"/>
    </row>
    <row r="3050" spans="1:6" ht="15">
      <c r="A3050" s="51">
        <v>291654</v>
      </c>
      <c r="B3050" t="s">
        <v>167</v>
      </c>
      <c r="C3050" s="39" t="s">
        <v>175</v>
      </c>
      <c r="D3050" t="s">
        <v>4243</v>
      </c>
      <c r="F3050" s="56"/>
    </row>
    <row r="3051" spans="1:6" ht="15">
      <c r="A3051" s="51">
        <v>291655</v>
      </c>
      <c r="B3051" t="s">
        <v>168</v>
      </c>
      <c r="C3051" s="39" t="s">
        <v>175</v>
      </c>
      <c r="D3051">
        <v>7</v>
      </c>
      <c r="F3051" s="56"/>
    </row>
    <row r="3052" spans="1:6" ht="15">
      <c r="A3052" s="51">
        <v>291656</v>
      </c>
      <c r="B3052" t="s">
        <v>1658</v>
      </c>
      <c r="C3052" s="39" t="s">
        <v>175</v>
      </c>
      <c r="D3052">
        <v>8</v>
      </c>
      <c r="F3052" s="56"/>
    </row>
    <row r="3053" spans="1:6" ht="15">
      <c r="A3053" s="51">
        <v>291657</v>
      </c>
      <c r="B3053" t="s">
        <v>2534</v>
      </c>
      <c r="C3053" s="39" t="s">
        <v>175</v>
      </c>
      <c r="D3053">
        <v>9</v>
      </c>
      <c r="F3053" s="56"/>
    </row>
    <row r="3054" spans="1:6" ht="15">
      <c r="A3054" s="51">
        <v>291658</v>
      </c>
      <c r="B3054" t="s">
        <v>2535</v>
      </c>
      <c r="C3054" s="39" t="s">
        <v>175</v>
      </c>
      <c r="D3054">
        <v>9</v>
      </c>
      <c r="F3054" s="56"/>
    </row>
    <row r="3055" spans="1:6" ht="15">
      <c r="A3055" s="51">
        <v>291659</v>
      </c>
      <c r="B3055" t="s">
        <v>2536</v>
      </c>
      <c r="C3055" s="39" t="s">
        <v>2537</v>
      </c>
      <c r="D3055">
        <v>8</v>
      </c>
      <c r="F3055" s="56"/>
    </row>
    <row r="3056" spans="1:6" ht="15">
      <c r="A3056" s="51">
        <v>291660</v>
      </c>
      <c r="B3056" t="s">
        <v>2538</v>
      </c>
      <c r="C3056" s="39" t="s">
        <v>2537</v>
      </c>
      <c r="D3056">
        <v>8</v>
      </c>
      <c r="F3056" s="56"/>
    </row>
    <row r="3057" spans="1:6" ht="15">
      <c r="A3057" s="51">
        <v>291661</v>
      </c>
      <c r="B3057" t="s">
        <v>1556</v>
      </c>
      <c r="C3057" s="39" t="s">
        <v>2537</v>
      </c>
      <c r="D3057">
        <v>8</v>
      </c>
      <c r="F3057" s="56"/>
    </row>
    <row r="3058" spans="1:6" ht="15">
      <c r="A3058" s="51">
        <v>291662</v>
      </c>
      <c r="B3058" t="s">
        <v>2539</v>
      </c>
      <c r="C3058" s="39" t="s">
        <v>2537</v>
      </c>
      <c r="D3058">
        <v>8</v>
      </c>
      <c r="F3058" s="56"/>
    </row>
    <row r="3059" spans="1:6" ht="15">
      <c r="A3059" s="51">
        <v>291663</v>
      </c>
      <c r="B3059" t="s">
        <v>389</v>
      </c>
      <c r="C3059" s="39" t="s">
        <v>390</v>
      </c>
      <c r="D3059" t="s">
        <v>4247</v>
      </c>
      <c r="F3059" s="56"/>
    </row>
    <row r="3060" spans="1:6" ht="15">
      <c r="A3060" s="51">
        <v>291664</v>
      </c>
      <c r="B3060" t="s">
        <v>179</v>
      </c>
      <c r="C3060" s="39" t="s">
        <v>390</v>
      </c>
      <c r="D3060" t="s">
        <v>4247</v>
      </c>
      <c r="F3060" s="56"/>
    </row>
    <row r="3061" spans="1:6" ht="15">
      <c r="A3061" s="51">
        <v>2677658</v>
      </c>
      <c r="B3061" t="s">
        <v>1805</v>
      </c>
      <c r="C3061" s="39" t="s">
        <v>2540</v>
      </c>
      <c r="D3061">
        <v>8</v>
      </c>
      <c r="F3061" s="56"/>
    </row>
    <row r="3062" spans="1:6" ht="15">
      <c r="A3062" s="51">
        <v>291665</v>
      </c>
      <c r="B3062" t="s">
        <v>391</v>
      </c>
      <c r="C3062" s="39" t="s">
        <v>390</v>
      </c>
      <c r="D3062" t="s">
        <v>4243</v>
      </c>
      <c r="F3062" s="56"/>
    </row>
    <row r="3063" spans="1:6" ht="15">
      <c r="A3063" s="51">
        <v>291666</v>
      </c>
      <c r="B3063" t="s">
        <v>392</v>
      </c>
      <c r="C3063" s="39" t="s">
        <v>390</v>
      </c>
      <c r="D3063">
        <v>7</v>
      </c>
      <c r="F3063" s="56"/>
    </row>
    <row r="3064" spans="1:6" ht="15">
      <c r="A3064" s="51">
        <v>291667</v>
      </c>
      <c r="B3064" t="s">
        <v>1435</v>
      </c>
      <c r="C3064" s="39" t="s">
        <v>183</v>
      </c>
      <c r="D3064">
        <v>7</v>
      </c>
      <c r="F3064" s="56"/>
    </row>
    <row r="3065" spans="1:6" ht="15">
      <c r="A3065" s="51">
        <v>291668</v>
      </c>
      <c r="B3065" t="s">
        <v>182</v>
      </c>
      <c r="C3065" s="39" t="s">
        <v>183</v>
      </c>
      <c r="D3065">
        <v>8</v>
      </c>
      <c r="F3065" s="56"/>
    </row>
    <row r="3066" spans="1:6" ht="15">
      <c r="A3066" s="51">
        <v>291669</v>
      </c>
      <c r="B3066" t="s">
        <v>186</v>
      </c>
      <c r="C3066" s="39" t="s">
        <v>1662</v>
      </c>
      <c r="D3066" t="s">
        <v>4245</v>
      </c>
      <c r="F3066" s="56"/>
    </row>
    <row r="3067" spans="1:6" ht="15">
      <c r="A3067" s="51">
        <v>291670</v>
      </c>
      <c r="B3067" t="s">
        <v>187</v>
      </c>
      <c r="C3067" s="39" t="s">
        <v>1662</v>
      </c>
      <c r="D3067" t="s">
        <v>4244</v>
      </c>
      <c r="F3067" s="56"/>
    </row>
    <row r="3068" spans="1:6" ht="15">
      <c r="A3068" s="51">
        <v>291671</v>
      </c>
      <c r="B3068" t="s">
        <v>1250</v>
      </c>
      <c r="C3068" s="39" t="s">
        <v>1662</v>
      </c>
      <c r="D3068" t="s">
        <v>4243</v>
      </c>
      <c r="F3068" s="56"/>
    </row>
    <row r="3069" spans="1:6" ht="15">
      <c r="A3069" s="51">
        <v>291672</v>
      </c>
      <c r="B3069" t="s">
        <v>1663</v>
      </c>
      <c r="C3069" s="39" t="s">
        <v>1662</v>
      </c>
      <c r="D3069">
        <v>9</v>
      </c>
      <c r="F3069" s="56"/>
    </row>
    <row r="3070" spans="1:6" ht="15">
      <c r="A3070" s="51">
        <v>291673</v>
      </c>
      <c r="B3070" t="s">
        <v>1186</v>
      </c>
      <c r="C3070" s="39" t="s">
        <v>192</v>
      </c>
      <c r="D3070" t="s">
        <v>4247</v>
      </c>
      <c r="F3070" s="56"/>
    </row>
    <row r="3071" spans="1:6" ht="15">
      <c r="A3071" s="51">
        <v>291674</v>
      </c>
      <c r="B3071" t="s">
        <v>1187</v>
      </c>
      <c r="C3071" s="39" t="s">
        <v>192</v>
      </c>
      <c r="D3071" t="s">
        <v>4243</v>
      </c>
      <c r="F3071" s="56"/>
    </row>
    <row r="3072" spans="1:6" ht="15">
      <c r="A3072" s="51">
        <v>291675</v>
      </c>
      <c r="B3072" t="s">
        <v>1188</v>
      </c>
      <c r="C3072" s="39" t="s">
        <v>192</v>
      </c>
      <c r="D3072">
        <v>7</v>
      </c>
      <c r="F3072" s="56"/>
    </row>
    <row r="3073" spans="1:6" ht="15">
      <c r="A3073" s="51">
        <v>291676</v>
      </c>
      <c r="B3073" t="s">
        <v>70</v>
      </c>
      <c r="C3073" s="39" t="s">
        <v>192</v>
      </c>
      <c r="D3073">
        <v>8</v>
      </c>
      <c r="F3073" s="56"/>
    </row>
    <row r="3074" spans="1:6" ht="15">
      <c r="A3074" s="51">
        <v>291677</v>
      </c>
      <c r="B3074" t="s">
        <v>861</v>
      </c>
      <c r="C3074" s="39" t="s">
        <v>2541</v>
      </c>
      <c r="D3074" t="s">
        <v>4249</v>
      </c>
      <c r="F3074" s="56"/>
    </row>
    <row r="3075" spans="1:6" ht="15">
      <c r="A3075" s="51">
        <v>291678</v>
      </c>
      <c r="B3075" t="s">
        <v>399</v>
      </c>
      <c r="C3075" s="39" t="s">
        <v>2542</v>
      </c>
      <c r="D3075" t="s">
        <v>4249</v>
      </c>
      <c r="F3075" s="56"/>
    </row>
    <row r="3076" spans="1:6" ht="15">
      <c r="A3076" s="51">
        <v>291679</v>
      </c>
      <c r="B3076" t="s">
        <v>401</v>
      </c>
      <c r="C3076" s="39" t="s">
        <v>402</v>
      </c>
      <c r="D3076" t="s">
        <v>4245</v>
      </c>
      <c r="F3076" s="56"/>
    </row>
    <row r="3077" spans="1:6" ht="15">
      <c r="A3077" s="51">
        <v>291680</v>
      </c>
      <c r="B3077" t="s">
        <v>1253</v>
      </c>
      <c r="C3077" s="39" t="s">
        <v>200</v>
      </c>
      <c r="D3077" t="s">
        <v>4243</v>
      </c>
      <c r="F3077" s="56"/>
    </row>
    <row r="3078" spans="1:6" ht="15">
      <c r="A3078" s="51">
        <v>291681</v>
      </c>
      <c r="B3078" t="s">
        <v>199</v>
      </c>
      <c r="C3078" s="39" t="s">
        <v>200</v>
      </c>
      <c r="D3078" t="s">
        <v>4243</v>
      </c>
      <c r="F3078" s="56"/>
    </row>
    <row r="3079" spans="1:6" ht="15">
      <c r="A3079" s="51">
        <v>291682</v>
      </c>
      <c r="B3079" t="s">
        <v>201</v>
      </c>
      <c r="C3079" s="39" t="s">
        <v>200</v>
      </c>
      <c r="D3079">
        <v>7</v>
      </c>
      <c r="F3079" s="56"/>
    </row>
    <row r="3080" spans="1:6" ht="15">
      <c r="A3080" s="51">
        <v>291683</v>
      </c>
      <c r="B3080" t="s">
        <v>202</v>
      </c>
      <c r="C3080" s="39" t="s">
        <v>200</v>
      </c>
      <c r="D3080">
        <v>8</v>
      </c>
      <c r="F3080" s="56"/>
    </row>
    <row r="3081" spans="1:6" ht="15">
      <c r="A3081" s="51">
        <v>291684</v>
      </c>
      <c r="B3081" t="s">
        <v>406</v>
      </c>
      <c r="C3081" s="39" t="s">
        <v>405</v>
      </c>
      <c r="D3081">
        <v>7</v>
      </c>
      <c r="F3081" s="56"/>
    </row>
    <row r="3082" spans="1:6" ht="15">
      <c r="A3082" s="51">
        <v>291685</v>
      </c>
      <c r="B3082" t="s">
        <v>407</v>
      </c>
      <c r="C3082" s="39" t="s">
        <v>405</v>
      </c>
      <c r="D3082">
        <v>8</v>
      </c>
      <c r="F3082" s="56"/>
    </row>
    <row r="3083" spans="1:6" ht="15">
      <c r="A3083" s="51">
        <v>291686</v>
      </c>
      <c r="B3083" t="s">
        <v>408</v>
      </c>
      <c r="C3083" s="39" t="s">
        <v>405</v>
      </c>
      <c r="D3083">
        <v>8</v>
      </c>
      <c r="F3083" s="56"/>
    </row>
    <row r="3084" spans="1:6" ht="15">
      <c r="A3084" s="51">
        <v>291687</v>
      </c>
      <c r="B3084" t="s">
        <v>2543</v>
      </c>
      <c r="C3084" s="39" t="s">
        <v>405</v>
      </c>
      <c r="D3084">
        <v>9</v>
      </c>
      <c r="F3084" s="56"/>
    </row>
    <row r="3085" spans="1:6" ht="15">
      <c r="A3085" s="51">
        <v>291688</v>
      </c>
      <c r="B3085" t="s">
        <v>409</v>
      </c>
      <c r="C3085" s="39" t="s">
        <v>410</v>
      </c>
      <c r="D3085" t="s">
        <v>4246</v>
      </c>
      <c r="F3085" s="56"/>
    </row>
    <row r="3086" spans="1:6" ht="15">
      <c r="A3086" s="51">
        <v>291689</v>
      </c>
      <c r="B3086" t="s">
        <v>411</v>
      </c>
      <c r="C3086" s="39" t="s">
        <v>410</v>
      </c>
      <c r="D3086" t="s">
        <v>4243</v>
      </c>
      <c r="F3086" s="56"/>
    </row>
    <row r="3087" spans="1:6" ht="15">
      <c r="A3087" s="51">
        <v>291690</v>
      </c>
      <c r="B3087" t="s">
        <v>412</v>
      </c>
      <c r="C3087" s="39" t="s">
        <v>410</v>
      </c>
      <c r="D3087">
        <v>7</v>
      </c>
      <c r="F3087" s="56"/>
    </row>
    <row r="3088" spans="1:6" ht="15">
      <c r="A3088" s="51">
        <v>291691</v>
      </c>
      <c r="B3088" t="s">
        <v>413</v>
      </c>
      <c r="C3088" s="39" t="s">
        <v>410</v>
      </c>
      <c r="D3088">
        <v>8</v>
      </c>
      <c r="F3088" s="56"/>
    </row>
    <row r="3089" spans="1:6" ht="15">
      <c r="A3089" s="51">
        <v>291692</v>
      </c>
      <c r="B3089" t="s">
        <v>414</v>
      </c>
      <c r="C3089" s="39" t="s">
        <v>410</v>
      </c>
      <c r="D3089">
        <v>8</v>
      </c>
      <c r="F3089" s="56"/>
    </row>
    <row r="3090" spans="1:6" ht="15">
      <c r="A3090" s="51">
        <v>291693</v>
      </c>
      <c r="B3090" t="s">
        <v>415</v>
      </c>
      <c r="C3090" s="39" t="s">
        <v>410</v>
      </c>
      <c r="D3090">
        <v>8</v>
      </c>
      <c r="F3090" s="56"/>
    </row>
    <row r="3091" spans="1:6" ht="15">
      <c r="A3091" s="51">
        <v>291694</v>
      </c>
      <c r="B3091" t="s">
        <v>2544</v>
      </c>
      <c r="C3091" s="39" t="s">
        <v>2545</v>
      </c>
      <c r="D3091">
        <v>9</v>
      </c>
      <c r="F3091" s="56"/>
    </row>
    <row r="3092" spans="1:6" ht="15">
      <c r="A3092" s="51">
        <v>291695</v>
      </c>
      <c r="B3092" t="s">
        <v>1085</v>
      </c>
      <c r="C3092" s="39" t="s">
        <v>207</v>
      </c>
      <c r="D3092">
        <v>7</v>
      </c>
      <c r="F3092" s="56"/>
    </row>
    <row r="3093" spans="1:6" ht="15">
      <c r="A3093" s="51">
        <v>291696</v>
      </c>
      <c r="B3093" t="s">
        <v>1086</v>
      </c>
      <c r="C3093" s="39" t="s">
        <v>207</v>
      </c>
      <c r="D3093">
        <v>8</v>
      </c>
      <c r="F3093" s="56"/>
    </row>
    <row r="3094" spans="1:6" ht="15">
      <c r="A3094" s="51">
        <v>291697</v>
      </c>
      <c r="B3094" t="s">
        <v>2546</v>
      </c>
      <c r="C3094" s="39" t="s">
        <v>207</v>
      </c>
      <c r="D3094">
        <v>8</v>
      </c>
      <c r="F3094" s="56"/>
    </row>
    <row r="3095" spans="1:6" ht="15">
      <c r="A3095" s="51">
        <v>291698</v>
      </c>
      <c r="B3095" t="s">
        <v>219</v>
      </c>
      <c r="C3095" s="39" t="s">
        <v>207</v>
      </c>
      <c r="D3095">
        <v>8</v>
      </c>
      <c r="F3095" s="56"/>
    </row>
    <row r="3096" spans="1:6" ht="15">
      <c r="A3096" s="51">
        <v>291699</v>
      </c>
      <c r="B3096" t="s">
        <v>1089</v>
      </c>
      <c r="C3096" s="39" t="s">
        <v>417</v>
      </c>
      <c r="D3096" t="s">
        <v>4244</v>
      </c>
      <c r="F3096" s="56"/>
    </row>
    <row r="3097" spans="1:6" ht="15">
      <c r="A3097" s="51">
        <v>291700</v>
      </c>
      <c r="B3097" t="s">
        <v>1090</v>
      </c>
      <c r="C3097" s="39" t="s">
        <v>417</v>
      </c>
      <c r="D3097" t="s">
        <v>4243</v>
      </c>
      <c r="F3097" s="56"/>
    </row>
    <row r="3098" spans="1:6" ht="15">
      <c r="A3098" s="51">
        <v>291701</v>
      </c>
      <c r="B3098" t="s">
        <v>1193</v>
      </c>
      <c r="C3098" s="39" t="s">
        <v>417</v>
      </c>
      <c r="D3098">
        <v>8</v>
      </c>
      <c r="F3098" s="56"/>
    </row>
    <row r="3099" spans="1:6" ht="15">
      <c r="A3099" s="51">
        <v>291702</v>
      </c>
      <c r="B3099" t="s">
        <v>2485</v>
      </c>
      <c r="C3099" s="39" t="s">
        <v>213</v>
      </c>
      <c r="D3099">
        <v>8</v>
      </c>
      <c r="F3099" s="56"/>
    </row>
    <row r="3100" spans="1:6" ht="15">
      <c r="A3100" s="51">
        <v>291703</v>
      </c>
      <c r="B3100" t="s">
        <v>2547</v>
      </c>
      <c r="C3100" s="39" t="s">
        <v>213</v>
      </c>
      <c r="D3100">
        <v>8</v>
      </c>
      <c r="F3100" s="56"/>
    </row>
    <row r="3101" spans="1:6" ht="15">
      <c r="A3101" s="51">
        <v>291704</v>
      </c>
      <c r="B3101" t="s">
        <v>2548</v>
      </c>
      <c r="C3101" s="39" t="s">
        <v>213</v>
      </c>
      <c r="D3101">
        <v>9</v>
      </c>
      <c r="F3101" s="56"/>
    </row>
    <row r="3102" spans="1:6" ht="15">
      <c r="A3102" s="51">
        <v>291705</v>
      </c>
      <c r="B3102" t="s">
        <v>967</v>
      </c>
      <c r="C3102" s="39" t="s">
        <v>228</v>
      </c>
      <c r="D3102">
        <v>9</v>
      </c>
      <c r="F3102" s="56"/>
    </row>
    <row r="3103" spans="1:6" ht="15">
      <c r="A3103" s="51">
        <v>291706</v>
      </c>
      <c r="B3103" t="s">
        <v>1574</v>
      </c>
      <c r="C3103" s="39" t="s">
        <v>228</v>
      </c>
      <c r="D3103">
        <v>9</v>
      </c>
      <c r="F3103" s="56"/>
    </row>
    <row r="3104" spans="1:6" ht="15">
      <c r="A3104" s="51">
        <v>291707</v>
      </c>
      <c r="B3104" t="s">
        <v>234</v>
      </c>
      <c r="C3104" s="39" t="s">
        <v>238</v>
      </c>
      <c r="D3104" t="s">
        <v>4246</v>
      </c>
      <c r="F3104" s="56"/>
    </row>
    <row r="3105" spans="1:6" ht="15">
      <c r="A3105" s="51">
        <v>291708</v>
      </c>
      <c r="B3105" t="s">
        <v>236</v>
      </c>
      <c r="C3105" s="39" t="s">
        <v>238</v>
      </c>
      <c r="D3105" t="s">
        <v>4247</v>
      </c>
      <c r="F3105" s="56"/>
    </row>
    <row r="3106" spans="1:6" ht="15">
      <c r="A3106" s="51">
        <v>291709</v>
      </c>
      <c r="B3106" t="s">
        <v>1260</v>
      </c>
      <c r="C3106" s="39" t="s">
        <v>238</v>
      </c>
      <c r="D3106" t="s">
        <v>4243</v>
      </c>
      <c r="F3106" s="56"/>
    </row>
    <row r="3107" spans="1:6" ht="15">
      <c r="A3107" s="51">
        <v>291710</v>
      </c>
      <c r="B3107" t="s">
        <v>1682</v>
      </c>
      <c r="C3107" s="39" t="s">
        <v>238</v>
      </c>
      <c r="D3107">
        <v>7</v>
      </c>
      <c r="F3107" s="56"/>
    </row>
    <row r="3108" spans="1:6" ht="15">
      <c r="A3108" s="51">
        <v>291711</v>
      </c>
      <c r="B3108" t="s">
        <v>425</v>
      </c>
      <c r="C3108" s="39" t="s">
        <v>426</v>
      </c>
      <c r="D3108" t="s">
        <v>4244</v>
      </c>
      <c r="F3108" s="56"/>
    </row>
    <row r="3109" spans="1:6" ht="15">
      <c r="A3109" s="51">
        <v>291712</v>
      </c>
      <c r="B3109" t="s">
        <v>1778</v>
      </c>
      <c r="C3109" s="39" t="s">
        <v>2549</v>
      </c>
      <c r="D3109">
        <v>8</v>
      </c>
      <c r="F3109" s="56"/>
    </row>
    <row r="3110" spans="1:6" ht="15">
      <c r="A3110" s="51">
        <v>291713</v>
      </c>
      <c r="B3110" t="s">
        <v>881</v>
      </c>
      <c r="C3110" s="39" t="s">
        <v>437</v>
      </c>
      <c r="D3110" t="s">
        <v>4248</v>
      </c>
      <c r="F3110" s="56"/>
    </row>
    <row r="3111" spans="1:6" ht="15">
      <c r="A3111" s="51">
        <v>291714</v>
      </c>
      <c r="B3111" t="s">
        <v>2550</v>
      </c>
      <c r="C3111" s="39" t="s">
        <v>2551</v>
      </c>
      <c r="D3111">
        <v>8</v>
      </c>
      <c r="F3111" s="56"/>
    </row>
    <row r="3112" spans="1:6" ht="15">
      <c r="A3112" s="51">
        <v>291715</v>
      </c>
      <c r="B3112" t="s">
        <v>1261</v>
      </c>
      <c r="C3112" s="39" t="s">
        <v>2551</v>
      </c>
      <c r="D3112">
        <v>8</v>
      </c>
      <c r="F3112" s="56"/>
    </row>
    <row r="3113" spans="1:6" ht="15">
      <c r="A3113" s="51">
        <v>291716</v>
      </c>
      <c r="B3113" t="s">
        <v>2552</v>
      </c>
      <c r="C3113" s="39" t="s">
        <v>884</v>
      </c>
      <c r="D3113">
        <v>7</v>
      </c>
      <c r="F3113" s="56"/>
    </row>
    <row r="3114" spans="1:6" ht="15">
      <c r="A3114" s="51">
        <v>291717</v>
      </c>
      <c r="B3114" t="s">
        <v>2553</v>
      </c>
      <c r="C3114" s="39" t="s">
        <v>884</v>
      </c>
      <c r="D3114">
        <v>8</v>
      </c>
      <c r="F3114" s="56"/>
    </row>
    <row r="3115" spans="1:6" ht="15">
      <c r="A3115" s="51">
        <v>291718</v>
      </c>
      <c r="B3115" t="s">
        <v>2554</v>
      </c>
      <c r="C3115" s="39" t="s">
        <v>255</v>
      </c>
      <c r="D3115" t="s">
        <v>4246</v>
      </c>
      <c r="F3115" s="56"/>
    </row>
    <row r="3116" spans="1:6" ht="15">
      <c r="A3116" s="51">
        <v>291719</v>
      </c>
      <c r="B3116" t="s">
        <v>438</v>
      </c>
      <c r="C3116" s="39" t="s">
        <v>255</v>
      </c>
      <c r="D3116" t="s">
        <v>4246</v>
      </c>
      <c r="F3116" s="56"/>
    </row>
    <row r="3117" spans="1:6" ht="15">
      <c r="A3117" s="51">
        <v>291720</v>
      </c>
      <c r="B3117" t="s">
        <v>2082</v>
      </c>
      <c r="C3117" s="39" t="s">
        <v>255</v>
      </c>
      <c r="D3117" t="s">
        <v>4244</v>
      </c>
      <c r="F3117" s="56"/>
    </row>
    <row r="3118" spans="1:6" ht="15">
      <c r="A3118" s="51">
        <v>291721</v>
      </c>
      <c r="B3118" t="s">
        <v>883</v>
      </c>
      <c r="C3118" s="39" t="s">
        <v>255</v>
      </c>
      <c r="D3118" t="s">
        <v>4243</v>
      </c>
      <c r="F3118" s="56"/>
    </row>
    <row r="3119" spans="1:6" ht="15">
      <c r="A3119" s="51">
        <v>291722</v>
      </c>
      <c r="B3119" t="s">
        <v>2555</v>
      </c>
      <c r="C3119" s="39" t="s">
        <v>255</v>
      </c>
      <c r="D3119" t="s">
        <v>4246</v>
      </c>
      <c r="F3119" s="56"/>
    </row>
    <row r="3120" spans="1:6" ht="15">
      <c r="A3120" s="51">
        <v>291723</v>
      </c>
      <c r="B3120" t="s">
        <v>2556</v>
      </c>
      <c r="C3120" s="39" t="s">
        <v>1690</v>
      </c>
      <c r="D3120">
        <v>9</v>
      </c>
      <c r="F3120" s="56"/>
    </row>
    <row r="3121" spans="1:6" ht="15">
      <c r="A3121" s="51">
        <v>291724</v>
      </c>
      <c r="B3121" t="s">
        <v>257</v>
      </c>
      <c r="C3121" s="39" t="s">
        <v>440</v>
      </c>
      <c r="D3121">
        <v>9</v>
      </c>
      <c r="F3121" s="56"/>
    </row>
    <row r="3122" spans="1:6" ht="15">
      <c r="A3122" s="51">
        <v>291725</v>
      </c>
      <c r="B3122" t="s">
        <v>449</v>
      </c>
      <c r="C3122" s="39" t="s">
        <v>258</v>
      </c>
      <c r="D3122">
        <v>9</v>
      </c>
      <c r="F3122" s="56"/>
    </row>
    <row r="3123" spans="1:6" ht="15">
      <c r="A3123" s="51">
        <v>291726</v>
      </c>
      <c r="B3123" t="s">
        <v>265</v>
      </c>
      <c r="C3123" s="39" t="s">
        <v>264</v>
      </c>
      <c r="D3123" t="s">
        <v>4245</v>
      </c>
      <c r="F3123" s="56"/>
    </row>
    <row r="3124" spans="1:6" ht="15">
      <c r="A3124" s="51">
        <v>291727</v>
      </c>
      <c r="B3124" t="s">
        <v>72</v>
      </c>
      <c r="C3124" s="39" t="s">
        <v>264</v>
      </c>
      <c r="D3124" t="s">
        <v>4244</v>
      </c>
      <c r="F3124" s="56"/>
    </row>
    <row r="3125" spans="1:6" ht="15">
      <c r="A3125" s="51">
        <v>291728</v>
      </c>
      <c r="B3125" t="s">
        <v>266</v>
      </c>
      <c r="C3125" s="39" t="s">
        <v>264</v>
      </c>
      <c r="D3125" t="s">
        <v>4243</v>
      </c>
      <c r="F3125" s="56"/>
    </row>
    <row r="3126" spans="1:6" ht="15">
      <c r="A3126" s="51">
        <v>291729</v>
      </c>
      <c r="B3126" t="s">
        <v>267</v>
      </c>
      <c r="C3126" s="39" t="s">
        <v>264</v>
      </c>
      <c r="D3126">
        <v>9</v>
      </c>
      <c r="F3126" s="56"/>
    </row>
    <row r="3127" spans="1:6" ht="15">
      <c r="A3127" s="51">
        <v>291730</v>
      </c>
      <c r="B3127" t="s">
        <v>1890</v>
      </c>
      <c r="C3127" s="39" t="s">
        <v>264</v>
      </c>
      <c r="D3127">
        <v>8</v>
      </c>
      <c r="F3127" s="56"/>
    </row>
    <row r="3128" spans="1:6" ht="15">
      <c r="A3128" s="51">
        <v>291731</v>
      </c>
      <c r="B3128" t="s">
        <v>2557</v>
      </c>
      <c r="C3128" s="39" t="s">
        <v>264</v>
      </c>
      <c r="D3128">
        <v>9</v>
      </c>
      <c r="F3128" s="56"/>
    </row>
    <row r="3129" spans="1:6" ht="15">
      <c r="A3129" s="51">
        <v>291732</v>
      </c>
      <c r="B3129" t="s">
        <v>2558</v>
      </c>
      <c r="C3129" s="39" t="s">
        <v>2559</v>
      </c>
      <c r="D3129" t="s">
        <v>4247</v>
      </c>
      <c r="F3129" s="56"/>
    </row>
    <row r="3130" spans="1:6" ht="15">
      <c r="A3130" s="51">
        <v>291733</v>
      </c>
      <c r="B3130" t="s">
        <v>2560</v>
      </c>
      <c r="C3130" s="39" t="s">
        <v>2559</v>
      </c>
      <c r="D3130">
        <v>7</v>
      </c>
      <c r="F3130" s="56"/>
    </row>
    <row r="3131" spans="1:6" ht="15">
      <c r="A3131" s="51">
        <v>291734</v>
      </c>
      <c r="B3131" t="s">
        <v>2086</v>
      </c>
      <c r="C3131" s="39" t="s">
        <v>269</v>
      </c>
      <c r="D3131" t="s">
        <v>4243</v>
      </c>
      <c r="F3131" s="56"/>
    </row>
    <row r="3132" spans="1:6" ht="15">
      <c r="A3132" s="51">
        <v>291735</v>
      </c>
      <c r="B3132" t="s">
        <v>2088</v>
      </c>
      <c r="C3132" s="39" t="s">
        <v>269</v>
      </c>
      <c r="D3132">
        <v>7</v>
      </c>
      <c r="F3132" s="56"/>
    </row>
    <row r="3133" spans="1:6" ht="15">
      <c r="A3133" s="51">
        <v>291736</v>
      </c>
      <c r="B3133" t="s">
        <v>2089</v>
      </c>
      <c r="C3133" s="39" t="s">
        <v>269</v>
      </c>
      <c r="D3133">
        <v>8</v>
      </c>
      <c r="F3133" s="56"/>
    </row>
    <row r="3134" spans="1:6" ht="15">
      <c r="A3134" s="51">
        <v>291737</v>
      </c>
      <c r="B3134" t="s">
        <v>2561</v>
      </c>
      <c r="C3134" s="39" t="s">
        <v>2562</v>
      </c>
      <c r="D3134">
        <v>8</v>
      </c>
      <c r="F3134" s="56"/>
    </row>
    <row r="3135" spans="1:6" ht="15">
      <c r="A3135" s="51">
        <v>291738</v>
      </c>
      <c r="B3135" t="s">
        <v>2563</v>
      </c>
      <c r="C3135" s="39" t="s">
        <v>2562</v>
      </c>
      <c r="D3135">
        <v>8</v>
      </c>
      <c r="F3135" s="56"/>
    </row>
    <row r="3136" spans="1:6" ht="15">
      <c r="A3136" s="51">
        <v>291739</v>
      </c>
      <c r="B3136" t="s">
        <v>2564</v>
      </c>
      <c r="C3136" s="39" t="s">
        <v>2562</v>
      </c>
      <c r="D3136">
        <v>9</v>
      </c>
      <c r="F3136" s="56"/>
    </row>
    <row r="3137" spans="1:6" ht="15">
      <c r="A3137" s="51">
        <v>291740</v>
      </c>
      <c r="B3137" t="s">
        <v>273</v>
      </c>
      <c r="C3137" s="39" t="s">
        <v>274</v>
      </c>
      <c r="D3137" t="s">
        <v>4243</v>
      </c>
      <c r="F3137" s="56"/>
    </row>
    <row r="3138" spans="1:6" ht="15">
      <c r="A3138" s="51">
        <v>291741</v>
      </c>
      <c r="B3138" t="s">
        <v>74</v>
      </c>
      <c r="C3138" s="39" t="s">
        <v>274</v>
      </c>
      <c r="D3138" t="s">
        <v>4243</v>
      </c>
      <c r="F3138" s="56"/>
    </row>
    <row r="3139" spans="1:6" ht="15">
      <c r="A3139" s="51">
        <v>291742</v>
      </c>
      <c r="B3139" t="s">
        <v>75</v>
      </c>
      <c r="C3139" s="39" t="s">
        <v>274</v>
      </c>
      <c r="D3139">
        <v>7</v>
      </c>
      <c r="F3139" s="56"/>
    </row>
    <row r="3140" spans="1:6" ht="15">
      <c r="A3140" s="51">
        <v>291743</v>
      </c>
      <c r="B3140" t="s">
        <v>2565</v>
      </c>
      <c r="C3140" s="39" t="s">
        <v>274</v>
      </c>
      <c r="D3140">
        <v>8</v>
      </c>
      <c r="F3140" s="56"/>
    </row>
    <row r="3141" spans="1:6" ht="15">
      <c r="A3141" s="51">
        <v>291745</v>
      </c>
      <c r="B3141" t="s">
        <v>455</v>
      </c>
      <c r="C3141" s="39" t="s">
        <v>283</v>
      </c>
      <c r="D3141">
        <v>8</v>
      </c>
      <c r="F3141" s="56"/>
    </row>
    <row r="3142" spans="1:6" ht="15">
      <c r="A3142" s="51">
        <v>291746</v>
      </c>
      <c r="B3142" t="s">
        <v>279</v>
      </c>
      <c r="C3142" s="39" t="s">
        <v>285</v>
      </c>
      <c r="D3142" t="s">
        <v>4247</v>
      </c>
      <c r="F3142" s="56"/>
    </row>
    <row r="3143" spans="1:6" ht="15">
      <c r="A3143" s="51">
        <v>291747</v>
      </c>
      <c r="B3143" t="s">
        <v>280</v>
      </c>
      <c r="C3143" s="39" t="s">
        <v>285</v>
      </c>
      <c r="D3143" t="s">
        <v>4243</v>
      </c>
      <c r="F3143" s="56"/>
    </row>
    <row r="3144" spans="1:6" ht="15">
      <c r="A3144" s="51">
        <v>291748</v>
      </c>
      <c r="B3144" t="s">
        <v>281</v>
      </c>
      <c r="C3144" s="39" t="s">
        <v>285</v>
      </c>
      <c r="D3144">
        <v>7</v>
      </c>
      <c r="F3144" s="56"/>
    </row>
    <row r="3145" spans="1:6" ht="15">
      <c r="A3145" s="51">
        <v>291749</v>
      </c>
      <c r="B3145" t="s">
        <v>1140</v>
      </c>
      <c r="C3145" s="39" t="s">
        <v>295</v>
      </c>
      <c r="D3145" t="s">
        <v>4247</v>
      </c>
      <c r="F3145" s="56"/>
    </row>
    <row r="3146" spans="1:6" ht="15">
      <c r="A3146" s="51">
        <v>291750</v>
      </c>
      <c r="B3146" t="s">
        <v>288</v>
      </c>
      <c r="C3146" s="39" t="s">
        <v>295</v>
      </c>
      <c r="D3146" t="s">
        <v>4243</v>
      </c>
      <c r="F3146" s="56"/>
    </row>
    <row r="3147" spans="1:6" ht="15">
      <c r="A3147" s="51">
        <v>291751</v>
      </c>
      <c r="B3147" t="s">
        <v>1700</v>
      </c>
      <c r="C3147" s="39" t="s">
        <v>295</v>
      </c>
      <c r="D3147">
        <v>8</v>
      </c>
      <c r="F3147" s="56"/>
    </row>
    <row r="3148" spans="1:6" ht="15">
      <c r="A3148" s="51">
        <v>291953</v>
      </c>
      <c r="B3148" t="s">
        <v>468</v>
      </c>
      <c r="C3148" s="39" t="s">
        <v>228</v>
      </c>
      <c r="D3148">
        <v>9</v>
      </c>
      <c r="F3148" s="56"/>
    </row>
    <row r="3149" spans="1:6" ht="15">
      <c r="A3149" s="51">
        <v>3118070</v>
      </c>
      <c r="B3149" t="s">
        <v>1266</v>
      </c>
      <c r="C3149" s="39" t="s">
        <v>1267</v>
      </c>
      <c r="D3149">
        <v>7</v>
      </c>
      <c r="F3149" s="56"/>
    </row>
    <row r="3150" spans="1:6" ht="15">
      <c r="A3150" s="51">
        <v>291941</v>
      </c>
      <c r="B3150" t="s">
        <v>516</v>
      </c>
      <c r="C3150" s="39" t="s">
        <v>2100</v>
      </c>
      <c r="D3150">
        <v>9</v>
      </c>
      <c r="F3150" s="56"/>
    </row>
    <row r="3151" spans="1:6" ht="15">
      <c r="A3151" s="51">
        <v>291942</v>
      </c>
      <c r="B3151" t="s">
        <v>2566</v>
      </c>
      <c r="C3151" s="39" t="s">
        <v>2567</v>
      </c>
      <c r="D3151">
        <v>7</v>
      </c>
      <c r="F3151" s="56"/>
    </row>
    <row r="3152" spans="1:6" ht="15">
      <c r="A3152" s="51">
        <v>291943</v>
      </c>
      <c r="B3152" t="s">
        <v>2568</v>
      </c>
      <c r="C3152" s="39" t="s">
        <v>1632</v>
      </c>
      <c r="D3152" t="s">
        <v>4243</v>
      </c>
      <c r="F3152" s="56"/>
    </row>
    <row r="3153" spans="1:6" ht="15">
      <c r="A3153" s="51">
        <v>291944</v>
      </c>
      <c r="B3153" t="s">
        <v>524</v>
      </c>
      <c r="C3153" s="39" t="s">
        <v>1338</v>
      </c>
      <c r="D3153" t="s">
        <v>4244</v>
      </c>
      <c r="F3153" s="56"/>
    </row>
    <row r="3154" spans="1:6" ht="15">
      <c r="A3154" s="51">
        <v>291945</v>
      </c>
      <c r="B3154" t="s">
        <v>530</v>
      </c>
      <c r="C3154" s="39" t="s">
        <v>2102</v>
      </c>
      <c r="D3154">
        <v>8</v>
      </c>
      <c r="F3154" s="56"/>
    </row>
    <row r="3155" spans="1:6" ht="15">
      <c r="A3155" s="51">
        <v>291940</v>
      </c>
      <c r="B3155" t="s">
        <v>1898</v>
      </c>
      <c r="C3155" s="39" t="s">
        <v>1899</v>
      </c>
      <c r="D3155" t="s">
        <v>4243</v>
      </c>
      <c r="F3155" s="56"/>
    </row>
    <row r="3156" spans="1:6" ht="15">
      <c r="A3156" s="51">
        <v>3118071</v>
      </c>
      <c r="B3156" t="s">
        <v>1270</v>
      </c>
      <c r="C3156" s="39" t="s">
        <v>1902</v>
      </c>
      <c r="D3156">
        <v>8</v>
      </c>
      <c r="F3156" s="56"/>
    </row>
    <row r="3157" spans="1:6" ht="15">
      <c r="A3157" s="51">
        <v>291946</v>
      </c>
      <c r="B3157" t="s">
        <v>1905</v>
      </c>
      <c r="C3157" s="39" t="s">
        <v>1338</v>
      </c>
      <c r="D3157" t="s">
        <v>4244</v>
      </c>
      <c r="F3157" s="56"/>
    </row>
    <row r="3158" spans="1:6" ht="15">
      <c r="A3158" s="51">
        <v>291947</v>
      </c>
      <c r="B3158" t="s">
        <v>1906</v>
      </c>
      <c r="C3158" s="39" t="s">
        <v>1338</v>
      </c>
      <c r="D3158" t="s">
        <v>4244</v>
      </c>
      <c r="F3158" s="56"/>
    </row>
    <row r="3159" spans="1:6" ht="15">
      <c r="A3159" s="51">
        <v>291948</v>
      </c>
      <c r="B3159" t="s">
        <v>1909</v>
      </c>
      <c r="C3159" s="39" t="s">
        <v>1910</v>
      </c>
      <c r="D3159" t="s">
        <v>4244</v>
      </c>
      <c r="F3159" s="56"/>
    </row>
    <row r="3160" spans="1:6" ht="15">
      <c r="A3160" s="51">
        <v>291949</v>
      </c>
      <c r="B3160" t="s">
        <v>1911</v>
      </c>
      <c r="C3160" s="39" t="s">
        <v>2569</v>
      </c>
      <c r="D3160">
        <v>8</v>
      </c>
      <c r="F3160" s="56"/>
    </row>
    <row r="3161" spans="1:6" ht="15">
      <c r="A3161" s="51">
        <v>291950</v>
      </c>
      <c r="B3161" t="s">
        <v>1913</v>
      </c>
      <c r="C3161" s="39" t="s">
        <v>1274</v>
      </c>
      <c r="D3161" t="s">
        <v>4244</v>
      </c>
      <c r="F3161" s="56"/>
    </row>
    <row r="3162" spans="1:6" ht="15">
      <c r="A3162" s="51">
        <v>291951</v>
      </c>
      <c r="B3162" t="s">
        <v>1273</v>
      </c>
      <c r="C3162" s="39" t="s">
        <v>1274</v>
      </c>
      <c r="D3162">
        <v>7</v>
      </c>
      <c r="F3162" s="56"/>
    </row>
    <row r="3163" spans="1:6" ht="15">
      <c r="A3163" s="51">
        <v>291952</v>
      </c>
      <c r="B3163" t="s">
        <v>1914</v>
      </c>
      <c r="C3163" s="39" t="s">
        <v>1274</v>
      </c>
      <c r="D3163">
        <v>8</v>
      </c>
      <c r="F3163" s="56"/>
    </row>
    <row r="3164" spans="1:6" ht="15">
      <c r="A3164" s="51">
        <v>291954</v>
      </c>
      <c r="B3164" t="s">
        <v>1278</v>
      </c>
      <c r="C3164" s="39" t="s">
        <v>1279</v>
      </c>
      <c r="D3164">
        <v>8</v>
      </c>
      <c r="F3164" s="56"/>
    </row>
    <row r="3165" spans="1:6" ht="15">
      <c r="A3165" s="51">
        <v>291955</v>
      </c>
      <c r="B3165" t="s">
        <v>1917</v>
      </c>
      <c r="C3165" s="39" t="s">
        <v>1279</v>
      </c>
      <c r="D3165">
        <v>9</v>
      </c>
      <c r="F3165" s="56"/>
    </row>
    <row r="3166" spans="1:6" ht="15">
      <c r="A3166" s="51">
        <v>291956</v>
      </c>
      <c r="B3166" t="s">
        <v>1280</v>
      </c>
      <c r="C3166" s="39" t="s">
        <v>1281</v>
      </c>
      <c r="D3166">
        <v>8</v>
      </c>
      <c r="F3166" s="56"/>
    </row>
    <row r="3167" spans="1:6" ht="15">
      <c r="A3167" s="51">
        <v>291957</v>
      </c>
      <c r="B3167" t="s">
        <v>1282</v>
      </c>
      <c r="C3167" s="39" t="s">
        <v>1918</v>
      </c>
      <c r="D3167">
        <v>8</v>
      </c>
      <c r="F3167" s="56"/>
    </row>
    <row r="3168" spans="1:6" ht="15">
      <c r="A3168" s="51">
        <v>291958</v>
      </c>
      <c r="B3168" t="s">
        <v>2134</v>
      </c>
      <c r="C3168" s="39" t="s">
        <v>1918</v>
      </c>
      <c r="D3168">
        <v>9</v>
      </c>
      <c r="F3168" s="56"/>
    </row>
    <row r="3169" spans="1:6" ht="15">
      <c r="A3169" s="51">
        <v>291959</v>
      </c>
      <c r="B3169" t="s">
        <v>1283</v>
      </c>
      <c r="C3169" s="39" t="s">
        <v>1284</v>
      </c>
      <c r="D3169">
        <v>8</v>
      </c>
      <c r="F3169" s="56"/>
    </row>
    <row r="3170" spans="1:6" ht="15">
      <c r="A3170" s="51">
        <v>291960</v>
      </c>
      <c r="B3170" t="s">
        <v>1919</v>
      </c>
      <c r="C3170" s="39" t="s">
        <v>1284</v>
      </c>
      <c r="D3170">
        <v>8</v>
      </c>
      <c r="F3170" s="56"/>
    </row>
    <row r="3171" spans="1:6" ht="15">
      <c r="A3171" s="51">
        <v>291961</v>
      </c>
      <c r="B3171" t="s">
        <v>1285</v>
      </c>
      <c r="C3171" s="39" t="s">
        <v>1286</v>
      </c>
      <c r="D3171">
        <v>8</v>
      </c>
      <c r="F3171" s="56"/>
    </row>
    <row r="3172" spans="1:6" ht="15">
      <c r="A3172" s="51">
        <v>291962</v>
      </c>
      <c r="B3172" t="s">
        <v>2570</v>
      </c>
      <c r="C3172" s="39" t="s">
        <v>1286</v>
      </c>
      <c r="D3172">
        <v>9</v>
      </c>
      <c r="F3172" s="56"/>
    </row>
    <row r="3173" spans="1:6" ht="15">
      <c r="A3173" s="51">
        <v>3118072</v>
      </c>
      <c r="B3173" t="s">
        <v>1922</v>
      </c>
      <c r="C3173" s="39" t="s">
        <v>1921</v>
      </c>
      <c r="D3173">
        <v>8</v>
      </c>
      <c r="F3173" s="56"/>
    </row>
    <row r="3174" spans="1:6" ht="15">
      <c r="A3174" s="51">
        <v>3118073</v>
      </c>
      <c r="B3174" t="s">
        <v>1924</v>
      </c>
      <c r="C3174" s="39" t="s">
        <v>1925</v>
      </c>
      <c r="D3174">
        <v>8</v>
      </c>
      <c r="F3174" s="56"/>
    </row>
    <row r="3175" spans="1:6" ht="15">
      <c r="A3175" s="51">
        <v>291963</v>
      </c>
      <c r="B3175" t="s">
        <v>2135</v>
      </c>
      <c r="C3175" s="39" t="s">
        <v>2571</v>
      </c>
      <c r="D3175">
        <v>8</v>
      </c>
      <c r="F3175" s="56"/>
    </row>
    <row r="3176" spans="1:6" ht="15">
      <c r="A3176" s="51">
        <v>291964</v>
      </c>
      <c r="B3176" t="s">
        <v>1292</v>
      </c>
      <c r="C3176" s="39" t="s">
        <v>1293</v>
      </c>
      <c r="D3176">
        <v>8</v>
      </c>
      <c r="F3176" s="56"/>
    </row>
    <row r="3177" spans="1:6" ht="15">
      <c r="A3177" s="51">
        <v>3118074</v>
      </c>
      <c r="B3177" t="s">
        <v>1294</v>
      </c>
      <c r="C3177" s="39" t="s">
        <v>1295</v>
      </c>
      <c r="D3177">
        <v>9</v>
      </c>
      <c r="F3177" s="56"/>
    </row>
    <row r="3178" spans="1:6" ht="15">
      <c r="A3178" s="51">
        <v>291965</v>
      </c>
      <c r="B3178" t="s">
        <v>1296</v>
      </c>
      <c r="C3178" s="39" t="s">
        <v>1297</v>
      </c>
      <c r="D3178">
        <v>8</v>
      </c>
      <c r="F3178" s="56"/>
    </row>
    <row r="3179" spans="1:6" ht="15">
      <c r="A3179" s="51">
        <v>291966</v>
      </c>
      <c r="B3179" t="s">
        <v>1298</v>
      </c>
      <c r="C3179" s="39" t="s">
        <v>1299</v>
      </c>
      <c r="D3179">
        <v>8</v>
      </c>
      <c r="F3179" s="56"/>
    </row>
    <row r="3180" spans="1:6" ht="15">
      <c r="A3180" s="51">
        <v>291967</v>
      </c>
      <c r="B3180" t="s">
        <v>1926</v>
      </c>
      <c r="C3180" s="39" t="s">
        <v>1299</v>
      </c>
      <c r="D3180">
        <v>9</v>
      </c>
      <c r="F3180" s="56"/>
    </row>
    <row r="3181" spans="1:6" ht="15">
      <c r="A3181" s="51">
        <v>291968</v>
      </c>
      <c r="B3181" t="s">
        <v>1300</v>
      </c>
      <c r="C3181" s="39" t="s">
        <v>1301</v>
      </c>
      <c r="D3181">
        <v>8</v>
      </c>
      <c r="F3181" s="56"/>
    </row>
    <row r="3182" spans="1:6" ht="15">
      <c r="A3182" s="51">
        <v>291969</v>
      </c>
      <c r="B3182" t="s">
        <v>1302</v>
      </c>
      <c r="C3182" s="39" t="s">
        <v>1301</v>
      </c>
      <c r="D3182">
        <v>8</v>
      </c>
      <c r="F3182" s="56"/>
    </row>
    <row r="3183" spans="1:6" ht="15">
      <c r="A3183" s="51">
        <v>291970</v>
      </c>
      <c r="B3183" t="s">
        <v>1303</v>
      </c>
      <c r="C3183" s="39" t="s">
        <v>1304</v>
      </c>
      <c r="D3183">
        <v>8</v>
      </c>
      <c r="F3183" s="56"/>
    </row>
    <row r="3184" spans="1:6" ht="15">
      <c r="A3184" s="51">
        <v>291971</v>
      </c>
      <c r="B3184" t="s">
        <v>1305</v>
      </c>
      <c r="C3184" s="39" t="s">
        <v>1306</v>
      </c>
      <c r="D3184">
        <v>8</v>
      </c>
      <c r="F3184" s="56"/>
    </row>
    <row r="3185" spans="1:6" ht="15">
      <c r="A3185" s="51">
        <v>291972</v>
      </c>
      <c r="B3185" t="s">
        <v>2143</v>
      </c>
      <c r="C3185" s="39" t="s">
        <v>2144</v>
      </c>
      <c r="D3185">
        <v>8</v>
      </c>
      <c r="F3185" s="56"/>
    </row>
    <row r="3186" spans="1:6" ht="15">
      <c r="A3186" s="51">
        <v>291973</v>
      </c>
      <c r="B3186" t="s">
        <v>2145</v>
      </c>
      <c r="C3186" s="39" t="s">
        <v>2144</v>
      </c>
      <c r="D3186">
        <v>8</v>
      </c>
      <c r="F3186" s="56"/>
    </row>
    <row r="3187" spans="1:6" ht="15">
      <c r="A3187" s="51">
        <v>291974</v>
      </c>
      <c r="B3187" t="s">
        <v>2146</v>
      </c>
      <c r="C3187" s="39" t="s">
        <v>2147</v>
      </c>
      <c r="D3187">
        <v>8</v>
      </c>
      <c r="F3187" s="56"/>
    </row>
    <row r="3188" spans="1:6" ht="15">
      <c r="A3188" s="51">
        <v>291975</v>
      </c>
      <c r="B3188" t="s">
        <v>2371</v>
      </c>
      <c r="C3188" s="39" t="s">
        <v>2147</v>
      </c>
      <c r="D3188">
        <v>8</v>
      </c>
      <c r="F3188" s="56"/>
    </row>
    <row r="3189" spans="1:6" ht="15">
      <c r="A3189" s="51">
        <v>291976</v>
      </c>
      <c r="B3189" t="s">
        <v>2148</v>
      </c>
      <c r="C3189" s="39" t="s">
        <v>2149</v>
      </c>
      <c r="D3189">
        <v>8</v>
      </c>
      <c r="F3189" s="56"/>
    </row>
    <row r="3190" spans="1:6" ht="15">
      <c r="A3190" s="51">
        <v>291977</v>
      </c>
      <c r="B3190" t="s">
        <v>2150</v>
      </c>
      <c r="C3190" s="39" t="s">
        <v>2151</v>
      </c>
      <c r="D3190">
        <v>8</v>
      </c>
      <c r="F3190" s="56"/>
    </row>
    <row r="3191" spans="1:6" ht="15">
      <c r="A3191" s="51">
        <v>291978</v>
      </c>
      <c r="B3191" t="s">
        <v>1307</v>
      </c>
      <c r="C3191" s="39" t="s">
        <v>1308</v>
      </c>
      <c r="D3191">
        <v>8</v>
      </c>
      <c r="F3191" s="56"/>
    </row>
    <row r="3192" spans="1:6" ht="15">
      <c r="A3192" s="51">
        <v>291979</v>
      </c>
      <c r="B3192" t="s">
        <v>1309</v>
      </c>
      <c r="C3192" s="39" t="s">
        <v>1308</v>
      </c>
      <c r="D3192">
        <v>8</v>
      </c>
      <c r="F3192" s="56"/>
    </row>
    <row r="3193" spans="1:6" ht="15">
      <c r="A3193" s="51">
        <v>291980</v>
      </c>
      <c r="B3193" t="s">
        <v>1310</v>
      </c>
      <c r="C3193" s="39" t="s">
        <v>1308</v>
      </c>
      <c r="D3193">
        <v>9</v>
      </c>
      <c r="F3193" s="56"/>
    </row>
    <row r="3194" spans="1:6" ht="15">
      <c r="A3194" s="51">
        <v>291981</v>
      </c>
      <c r="B3194" t="s">
        <v>1928</v>
      </c>
      <c r="C3194" s="39" t="s">
        <v>1929</v>
      </c>
      <c r="D3194">
        <v>8</v>
      </c>
      <c r="F3194" s="56"/>
    </row>
    <row r="3195" spans="1:6" ht="15">
      <c r="A3195" s="51">
        <v>291982</v>
      </c>
      <c r="B3195" t="s">
        <v>2152</v>
      </c>
      <c r="C3195" s="39" t="s">
        <v>2153</v>
      </c>
      <c r="D3195">
        <v>8</v>
      </c>
      <c r="F3195" s="56"/>
    </row>
    <row r="3196" spans="1:6" ht="15">
      <c r="A3196" s="51">
        <v>291983</v>
      </c>
      <c r="B3196" t="s">
        <v>2572</v>
      </c>
      <c r="C3196" s="39" t="s">
        <v>1312</v>
      </c>
      <c r="D3196">
        <v>8</v>
      </c>
      <c r="F3196" s="56"/>
    </row>
    <row r="3197" spans="1:6" ht="15">
      <c r="A3197" s="51">
        <v>291984</v>
      </c>
      <c r="B3197" t="s">
        <v>2573</v>
      </c>
      <c r="C3197" s="39" t="s">
        <v>1312</v>
      </c>
      <c r="D3197">
        <v>8</v>
      </c>
      <c r="F3197" s="56"/>
    </row>
    <row r="3198" spans="1:6" ht="15">
      <c r="A3198" s="51">
        <v>291985</v>
      </c>
      <c r="B3198" t="s">
        <v>1311</v>
      </c>
      <c r="C3198" s="39" t="s">
        <v>1312</v>
      </c>
      <c r="D3198">
        <v>9</v>
      </c>
      <c r="F3198" s="56"/>
    </row>
    <row r="3199" spans="1:6" ht="15">
      <c r="A3199" s="51">
        <v>291986</v>
      </c>
      <c r="B3199" t="s">
        <v>2574</v>
      </c>
      <c r="C3199" s="39" t="s">
        <v>2067</v>
      </c>
      <c r="D3199">
        <v>9</v>
      </c>
      <c r="F3199" s="56"/>
    </row>
    <row r="3200" spans="1:6" ht="15">
      <c r="A3200" s="51">
        <v>291987</v>
      </c>
      <c r="B3200" t="s">
        <v>1313</v>
      </c>
      <c r="C3200" s="39" t="s">
        <v>2575</v>
      </c>
      <c r="D3200">
        <v>8</v>
      </c>
      <c r="F3200" s="56"/>
    </row>
    <row r="3201" spans="1:6" ht="15">
      <c r="A3201" s="51">
        <v>291988</v>
      </c>
      <c r="B3201" t="s">
        <v>1315</v>
      </c>
      <c r="C3201" s="39" t="s">
        <v>1316</v>
      </c>
      <c r="D3201">
        <v>8</v>
      </c>
      <c r="F3201" s="56"/>
    </row>
    <row r="3202" spans="1:6" ht="15">
      <c r="A3202" s="51">
        <v>291989</v>
      </c>
      <c r="B3202" t="s">
        <v>1936</v>
      </c>
      <c r="C3202" s="39" t="s">
        <v>1316</v>
      </c>
      <c r="D3202">
        <v>9</v>
      </c>
      <c r="F3202" s="56"/>
    </row>
    <row r="3203" spans="1:6" ht="15">
      <c r="A3203" s="51">
        <v>291990</v>
      </c>
      <c r="B3203" t="s">
        <v>1317</v>
      </c>
      <c r="C3203" s="39" t="s">
        <v>1318</v>
      </c>
      <c r="D3203">
        <v>9</v>
      </c>
      <c r="F3203" s="56"/>
    </row>
    <row r="3204" spans="1:6" ht="15">
      <c r="A3204" s="51">
        <v>291991</v>
      </c>
      <c r="B3204" t="s">
        <v>2576</v>
      </c>
      <c r="C3204" s="39" t="s">
        <v>1938</v>
      </c>
      <c r="D3204">
        <v>9</v>
      </c>
      <c r="F3204" s="56"/>
    </row>
    <row r="3205" spans="1:6" ht="15">
      <c r="A3205" s="51">
        <v>3118079</v>
      </c>
      <c r="B3205" t="s">
        <v>1940</v>
      </c>
      <c r="C3205" s="39" t="s">
        <v>1941</v>
      </c>
      <c r="D3205">
        <v>9</v>
      </c>
      <c r="F3205" s="56"/>
    </row>
    <row r="3206" spans="1:6" ht="15">
      <c r="A3206" s="51">
        <v>291992</v>
      </c>
      <c r="B3206" t="s">
        <v>2375</v>
      </c>
      <c r="C3206" s="39" t="s">
        <v>2376</v>
      </c>
      <c r="D3206">
        <v>9</v>
      </c>
      <c r="F3206" s="56"/>
    </row>
    <row r="3207" spans="1:6" ht="15">
      <c r="A3207" s="51">
        <v>291993</v>
      </c>
      <c r="B3207" t="s">
        <v>2577</v>
      </c>
      <c r="C3207" s="39" t="s">
        <v>2578</v>
      </c>
      <c r="D3207">
        <v>9</v>
      </c>
      <c r="F3207" s="56"/>
    </row>
    <row r="3208" spans="1:6" ht="15">
      <c r="A3208" s="51">
        <v>291994</v>
      </c>
      <c r="B3208" t="s">
        <v>1319</v>
      </c>
      <c r="C3208" s="39" t="s">
        <v>1320</v>
      </c>
      <c r="D3208">
        <v>8</v>
      </c>
      <c r="F3208" s="56"/>
    </row>
    <row r="3209" spans="1:6" ht="15">
      <c r="A3209" s="51">
        <v>291995</v>
      </c>
      <c r="B3209" t="s">
        <v>1321</v>
      </c>
      <c r="C3209" s="39" t="s">
        <v>1320</v>
      </c>
      <c r="D3209">
        <v>8</v>
      </c>
      <c r="F3209" s="56"/>
    </row>
    <row r="3210" spans="1:6" ht="15">
      <c r="A3210" s="51">
        <v>291996</v>
      </c>
      <c r="B3210" t="s">
        <v>1322</v>
      </c>
      <c r="C3210" s="39" t="s">
        <v>1320</v>
      </c>
      <c r="D3210">
        <v>9</v>
      </c>
      <c r="F3210" s="56"/>
    </row>
    <row r="3211" spans="1:6" ht="15">
      <c r="A3211" s="51">
        <v>291997</v>
      </c>
      <c r="B3211" t="s">
        <v>2579</v>
      </c>
      <c r="C3211" s="39" t="s">
        <v>2580</v>
      </c>
      <c r="D3211">
        <v>8</v>
      </c>
      <c r="F3211" s="56"/>
    </row>
    <row r="3212" spans="1:6" ht="15">
      <c r="A3212" s="51">
        <v>291998</v>
      </c>
      <c r="B3212" t="s">
        <v>1323</v>
      </c>
      <c r="C3212" s="39" t="s">
        <v>1324</v>
      </c>
      <c r="D3212">
        <v>8</v>
      </c>
      <c r="F3212" s="56"/>
    </row>
    <row r="3213" spans="1:6" ht="15">
      <c r="A3213" s="51">
        <v>3118080</v>
      </c>
      <c r="B3213" t="s">
        <v>1942</v>
      </c>
      <c r="C3213" s="39" t="s">
        <v>1326</v>
      </c>
      <c r="D3213">
        <v>8</v>
      </c>
      <c r="F3213" s="56"/>
    </row>
    <row r="3214" spans="1:6" ht="15">
      <c r="A3214" s="51">
        <v>3118081</v>
      </c>
      <c r="B3214" t="s">
        <v>1325</v>
      </c>
      <c r="C3214" s="39" t="s">
        <v>1326</v>
      </c>
      <c r="D3214">
        <v>9</v>
      </c>
      <c r="F3214" s="56"/>
    </row>
    <row r="3215" spans="1:6" ht="15">
      <c r="A3215" s="51">
        <v>291999</v>
      </c>
      <c r="B3215" t="s">
        <v>2581</v>
      </c>
      <c r="C3215" s="39" t="s">
        <v>1328</v>
      </c>
      <c r="D3215">
        <v>8</v>
      </c>
      <c r="F3215" s="56"/>
    </row>
    <row r="3216" spans="1:6" ht="15">
      <c r="A3216" s="51">
        <v>292000</v>
      </c>
      <c r="B3216" t="s">
        <v>2582</v>
      </c>
      <c r="C3216" s="39" t="s">
        <v>1328</v>
      </c>
      <c r="D3216">
        <v>8</v>
      </c>
      <c r="F3216" s="56"/>
    </row>
    <row r="3217" spans="1:6" ht="15">
      <c r="A3217" s="51">
        <v>292001</v>
      </c>
      <c r="B3217" t="s">
        <v>1327</v>
      </c>
      <c r="C3217" s="39" t="s">
        <v>1328</v>
      </c>
      <c r="D3217">
        <v>9</v>
      </c>
      <c r="F3217" s="56"/>
    </row>
    <row r="3218" spans="1:6" ht="15">
      <c r="A3218" s="51">
        <v>292002</v>
      </c>
      <c r="B3218" t="s">
        <v>1331</v>
      </c>
      <c r="C3218" s="39" t="s">
        <v>2583</v>
      </c>
      <c r="D3218">
        <v>9</v>
      </c>
      <c r="F3218" s="56"/>
    </row>
    <row r="3219" spans="1:6" ht="15">
      <c r="A3219" s="51">
        <v>292003</v>
      </c>
      <c r="B3219" t="s">
        <v>1333</v>
      </c>
      <c r="C3219" s="39" t="s">
        <v>1334</v>
      </c>
      <c r="D3219">
        <v>9</v>
      </c>
      <c r="F3219" s="56"/>
    </row>
    <row r="3220" spans="1:6" ht="15">
      <c r="A3220" s="51">
        <v>292004</v>
      </c>
      <c r="B3220" t="s">
        <v>2584</v>
      </c>
      <c r="C3220" s="39" t="s">
        <v>1334</v>
      </c>
      <c r="D3220">
        <v>9</v>
      </c>
      <c r="F3220" s="56"/>
    </row>
    <row r="3221" spans="1:6" ht="15">
      <c r="A3221" s="51">
        <v>292005</v>
      </c>
      <c r="B3221" t="s">
        <v>2585</v>
      </c>
      <c r="C3221" s="39" t="s">
        <v>1336</v>
      </c>
      <c r="D3221">
        <v>8</v>
      </c>
      <c r="F3221" s="56"/>
    </row>
    <row r="3222" spans="1:6" ht="15">
      <c r="A3222" s="51">
        <v>292006</v>
      </c>
      <c r="B3222" t="s">
        <v>2586</v>
      </c>
      <c r="C3222" s="39" t="s">
        <v>1336</v>
      </c>
      <c r="D3222">
        <v>9</v>
      </c>
      <c r="F3222" s="56"/>
    </row>
    <row r="3223" spans="1:6" ht="15">
      <c r="A3223" s="51">
        <v>292007</v>
      </c>
      <c r="B3223" t="s">
        <v>1335</v>
      </c>
      <c r="C3223" s="39" t="s">
        <v>1336</v>
      </c>
      <c r="D3223">
        <v>9</v>
      </c>
      <c r="F3223" s="56"/>
    </row>
    <row r="3224" spans="1:6" ht="15">
      <c r="A3224" s="51">
        <v>2518235</v>
      </c>
      <c r="B3224" t="s">
        <v>1266</v>
      </c>
      <c r="C3224" s="39" t="s">
        <v>1267</v>
      </c>
      <c r="D3224">
        <v>7</v>
      </c>
      <c r="F3224" s="56"/>
    </row>
    <row r="3225" spans="1:6" ht="15">
      <c r="A3225" s="51">
        <v>2677591</v>
      </c>
      <c r="B3225">
        <v>13</v>
      </c>
      <c r="C3225" s="39" t="s">
        <v>2587</v>
      </c>
      <c r="D3225">
        <v>9</v>
      </c>
      <c r="F3225" s="56"/>
    </row>
    <row r="3226" spans="1:6" ht="15">
      <c r="A3226" s="51">
        <v>2677610</v>
      </c>
      <c r="B3226" t="s">
        <v>516</v>
      </c>
      <c r="C3226" s="39" t="s">
        <v>2100</v>
      </c>
      <c r="D3226">
        <v>9</v>
      </c>
      <c r="F3226" s="56"/>
    </row>
    <row r="3227" spans="1:6" ht="15">
      <c r="A3227" s="51">
        <v>2677570</v>
      </c>
      <c r="B3227" t="s">
        <v>2568</v>
      </c>
      <c r="C3227" s="39" t="s">
        <v>1632</v>
      </c>
      <c r="D3227" t="s">
        <v>4243</v>
      </c>
      <c r="F3227" s="56"/>
    </row>
    <row r="3228" spans="1:6" ht="15">
      <c r="A3228" s="51">
        <v>2677659</v>
      </c>
      <c r="B3228" t="s">
        <v>2588</v>
      </c>
      <c r="C3228" s="39" t="s">
        <v>2540</v>
      </c>
      <c r="D3228">
        <v>8</v>
      </c>
      <c r="F3228" s="56"/>
    </row>
    <row r="3229" spans="1:6" ht="15">
      <c r="A3229" s="51">
        <v>2677602</v>
      </c>
      <c r="B3229" t="s">
        <v>913</v>
      </c>
      <c r="C3229" s="39" t="s">
        <v>1338</v>
      </c>
      <c r="D3229" t="s">
        <v>4244</v>
      </c>
      <c r="F3229" s="56"/>
    </row>
    <row r="3230" spans="1:6" ht="15">
      <c r="A3230" s="51">
        <v>2677597</v>
      </c>
      <c r="B3230" t="s">
        <v>915</v>
      </c>
      <c r="C3230" s="39" t="s">
        <v>1338</v>
      </c>
      <c r="D3230" t="s">
        <v>4244</v>
      </c>
      <c r="F3230" s="56"/>
    </row>
    <row r="3231" spans="1:6" ht="15">
      <c r="A3231" s="51">
        <v>2677599</v>
      </c>
      <c r="B3231" t="s">
        <v>916</v>
      </c>
      <c r="C3231" s="39" t="s">
        <v>1338</v>
      </c>
      <c r="D3231" t="s">
        <v>4244</v>
      </c>
      <c r="F3231" s="56"/>
    </row>
    <row r="3232" spans="1:6" ht="15">
      <c r="A3232" s="51">
        <v>2677600</v>
      </c>
      <c r="B3232" t="s">
        <v>2589</v>
      </c>
      <c r="C3232" s="39" t="s">
        <v>1338</v>
      </c>
      <c r="D3232">
        <v>8</v>
      </c>
      <c r="F3232" s="56"/>
    </row>
    <row r="3233" spans="1:6" ht="15">
      <c r="A3233" s="51">
        <v>2677596</v>
      </c>
      <c r="B3233" t="s">
        <v>2590</v>
      </c>
      <c r="C3233" s="39" t="s">
        <v>1338</v>
      </c>
      <c r="D3233">
        <v>8</v>
      </c>
      <c r="F3233" s="56"/>
    </row>
    <row r="3234" spans="1:6" ht="15">
      <c r="A3234" s="51">
        <v>2677595</v>
      </c>
      <c r="B3234" t="s">
        <v>917</v>
      </c>
      <c r="C3234" s="39" t="s">
        <v>2177</v>
      </c>
      <c r="D3234">
        <v>8</v>
      </c>
      <c r="F3234" s="56"/>
    </row>
    <row r="3235" spans="1:6" ht="15">
      <c r="A3235" s="51">
        <v>2677598</v>
      </c>
      <c r="B3235" t="s">
        <v>918</v>
      </c>
      <c r="C3235" s="39" t="s">
        <v>2177</v>
      </c>
      <c r="D3235">
        <v>8</v>
      </c>
      <c r="F3235" s="56"/>
    </row>
    <row r="3236" spans="1:6" ht="15">
      <c r="A3236" s="51">
        <v>2677601</v>
      </c>
      <c r="B3236" t="s">
        <v>920</v>
      </c>
      <c r="C3236" s="39" t="s">
        <v>1388</v>
      </c>
      <c r="D3236" t="s">
        <v>4247</v>
      </c>
      <c r="F3236" s="56"/>
    </row>
    <row r="3237" spans="1:6" ht="15">
      <c r="A3237" s="51">
        <v>2518233</v>
      </c>
      <c r="B3237" t="s">
        <v>599</v>
      </c>
      <c r="C3237" s="39" t="s">
        <v>1343</v>
      </c>
      <c r="D3237">
        <v>8</v>
      </c>
      <c r="F3237" s="56"/>
    </row>
    <row r="3238" spans="1:6" ht="15">
      <c r="A3238" s="51">
        <v>2677605</v>
      </c>
      <c r="B3238" t="s">
        <v>609</v>
      </c>
      <c r="C3238" s="39" t="s">
        <v>1299</v>
      </c>
      <c r="D3238">
        <v>8</v>
      </c>
      <c r="F3238" s="56"/>
    </row>
    <row r="3239" spans="1:6" ht="15">
      <c r="A3239" s="51">
        <v>2677604</v>
      </c>
      <c r="B3239" t="s">
        <v>610</v>
      </c>
      <c r="C3239" s="39" t="s">
        <v>1299</v>
      </c>
      <c r="D3239">
        <v>8</v>
      </c>
      <c r="F3239" s="56"/>
    </row>
    <row r="3240" spans="1:6" ht="15">
      <c r="A3240" s="51">
        <v>2677603</v>
      </c>
      <c r="B3240" t="s">
        <v>2591</v>
      </c>
      <c r="C3240" s="39" t="s">
        <v>1308</v>
      </c>
      <c r="D3240">
        <v>9</v>
      </c>
      <c r="F3240" s="56"/>
    </row>
    <row r="3241" spans="1:6" ht="15">
      <c r="A3241" s="51">
        <v>2677606</v>
      </c>
      <c r="B3241" t="s">
        <v>2312</v>
      </c>
      <c r="C3241" s="39" t="s">
        <v>2130</v>
      </c>
      <c r="D3241" t="s">
        <v>4246</v>
      </c>
      <c r="F3241" s="56"/>
    </row>
    <row r="3242" spans="1:6" ht="15">
      <c r="A3242" s="51">
        <v>2677607</v>
      </c>
      <c r="B3242" t="s">
        <v>2592</v>
      </c>
      <c r="C3242" s="39" t="s">
        <v>2130</v>
      </c>
      <c r="D3242" t="s">
        <v>4244</v>
      </c>
      <c r="F3242" s="56"/>
    </row>
    <row r="3243" spans="1:6" ht="15">
      <c r="A3243" s="51">
        <v>2677608</v>
      </c>
      <c r="B3243">
        <v>94</v>
      </c>
      <c r="C3243" s="39" t="s">
        <v>2032</v>
      </c>
      <c r="D3243" t="s">
        <v>4243</v>
      </c>
      <c r="F3243" s="56"/>
    </row>
    <row r="3244" spans="1:6" ht="15">
      <c r="A3244" s="51">
        <v>2677609</v>
      </c>
      <c r="B3244">
        <v>99</v>
      </c>
      <c r="C3244" s="39" t="s">
        <v>2593</v>
      </c>
      <c r="D3244">
        <v>7</v>
      </c>
      <c r="F3244" s="56"/>
    </row>
    <row r="3245" spans="1:6" ht="15">
      <c r="A3245" s="51">
        <v>2514989</v>
      </c>
      <c r="B3245" t="s">
        <v>1898</v>
      </c>
      <c r="C3245" s="39" t="s">
        <v>1899</v>
      </c>
      <c r="D3245" t="s">
        <v>4249</v>
      </c>
      <c r="F3245" s="56"/>
    </row>
    <row r="3246" spans="1:6" ht="15">
      <c r="A3246" s="51">
        <v>2753630</v>
      </c>
      <c r="B3246" t="s">
        <v>2594</v>
      </c>
      <c r="C3246" s="39" t="s">
        <v>1360</v>
      </c>
      <c r="D3246" t="s">
        <v>4246</v>
      </c>
      <c r="F3246" s="56"/>
    </row>
    <row r="3247" spans="1:6" ht="15">
      <c r="A3247" s="51">
        <v>2514990</v>
      </c>
      <c r="B3247" t="s">
        <v>1270</v>
      </c>
      <c r="C3247" s="39" t="s">
        <v>1902</v>
      </c>
      <c r="D3247">
        <v>8</v>
      </c>
      <c r="F3247" s="56"/>
    </row>
    <row r="3248" spans="1:6" ht="15">
      <c r="A3248" s="51">
        <v>2518270</v>
      </c>
      <c r="B3248" t="s">
        <v>2103</v>
      </c>
      <c r="C3248" s="39" t="s">
        <v>2104</v>
      </c>
      <c r="D3248">
        <v>9</v>
      </c>
      <c r="F3248" s="56"/>
    </row>
    <row r="3249" spans="1:6" ht="15">
      <c r="A3249" s="51">
        <v>2677593</v>
      </c>
      <c r="B3249" t="s">
        <v>2595</v>
      </c>
      <c r="C3249" s="39" t="s">
        <v>1301</v>
      </c>
      <c r="D3249">
        <v>8</v>
      </c>
      <c r="F3249" s="56"/>
    </row>
    <row r="3250" spans="1:6" ht="15">
      <c r="A3250" s="51">
        <v>2521637</v>
      </c>
      <c r="B3250" t="s">
        <v>2105</v>
      </c>
      <c r="C3250" s="39" t="s">
        <v>2106</v>
      </c>
      <c r="D3250" t="s">
        <v>4249</v>
      </c>
      <c r="F3250" s="56"/>
    </row>
    <row r="3251" spans="1:6" ht="15">
      <c r="A3251" s="51">
        <v>2514984</v>
      </c>
      <c r="B3251" t="s">
        <v>1903</v>
      </c>
      <c r="C3251" s="39" t="s">
        <v>1904</v>
      </c>
      <c r="D3251">
        <v>9</v>
      </c>
      <c r="F3251" s="56"/>
    </row>
    <row r="3252" spans="1:6" ht="15">
      <c r="A3252" s="51">
        <v>2518234</v>
      </c>
      <c r="B3252" t="s">
        <v>1905</v>
      </c>
      <c r="C3252" s="39" t="s">
        <v>1338</v>
      </c>
      <c r="D3252" t="s">
        <v>4244</v>
      </c>
      <c r="F3252" s="56"/>
    </row>
    <row r="3253" spans="1:6" ht="15">
      <c r="A3253" s="51">
        <v>2518262</v>
      </c>
      <c r="B3253" t="s">
        <v>1906</v>
      </c>
      <c r="C3253" s="39" t="s">
        <v>1338</v>
      </c>
      <c r="D3253" t="s">
        <v>4244</v>
      </c>
      <c r="F3253" s="56"/>
    </row>
    <row r="3254" spans="1:6" ht="15">
      <c r="A3254" s="51">
        <v>2518263</v>
      </c>
      <c r="B3254" t="s">
        <v>1907</v>
      </c>
      <c r="C3254" s="39" t="s">
        <v>1338</v>
      </c>
      <c r="D3254">
        <v>8</v>
      </c>
      <c r="F3254" s="56"/>
    </row>
    <row r="3255" spans="1:6" ht="15">
      <c r="A3255" s="51">
        <v>2677571</v>
      </c>
      <c r="B3255" t="s">
        <v>1908</v>
      </c>
      <c r="C3255" s="39" t="s">
        <v>1338</v>
      </c>
      <c r="D3255">
        <v>9</v>
      </c>
      <c r="F3255" s="56"/>
    </row>
    <row r="3256" spans="1:6" ht="15">
      <c r="A3256" s="51">
        <v>2518237</v>
      </c>
      <c r="B3256" t="s">
        <v>2107</v>
      </c>
      <c r="C3256" s="39" t="s">
        <v>2108</v>
      </c>
      <c r="D3256" t="s">
        <v>4244</v>
      </c>
      <c r="F3256" s="56"/>
    </row>
    <row r="3257" spans="1:6" ht="15">
      <c r="A3257" s="51">
        <v>2514987</v>
      </c>
      <c r="B3257" t="s">
        <v>1909</v>
      </c>
      <c r="C3257" s="39" t="s">
        <v>1910</v>
      </c>
      <c r="D3257" t="s">
        <v>4244</v>
      </c>
      <c r="F3257" s="56"/>
    </row>
    <row r="3258" spans="1:6" ht="15">
      <c r="A3258" s="51">
        <v>2518238</v>
      </c>
      <c r="B3258" t="s">
        <v>1911</v>
      </c>
      <c r="C3258" s="39" t="s">
        <v>1912</v>
      </c>
      <c r="D3258">
        <v>8</v>
      </c>
      <c r="F3258" s="56"/>
    </row>
    <row r="3259" spans="1:6" ht="15">
      <c r="A3259" s="51">
        <v>2518269</v>
      </c>
      <c r="B3259" t="s">
        <v>1913</v>
      </c>
      <c r="C3259" s="39" t="s">
        <v>1274</v>
      </c>
      <c r="D3259" t="s">
        <v>4244</v>
      </c>
      <c r="F3259" s="56"/>
    </row>
    <row r="3260" spans="1:6" ht="15">
      <c r="A3260" s="51">
        <v>2518266</v>
      </c>
      <c r="B3260" t="s">
        <v>1273</v>
      </c>
      <c r="C3260" s="39" t="s">
        <v>1274</v>
      </c>
      <c r="D3260">
        <v>7</v>
      </c>
      <c r="F3260" s="56"/>
    </row>
    <row r="3261" spans="1:6" ht="15">
      <c r="A3261" s="51">
        <v>2518267</v>
      </c>
      <c r="B3261" t="s">
        <v>1914</v>
      </c>
      <c r="C3261" s="39" t="s">
        <v>1274</v>
      </c>
      <c r="D3261">
        <v>8</v>
      </c>
      <c r="F3261" s="56"/>
    </row>
    <row r="3262" spans="1:6" ht="15">
      <c r="A3262" s="51">
        <v>2518268</v>
      </c>
      <c r="B3262" t="s">
        <v>1275</v>
      </c>
      <c r="C3262" s="39" t="s">
        <v>1274</v>
      </c>
      <c r="D3262">
        <v>9</v>
      </c>
      <c r="F3262" s="56"/>
    </row>
    <row r="3263" spans="1:6" ht="15">
      <c r="A3263" s="51">
        <v>2518239</v>
      </c>
      <c r="B3263" t="s">
        <v>2109</v>
      </c>
      <c r="C3263" s="39" t="s">
        <v>2110</v>
      </c>
      <c r="D3263">
        <v>7</v>
      </c>
      <c r="F3263" s="56"/>
    </row>
    <row r="3264" spans="1:6" ht="15">
      <c r="A3264" s="51">
        <v>2514986</v>
      </c>
      <c r="B3264" t="s">
        <v>2111</v>
      </c>
      <c r="C3264" s="39" t="s">
        <v>2110</v>
      </c>
      <c r="D3264">
        <v>8</v>
      </c>
      <c r="F3264" s="56"/>
    </row>
    <row r="3265" spans="1:6" ht="15">
      <c r="A3265" s="51">
        <v>2677572</v>
      </c>
      <c r="B3265" t="s">
        <v>2596</v>
      </c>
      <c r="C3265" s="39" t="s">
        <v>2110</v>
      </c>
      <c r="D3265">
        <v>8</v>
      </c>
      <c r="F3265" s="56"/>
    </row>
    <row r="3266" spans="1:6" ht="15">
      <c r="A3266" s="51">
        <v>2677573</v>
      </c>
      <c r="B3266" t="s">
        <v>2112</v>
      </c>
      <c r="C3266" s="39" t="s">
        <v>2113</v>
      </c>
      <c r="D3266">
        <v>8</v>
      </c>
      <c r="F3266" s="56"/>
    </row>
    <row r="3267" spans="1:6" ht="15">
      <c r="A3267" s="51">
        <v>2518240</v>
      </c>
      <c r="B3267" t="s">
        <v>2117</v>
      </c>
      <c r="C3267" s="39" t="s">
        <v>2118</v>
      </c>
      <c r="D3267" t="s">
        <v>4247</v>
      </c>
      <c r="F3267" s="56"/>
    </row>
    <row r="3268" spans="1:6" ht="15">
      <c r="A3268" s="51">
        <v>2514983</v>
      </c>
      <c r="B3268" t="s">
        <v>2597</v>
      </c>
      <c r="C3268" s="39" t="s">
        <v>2598</v>
      </c>
      <c r="D3268" t="s">
        <v>4244</v>
      </c>
      <c r="F3268" s="56"/>
    </row>
    <row r="3269" spans="1:6" ht="15">
      <c r="A3269" s="51">
        <v>2518241</v>
      </c>
      <c r="B3269" t="s">
        <v>1276</v>
      </c>
      <c r="C3269" s="39" t="s">
        <v>2283</v>
      </c>
      <c r="D3269">
        <v>7</v>
      </c>
      <c r="F3269" s="56"/>
    </row>
    <row r="3270" spans="1:6" ht="15">
      <c r="A3270" s="51">
        <v>2518242</v>
      </c>
      <c r="B3270" t="s">
        <v>2120</v>
      </c>
      <c r="C3270" s="39" t="s">
        <v>2599</v>
      </c>
      <c r="D3270">
        <v>8</v>
      </c>
      <c r="F3270" s="56"/>
    </row>
    <row r="3271" spans="1:6" ht="15">
      <c r="A3271" s="51">
        <v>2518271</v>
      </c>
      <c r="B3271" t="s">
        <v>2122</v>
      </c>
      <c r="C3271" s="39" t="s">
        <v>1388</v>
      </c>
      <c r="D3271" t="s">
        <v>4247</v>
      </c>
      <c r="F3271" s="56"/>
    </row>
    <row r="3272" spans="1:6" ht="15">
      <c r="A3272" s="51">
        <v>2677574</v>
      </c>
      <c r="B3272" t="s">
        <v>2123</v>
      </c>
      <c r="C3272" s="39" t="s">
        <v>2124</v>
      </c>
      <c r="D3272">
        <v>8</v>
      </c>
      <c r="F3272" s="56"/>
    </row>
    <row r="3273" spans="1:6" ht="15">
      <c r="A3273" s="51">
        <v>2677594</v>
      </c>
      <c r="B3273">
        <v>398</v>
      </c>
      <c r="C3273" s="39" t="s">
        <v>2600</v>
      </c>
      <c r="D3273">
        <v>7</v>
      </c>
      <c r="F3273" s="56"/>
    </row>
    <row r="3274" spans="1:6" ht="15">
      <c r="A3274" s="51">
        <v>2517676</v>
      </c>
      <c r="B3274" t="s">
        <v>2127</v>
      </c>
      <c r="C3274" s="39" t="s">
        <v>2128</v>
      </c>
      <c r="D3274">
        <v>9</v>
      </c>
      <c r="F3274" s="56"/>
    </row>
    <row r="3275" spans="1:6" ht="15">
      <c r="A3275" s="51">
        <v>2514978</v>
      </c>
      <c r="B3275" t="s">
        <v>1915</v>
      </c>
      <c r="C3275" s="39" t="s">
        <v>2601</v>
      </c>
      <c r="D3275">
        <v>9</v>
      </c>
      <c r="F3275" s="56"/>
    </row>
    <row r="3276" spans="1:6" ht="15">
      <c r="A3276" s="51">
        <v>2518243</v>
      </c>
      <c r="B3276" t="s">
        <v>1278</v>
      </c>
      <c r="C3276" s="39" t="s">
        <v>1279</v>
      </c>
      <c r="D3276">
        <v>9</v>
      </c>
      <c r="F3276" s="56"/>
    </row>
    <row r="3277" spans="1:6" ht="15">
      <c r="A3277" s="51">
        <v>2518244</v>
      </c>
      <c r="B3277" t="s">
        <v>1917</v>
      </c>
      <c r="C3277" s="39" t="s">
        <v>1279</v>
      </c>
      <c r="D3277">
        <v>9</v>
      </c>
      <c r="F3277" s="56"/>
    </row>
    <row r="3278" spans="1:6" ht="15">
      <c r="A3278" s="51">
        <v>2518273</v>
      </c>
      <c r="B3278" t="s">
        <v>1280</v>
      </c>
      <c r="C3278" s="39" t="s">
        <v>2133</v>
      </c>
      <c r="D3278">
        <v>8</v>
      </c>
      <c r="F3278" s="56"/>
    </row>
    <row r="3279" spans="1:6" ht="15">
      <c r="A3279" s="51">
        <v>2518245</v>
      </c>
      <c r="B3279" t="s">
        <v>1282</v>
      </c>
      <c r="C3279" s="39" t="s">
        <v>1918</v>
      </c>
      <c r="D3279">
        <v>8</v>
      </c>
      <c r="F3279" s="56"/>
    </row>
    <row r="3280" spans="1:6" ht="15">
      <c r="A3280" s="51">
        <v>2518274</v>
      </c>
      <c r="B3280" t="s">
        <v>2134</v>
      </c>
      <c r="C3280" s="39" t="s">
        <v>1918</v>
      </c>
      <c r="D3280">
        <v>9</v>
      </c>
      <c r="F3280" s="56"/>
    </row>
    <row r="3281" spans="1:6" ht="15">
      <c r="A3281" s="51">
        <v>2518277</v>
      </c>
      <c r="B3281" t="s">
        <v>1283</v>
      </c>
      <c r="C3281" s="39" t="s">
        <v>1284</v>
      </c>
      <c r="D3281">
        <v>8</v>
      </c>
      <c r="F3281" s="56"/>
    </row>
    <row r="3282" spans="1:6" ht="15">
      <c r="A3282" s="51">
        <v>2518278</v>
      </c>
      <c r="B3282" t="s">
        <v>1919</v>
      </c>
      <c r="C3282" s="39" t="s">
        <v>1284</v>
      </c>
      <c r="D3282">
        <v>8</v>
      </c>
      <c r="F3282" s="56"/>
    </row>
    <row r="3283" spans="1:6" ht="15">
      <c r="A3283" s="51">
        <v>2518279</v>
      </c>
      <c r="B3283" t="s">
        <v>1285</v>
      </c>
      <c r="C3283" s="39" t="s">
        <v>1286</v>
      </c>
      <c r="D3283">
        <v>9</v>
      </c>
      <c r="F3283" s="56"/>
    </row>
    <row r="3284" spans="1:6" ht="15">
      <c r="A3284" s="51">
        <v>2518246</v>
      </c>
      <c r="B3284" t="s">
        <v>1287</v>
      </c>
      <c r="C3284" s="39" t="s">
        <v>1288</v>
      </c>
      <c r="D3284">
        <v>8</v>
      </c>
      <c r="F3284" s="56"/>
    </row>
    <row r="3285" spans="1:6" ht="15">
      <c r="A3285" s="51">
        <v>2518247</v>
      </c>
      <c r="B3285" t="s">
        <v>1920</v>
      </c>
      <c r="C3285" s="39" t="s">
        <v>1921</v>
      </c>
      <c r="D3285">
        <v>8</v>
      </c>
      <c r="F3285" s="56"/>
    </row>
    <row r="3286" spans="1:6" ht="15">
      <c r="A3286" s="51">
        <v>2514985</v>
      </c>
      <c r="B3286" t="s">
        <v>1922</v>
      </c>
      <c r="C3286" s="39" t="s">
        <v>1921</v>
      </c>
      <c r="D3286">
        <v>8</v>
      </c>
      <c r="F3286" s="56"/>
    </row>
    <row r="3287" spans="1:6" ht="15">
      <c r="A3287" s="51">
        <v>2518232</v>
      </c>
      <c r="B3287" t="s">
        <v>1924</v>
      </c>
      <c r="C3287" s="39" t="s">
        <v>1925</v>
      </c>
      <c r="D3287">
        <v>8</v>
      </c>
      <c r="F3287" s="56"/>
    </row>
    <row r="3288" spans="1:6" ht="15">
      <c r="A3288" s="51">
        <v>2521654</v>
      </c>
      <c r="B3288" t="s">
        <v>2135</v>
      </c>
      <c r="C3288" s="39" t="s">
        <v>2136</v>
      </c>
      <c r="D3288">
        <v>8</v>
      </c>
      <c r="F3288" s="56"/>
    </row>
    <row r="3289" spans="1:6" ht="15">
      <c r="A3289" s="51">
        <v>2514982</v>
      </c>
      <c r="B3289" t="s">
        <v>1294</v>
      </c>
      <c r="C3289" s="39" t="s">
        <v>1295</v>
      </c>
      <c r="D3289">
        <v>9</v>
      </c>
      <c r="F3289" s="56"/>
    </row>
    <row r="3290" spans="1:6" ht="15">
      <c r="A3290" s="51">
        <v>2521644</v>
      </c>
      <c r="B3290" t="s">
        <v>2141</v>
      </c>
      <c r="C3290" s="39" t="s">
        <v>2142</v>
      </c>
      <c r="D3290" t="s">
        <v>4249</v>
      </c>
      <c r="F3290" s="56"/>
    </row>
    <row r="3291" spans="1:6" ht="15">
      <c r="A3291" s="51">
        <v>2518248</v>
      </c>
      <c r="B3291" t="s">
        <v>1296</v>
      </c>
      <c r="C3291" s="39" t="s">
        <v>1297</v>
      </c>
      <c r="D3291">
        <v>9</v>
      </c>
      <c r="F3291" s="56"/>
    </row>
    <row r="3292" spans="1:6" ht="15">
      <c r="A3292" s="51">
        <v>3108031</v>
      </c>
      <c r="B3292" t="s">
        <v>1298</v>
      </c>
      <c r="C3292" s="39" t="s">
        <v>1299</v>
      </c>
      <c r="D3292">
        <v>8</v>
      </c>
      <c r="F3292" s="56"/>
    </row>
    <row r="3293" spans="1:6" ht="15">
      <c r="A3293" s="51">
        <v>2518281</v>
      </c>
      <c r="B3293" t="s">
        <v>1926</v>
      </c>
      <c r="C3293" s="39" t="s">
        <v>1299</v>
      </c>
      <c r="D3293">
        <v>9</v>
      </c>
      <c r="F3293" s="56"/>
    </row>
    <row r="3294" spans="1:6" ht="15">
      <c r="A3294" s="51">
        <v>3108036</v>
      </c>
      <c r="B3294" t="s">
        <v>1300</v>
      </c>
      <c r="C3294" s="39" t="s">
        <v>1301</v>
      </c>
      <c r="D3294">
        <v>8</v>
      </c>
      <c r="F3294" s="56"/>
    </row>
    <row r="3295" spans="1:6" ht="15">
      <c r="A3295" s="51">
        <v>3108037</v>
      </c>
      <c r="B3295" t="s">
        <v>1302</v>
      </c>
      <c r="C3295" s="39" t="s">
        <v>1301</v>
      </c>
      <c r="D3295">
        <v>8</v>
      </c>
      <c r="F3295" s="56"/>
    </row>
    <row r="3296" spans="1:6" ht="15">
      <c r="A3296" s="51">
        <v>3108038</v>
      </c>
      <c r="B3296" t="s">
        <v>1927</v>
      </c>
      <c r="C3296" s="39" t="s">
        <v>1301</v>
      </c>
      <c r="D3296">
        <v>9</v>
      </c>
      <c r="F3296" s="56"/>
    </row>
    <row r="3297" spans="1:6" ht="15">
      <c r="A3297" s="51">
        <v>3108034</v>
      </c>
      <c r="B3297" t="s">
        <v>1303</v>
      </c>
      <c r="C3297" s="39" t="s">
        <v>1304</v>
      </c>
      <c r="D3297">
        <v>8</v>
      </c>
      <c r="F3297" s="56"/>
    </row>
    <row r="3298" spans="1:6" ht="15">
      <c r="A3298" s="51">
        <v>2518252</v>
      </c>
      <c r="B3298" t="s">
        <v>1305</v>
      </c>
      <c r="C3298" s="39" t="s">
        <v>1306</v>
      </c>
      <c r="D3298">
        <v>8</v>
      </c>
      <c r="F3298" s="56"/>
    </row>
    <row r="3299" spans="1:6" ht="15">
      <c r="A3299" s="51">
        <v>2677576</v>
      </c>
      <c r="B3299" t="s">
        <v>2143</v>
      </c>
      <c r="C3299" s="39" t="s">
        <v>2144</v>
      </c>
      <c r="D3299">
        <v>9</v>
      </c>
      <c r="F3299" s="56"/>
    </row>
    <row r="3300" spans="1:6" ht="15">
      <c r="A3300" s="51">
        <v>2518282</v>
      </c>
      <c r="B3300" t="s">
        <v>2145</v>
      </c>
      <c r="C3300" s="39" t="s">
        <v>2144</v>
      </c>
      <c r="D3300">
        <v>9</v>
      </c>
      <c r="F3300" s="56"/>
    </row>
    <row r="3301" spans="1:6" ht="15">
      <c r="A3301" s="51">
        <v>2514988</v>
      </c>
      <c r="B3301" t="s">
        <v>2146</v>
      </c>
      <c r="C3301" s="39" t="s">
        <v>2147</v>
      </c>
      <c r="D3301">
        <v>9</v>
      </c>
      <c r="F3301" s="56"/>
    </row>
    <row r="3302" spans="1:6" ht="15">
      <c r="A3302" s="51">
        <v>2518285</v>
      </c>
      <c r="B3302" t="s">
        <v>2148</v>
      </c>
      <c r="C3302" s="39" t="s">
        <v>2149</v>
      </c>
      <c r="D3302">
        <v>9</v>
      </c>
      <c r="F3302" s="56"/>
    </row>
    <row r="3303" spans="1:6" ht="15">
      <c r="A3303" s="51">
        <v>2518284</v>
      </c>
      <c r="B3303" t="s">
        <v>2150</v>
      </c>
      <c r="C3303" s="39" t="s">
        <v>2151</v>
      </c>
      <c r="D3303">
        <v>9</v>
      </c>
      <c r="F3303" s="56"/>
    </row>
    <row r="3304" spans="1:6" ht="15">
      <c r="A3304" s="51">
        <v>2518287</v>
      </c>
      <c r="B3304" t="s">
        <v>1307</v>
      </c>
      <c r="C3304" s="39" t="s">
        <v>1308</v>
      </c>
      <c r="D3304">
        <v>9</v>
      </c>
      <c r="F3304" s="56"/>
    </row>
    <row r="3305" spans="1:6" ht="15">
      <c r="A3305" s="51">
        <v>2518286</v>
      </c>
      <c r="B3305" t="s">
        <v>1309</v>
      </c>
      <c r="C3305" s="39" t="s">
        <v>1308</v>
      </c>
      <c r="D3305">
        <v>9</v>
      </c>
      <c r="F3305" s="56"/>
    </row>
    <row r="3306" spans="1:6" ht="15">
      <c r="A3306" s="51">
        <v>2518253</v>
      </c>
      <c r="B3306" t="s">
        <v>1310</v>
      </c>
      <c r="C3306" s="39" t="s">
        <v>1308</v>
      </c>
      <c r="D3306">
        <v>9</v>
      </c>
      <c r="F3306" s="56"/>
    </row>
    <row r="3307" spans="1:6" ht="15">
      <c r="A3307" s="51">
        <v>2514977</v>
      </c>
      <c r="B3307" t="s">
        <v>1928</v>
      </c>
      <c r="C3307" s="39" t="s">
        <v>2602</v>
      </c>
      <c r="D3307">
        <v>9</v>
      </c>
      <c r="F3307" s="56"/>
    </row>
    <row r="3308" spans="1:6" ht="15">
      <c r="A3308" s="51">
        <v>2514981</v>
      </c>
      <c r="B3308" t="s">
        <v>1930</v>
      </c>
      <c r="C3308" s="39" t="s">
        <v>1312</v>
      </c>
      <c r="D3308">
        <v>9</v>
      </c>
      <c r="F3308" s="56"/>
    </row>
    <row r="3309" spans="1:6" ht="15">
      <c r="A3309" s="51">
        <v>2514980</v>
      </c>
      <c r="B3309" t="s">
        <v>1932</v>
      </c>
      <c r="C3309" s="39" t="s">
        <v>1312</v>
      </c>
      <c r="D3309">
        <v>9</v>
      </c>
      <c r="F3309" s="56"/>
    </row>
    <row r="3310" spans="1:6" ht="15">
      <c r="A3310" s="51">
        <v>2518288</v>
      </c>
      <c r="B3310" t="s">
        <v>1933</v>
      </c>
      <c r="C3310" s="39" t="s">
        <v>2155</v>
      </c>
      <c r="D3310">
        <v>9</v>
      </c>
      <c r="F3310" s="56"/>
    </row>
    <row r="3311" spans="1:6" ht="15">
      <c r="A3311" s="51">
        <v>2518257</v>
      </c>
      <c r="B3311" t="s">
        <v>1935</v>
      </c>
      <c r="C3311" s="39" t="s">
        <v>2156</v>
      </c>
      <c r="D3311">
        <v>9</v>
      </c>
      <c r="F3311" s="56"/>
    </row>
    <row r="3312" spans="1:6" ht="15">
      <c r="A3312" s="51">
        <v>2518256</v>
      </c>
      <c r="B3312" t="s">
        <v>1315</v>
      </c>
      <c r="C3312" s="39" t="s">
        <v>1316</v>
      </c>
      <c r="D3312">
        <v>9</v>
      </c>
      <c r="F3312" s="56"/>
    </row>
    <row r="3313" spans="1:6" ht="15">
      <c r="A3313" s="51">
        <v>2521633</v>
      </c>
      <c r="B3313" t="s">
        <v>1936</v>
      </c>
      <c r="C3313" s="39" t="s">
        <v>1316</v>
      </c>
      <c r="D3313">
        <v>9</v>
      </c>
      <c r="F3313" s="56"/>
    </row>
    <row r="3314" spans="1:6" ht="15">
      <c r="A3314" s="51">
        <v>2514973</v>
      </c>
      <c r="B3314" t="s">
        <v>1937</v>
      </c>
      <c r="C3314" s="39" t="s">
        <v>1318</v>
      </c>
      <c r="D3314">
        <v>9</v>
      </c>
      <c r="F3314" s="56"/>
    </row>
    <row r="3315" spans="1:6" ht="15">
      <c r="A3315" s="51">
        <v>2514972</v>
      </c>
      <c r="B3315" t="s">
        <v>1940</v>
      </c>
      <c r="C3315" s="39" t="s">
        <v>1941</v>
      </c>
      <c r="D3315">
        <v>9</v>
      </c>
      <c r="F3315" s="56"/>
    </row>
    <row r="3316" spans="1:6" ht="15">
      <c r="A3316" s="51">
        <v>2677577</v>
      </c>
      <c r="B3316" t="s">
        <v>2375</v>
      </c>
      <c r="C3316" s="39" t="s">
        <v>2376</v>
      </c>
      <c r="D3316">
        <v>9</v>
      </c>
      <c r="F3316" s="56"/>
    </row>
    <row r="3317" spans="1:6" ht="15">
      <c r="A3317" s="51">
        <v>2521646</v>
      </c>
      <c r="B3317" t="s">
        <v>2157</v>
      </c>
      <c r="C3317" s="39" t="s">
        <v>2005</v>
      </c>
      <c r="D3317">
        <v>9</v>
      </c>
      <c r="F3317" s="56"/>
    </row>
    <row r="3318" spans="1:6" ht="15">
      <c r="A3318" s="51">
        <v>2521649</v>
      </c>
      <c r="B3318" t="s">
        <v>2158</v>
      </c>
      <c r="C3318" s="39" t="s">
        <v>2159</v>
      </c>
      <c r="D3318">
        <v>9</v>
      </c>
      <c r="F3318" s="56"/>
    </row>
    <row r="3319" spans="1:6" ht="15">
      <c r="A3319" s="51">
        <v>2518258</v>
      </c>
      <c r="B3319" t="s">
        <v>1319</v>
      </c>
      <c r="C3319" s="39" t="s">
        <v>1320</v>
      </c>
      <c r="D3319">
        <v>9</v>
      </c>
      <c r="F3319" s="56"/>
    </row>
    <row r="3320" spans="1:6" ht="15">
      <c r="A3320" s="51">
        <v>2514975</v>
      </c>
      <c r="B3320" t="s">
        <v>1321</v>
      </c>
      <c r="C3320" s="39" t="s">
        <v>1320</v>
      </c>
      <c r="D3320">
        <v>9</v>
      </c>
      <c r="F3320" s="56"/>
    </row>
    <row r="3321" spans="1:6" ht="15">
      <c r="A3321" s="51">
        <v>2514976</v>
      </c>
      <c r="B3321" t="s">
        <v>1322</v>
      </c>
      <c r="C3321" s="39" t="s">
        <v>1320</v>
      </c>
      <c r="D3321">
        <v>9</v>
      </c>
      <c r="F3321" s="56"/>
    </row>
    <row r="3322" spans="1:6" ht="15">
      <c r="A3322" s="51">
        <v>2521652</v>
      </c>
      <c r="B3322" t="s">
        <v>2579</v>
      </c>
      <c r="C3322" s="39" t="s">
        <v>2603</v>
      </c>
      <c r="D3322">
        <v>8</v>
      </c>
      <c r="F3322" s="56"/>
    </row>
    <row r="3323" spans="1:6" ht="15">
      <c r="A3323" s="51">
        <v>2514979</v>
      </c>
      <c r="B3323" t="s">
        <v>1323</v>
      </c>
      <c r="C3323" s="39" t="s">
        <v>2160</v>
      </c>
      <c r="D3323">
        <v>9</v>
      </c>
      <c r="F3323" s="56"/>
    </row>
    <row r="3324" spans="1:6" ht="15">
      <c r="A3324" s="51">
        <v>2518260</v>
      </c>
      <c r="B3324" t="s">
        <v>1942</v>
      </c>
      <c r="C3324" s="39" t="s">
        <v>1326</v>
      </c>
      <c r="D3324">
        <v>8</v>
      </c>
      <c r="F3324" s="56"/>
    </row>
    <row r="3325" spans="1:6" ht="15">
      <c r="A3325" s="51">
        <v>2518259</v>
      </c>
      <c r="B3325" t="s">
        <v>1325</v>
      </c>
      <c r="C3325" s="39" t="s">
        <v>1326</v>
      </c>
      <c r="D3325">
        <v>9</v>
      </c>
      <c r="F3325" s="56"/>
    </row>
    <row r="3326" spans="1:6" ht="15">
      <c r="A3326" s="51">
        <v>2677579</v>
      </c>
      <c r="B3326" t="s">
        <v>1327</v>
      </c>
      <c r="C3326" s="39" t="s">
        <v>1328</v>
      </c>
      <c r="D3326">
        <v>9</v>
      </c>
      <c r="F3326" s="56"/>
    </row>
    <row r="3327" spans="1:6" ht="15">
      <c r="A3327" s="51">
        <v>2677580</v>
      </c>
      <c r="B3327" t="s">
        <v>1329</v>
      </c>
      <c r="C3327" s="39" t="s">
        <v>1330</v>
      </c>
      <c r="D3327">
        <v>9</v>
      </c>
      <c r="F3327" s="56"/>
    </row>
    <row r="3328" spans="1:6" ht="15">
      <c r="A3328" s="51">
        <v>2677582</v>
      </c>
      <c r="B3328" t="s">
        <v>2385</v>
      </c>
      <c r="C3328" s="39" t="s">
        <v>1338</v>
      </c>
      <c r="D3328" t="s">
        <v>4244</v>
      </c>
      <c r="F3328" s="56"/>
    </row>
    <row r="3329" spans="1:6" ht="15">
      <c r="A3329" s="51">
        <v>2677583</v>
      </c>
      <c r="B3329" t="s">
        <v>2390</v>
      </c>
      <c r="C3329" s="39" t="s">
        <v>2389</v>
      </c>
      <c r="D3329" t="s">
        <v>4244</v>
      </c>
      <c r="F3329" s="56"/>
    </row>
    <row r="3330" spans="1:6" ht="15">
      <c r="A3330" s="51">
        <v>2677585</v>
      </c>
      <c r="B3330" t="s">
        <v>2406</v>
      </c>
      <c r="C3330" s="39" t="s">
        <v>2407</v>
      </c>
      <c r="D3330" t="s">
        <v>4244</v>
      </c>
      <c r="F3330" s="56"/>
    </row>
    <row r="3331" spans="1:6" ht="15">
      <c r="A3331" s="51">
        <v>2677584</v>
      </c>
      <c r="B3331" t="s">
        <v>2408</v>
      </c>
      <c r="C3331" s="39" t="s">
        <v>2407</v>
      </c>
      <c r="D3331">
        <v>7</v>
      </c>
      <c r="F3331" s="56"/>
    </row>
    <row r="3332" spans="1:6" ht="15">
      <c r="A3332" s="51">
        <v>2677586</v>
      </c>
      <c r="B3332" t="s">
        <v>2409</v>
      </c>
      <c r="C3332" s="39" t="s">
        <v>2407</v>
      </c>
      <c r="D3332">
        <v>8</v>
      </c>
      <c r="F3332" s="56"/>
    </row>
    <row r="3333" spans="1:6" ht="15">
      <c r="A3333" s="51">
        <v>2677588</v>
      </c>
      <c r="B3333" t="s">
        <v>2410</v>
      </c>
      <c r="C3333" s="39" t="s">
        <v>2411</v>
      </c>
      <c r="D3333" t="s">
        <v>4244</v>
      </c>
      <c r="F3333" s="56"/>
    </row>
    <row r="3334" spans="1:6" ht="15">
      <c r="A3334" s="51">
        <v>2677590</v>
      </c>
      <c r="B3334" t="s">
        <v>2412</v>
      </c>
      <c r="C3334" s="39" t="s">
        <v>2411</v>
      </c>
      <c r="D3334">
        <v>7</v>
      </c>
      <c r="F3334" s="56"/>
    </row>
    <row r="3335" spans="1:6" ht="15">
      <c r="A3335" s="51">
        <v>2677587</v>
      </c>
      <c r="B3335" t="s">
        <v>2421</v>
      </c>
      <c r="C3335" s="39" t="s">
        <v>2422</v>
      </c>
      <c r="D3335" t="s">
        <v>4249</v>
      </c>
      <c r="F3335" s="56"/>
    </row>
    <row r="3336" spans="1:6" ht="15">
      <c r="A3336" s="51">
        <v>2677589</v>
      </c>
      <c r="B3336" t="s">
        <v>2445</v>
      </c>
      <c r="C3336" s="39" t="s">
        <v>1486</v>
      </c>
      <c r="D3336">
        <v>8</v>
      </c>
      <c r="F3336" s="56"/>
    </row>
    <row r="3337" spans="1:6" ht="15">
      <c r="A3337" s="51">
        <v>2677581</v>
      </c>
      <c r="B3337" t="s">
        <v>2164</v>
      </c>
      <c r="C3337" s="39" t="s">
        <v>2165</v>
      </c>
      <c r="D3337">
        <v>9</v>
      </c>
      <c r="F3337" s="56"/>
    </row>
    <row r="3338" spans="1:6" ht="15">
      <c r="A3338" s="51">
        <v>2518289</v>
      </c>
      <c r="B3338" t="s">
        <v>2604</v>
      </c>
      <c r="C3338" s="39" t="s">
        <v>318</v>
      </c>
      <c r="D3338">
        <v>7</v>
      </c>
      <c r="F3338" s="56"/>
    </row>
    <row r="3339" spans="1:6" ht="15">
      <c r="A3339" s="51">
        <v>2518290</v>
      </c>
      <c r="B3339" t="s">
        <v>87</v>
      </c>
      <c r="C3339" s="39" t="s">
        <v>835</v>
      </c>
      <c r="D3339">
        <v>9</v>
      </c>
      <c r="F3339" s="56"/>
    </row>
    <row r="3340" spans="1:6" ht="15">
      <c r="A3340" s="51">
        <v>2518291</v>
      </c>
      <c r="B3340" t="s">
        <v>1788</v>
      </c>
      <c r="C3340" s="39" t="s">
        <v>1352</v>
      </c>
      <c r="D3340" t="s">
        <v>469</v>
      </c>
      <c r="F3340" s="56"/>
    </row>
    <row r="3341" spans="1:6" ht="15">
      <c r="A3341" s="51">
        <v>2518292</v>
      </c>
      <c r="B3341" t="s">
        <v>1789</v>
      </c>
      <c r="C3341" s="39" t="s">
        <v>1352</v>
      </c>
      <c r="D3341" t="s">
        <v>469</v>
      </c>
      <c r="F3341" s="56"/>
    </row>
    <row r="3342" spans="1:6" ht="15">
      <c r="A3342" s="51">
        <v>2518293</v>
      </c>
      <c r="B3342" t="s">
        <v>977</v>
      </c>
      <c r="C3342" s="39" t="s">
        <v>2605</v>
      </c>
      <c r="D3342">
        <v>8</v>
      </c>
      <c r="F3342" s="56"/>
    </row>
    <row r="3343" spans="1:6" ht="15">
      <c r="A3343" s="51">
        <v>2518295</v>
      </c>
      <c r="B3343" t="s">
        <v>1967</v>
      </c>
      <c r="C3343" s="39" t="s">
        <v>1363</v>
      </c>
      <c r="D3343" t="s">
        <v>4245</v>
      </c>
      <c r="F3343" s="56"/>
    </row>
    <row r="3344" spans="1:6" ht="15">
      <c r="A3344" s="51">
        <v>2518296</v>
      </c>
      <c r="B3344" t="s">
        <v>2606</v>
      </c>
      <c r="C3344" s="39" t="s">
        <v>1363</v>
      </c>
      <c r="D3344" t="s">
        <v>4244</v>
      </c>
      <c r="F3344" s="56"/>
    </row>
    <row r="3345" spans="1:6" ht="15">
      <c r="A3345" s="51">
        <v>2518297</v>
      </c>
      <c r="B3345" t="s">
        <v>1146</v>
      </c>
      <c r="C3345" s="39" t="s">
        <v>2295</v>
      </c>
      <c r="D3345" t="s">
        <v>4246</v>
      </c>
      <c r="F3345" s="56"/>
    </row>
    <row r="3346" spans="1:6" ht="15">
      <c r="A3346" s="51">
        <v>2518298</v>
      </c>
      <c r="B3346" t="s">
        <v>1361</v>
      </c>
      <c r="C3346" s="39" t="s">
        <v>2295</v>
      </c>
      <c r="D3346" t="s">
        <v>4244</v>
      </c>
      <c r="F3346" s="56"/>
    </row>
    <row r="3347" spans="1:6" ht="15">
      <c r="A3347" s="51">
        <v>2518299</v>
      </c>
      <c r="B3347" t="s">
        <v>2607</v>
      </c>
      <c r="C3347" s="39" t="s">
        <v>2295</v>
      </c>
      <c r="D3347" t="s">
        <v>4243</v>
      </c>
      <c r="F3347" s="56"/>
    </row>
    <row r="3348" spans="1:6" ht="15">
      <c r="A3348" s="51">
        <v>2518300</v>
      </c>
      <c r="B3348" t="s">
        <v>1362</v>
      </c>
      <c r="C3348" s="39" t="s">
        <v>2608</v>
      </c>
      <c r="D3348">
        <v>9</v>
      </c>
      <c r="F3348" s="56"/>
    </row>
    <row r="3349" spans="1:6" ht="15">
      <c r="A3349" s="51">
        <v>2518301</v>
      </c>
      <c r="B3349" t="s">
        <v>330</v>
      </c>
      <c r="C3349" s="39" t="s">
        <v>331</v>
      </c>
      <c r="D3349" t="s">
        <v>4244</v>
      </c>
      <c r="F3349" s="56"/>
    </row>
    <row r="3350" spans="1:6" ht="15">
      <c r="A3350" s="51">
        <v>2518302</v>
      </c>
      <c r="B3350" t="s">
        <v>332</v>
      </c>
      <c r="C3350" s="39" t="s">
        <v>331</v>
      </c>
      <c r="D3350" t="s">
        <v>4244</v>
      </c>
      <c r="F3350" s="56"/>
    </row>
    <row r="3351" spans="1:6" ht="15">
      <c r="A3351" s="51">
        <v>2518303</v>
      </c>
      <c r="B3351" t="s">
        <v>333</v>
      </c>
      <c r="C3351" s="39" t="s">
        <v>331</v>
      </c>
      <c r="D3351">
        <v>7</v>
      </c>
      <c r="F3351" s="56"/>
    </row>
    <row r="3352" spans="1:6" ht="15">
      <c r="A3352" s="51">
        <v>2518304</v>
      </c>
      <c r="B3352" t="s">
        <v>838</v>
      </c>
      <c r="C3352" s="39" t="s">
        <v>2609</v>
      </c>
      <c r="D3352" t="s">
        <v>4246</v>
      </c>
      <c r="F3352" s="56"/>
    </row>
    <row r="3353" spans="1:6" ht="15">
      <c r="A3353" s="51">
        <v>2518305</v>
      </c>
      <c r="B3353" t="s">
        <v>839</v>
      </c>
      <c r="C3353" s="39" t="s">
        <v>2609</v>
      </c>
      <c r="D3353" t="s">
        <v>4244</v>
      </c>
      <c r="F3353" s="56"/>
    </row>
    <row r="3354" spans="1:6" ht="15">
      <c r="A3354" s="51">
        <v>2518306</v>
      </c>
      <c r="B3354" t="s">
        <v>1243</v>
      </c>
      <c r="C3354" s="39" t="s">
        <v>104</v>
      </c>
      <c r="D3354" t="s">
        <v>4243</v>
      </c>
      <c r="F3354" s="56"/>
    </row>
    <row r="3355" spans="1:6" ht="15">
      <c r="A3355" s="51">
        <v>2518307</v>
      </c>
      <c r="B3355" t="s">
        <v>2520</v>
      </c>
      <c r="C3355" s="39" t="s">
        <v>2610</v>
      </c>
      <c r="D3355">
        <v>7</v>
      </c>
      <c r="F3355" s="56"/>
    </row>
    <row r="3356" spans="1:6" ht="15">
      <c r="A3356" s="51">
        <v>2518308</v>
      </c>
      <c r="B3356" t="s">
        <v>119</v>
      </c>
      <c r="C3356" s="39" t="s">
        <v>120</v>
      </c>
      <c r="D3356" t="s">
        <v>4246</v>
      </c>
      <c r="F3356" s="56"/>
    </row>
    <row r="3357" spans="1:6" ht="15">
      <c r="A3357" s="51">
        <v>2518309</v>
      </c>
      <c r="B3357" t="s">
        <v>2611</v>
      </c>
      <c r="C3357" s="39" t="s">
        <v>851</v>
      </c>
      <c r="D3357">
        <v>9</v>
      </c>
      <c r="F3357" s="56"/>
    </row>
    <row r="3358" spans="1:6" ht="15">
      <c r="A3358" s="51">
        <v>2518311</v>
      </c>
      <c r="B3358" t="s">
        <v>1022</v>
      </c>
      <c r="C3358" s="39" t="s">
        <v>132</v>
      </c>
      <c r="D3358" t="s">
        <v>471</v>
      </c>
      <c r="F3358" s="56"/>
    </row>
    <row r="3359" spans="1:6" ht="15">
      <c r="A3359" s="51">
        <v>2518312</v>
      </c>
      <c r="B3359" t="s">
        <v>1732</v>
      </c>
      <c r="C3359" s="39" t="s">
        <v>132</v>
      </c>
      <c r="D3359">
        <v>8</v>
      </c>
      <c r="F3359" s="56"/>
    </row>
    <row r="3360" spans="1:6" ht="15">
      <c r="A3360" s="51">
        <v>2518313</v>
      </c>
      <c r="B3360" t="s">
        <v>2612</v>
      </c>
      <c r="C3360" s="39" t="s">
        <v>134</v>
      </c>
      <c r="D3360">
        <v>9</v>
      </c>
      <c r="F3360" s="56"/>
    </row>
    <row r="3361" spans="1:6" ht="15">
      <c r="A3361" s="51">
        <v>2518314</v>
      </c>
      <c r="B3361" t="s">
        <v>1023</v>
      </c>
      <c r="C3361" s="39" t="s">
        <v>1024</v>
      </c>
      <c r="D3361" t="s">
        <v>4243</v>
      </c>
      <c r="F3361" s="56"/>
    </row>
    <row r="3362" spans="1:6" ht="15">
      <c r="A3362" s="51">
        <v>2518315</v>
      </c>
      <c r="B3362" t="s">
        <v>1025</v>
      </c>
      <c r="C3362" s="39" t="s">
        <v>1026</v>
      </c>
      <c r="D3362" t="s">
        <v>4249</v>
      </c>
      <c r="F3362" s="56"/>
    </row>
    <row r="3363" spans="1:6" ht="15">
      <c r="A3363" s="51">
        <v>2518413</v>
      </c>
      <c r="B3363" t="s">
        <v>2452</v>
      </c>
      <c r="C3363" s="39" t="s">
        <v>228</v>
      </c>
      <c r="D3363">
        <v>9</v>
      </c>
      <c r="F3363" s="56"/>
    </row>
    <row r="3364" spans="1:6" ht="15">
      <c r="A3364" s="51">
        <v>2518317</v>
      </c>
      <c r="B3364" t="s">
        <v>372</v>
      </c>
      <c r="C3364" s="39" t="s">
        <v>896</v>
      </c>
      <c r="D3364">
        <v>8</v>
      </c>
      <c r="F3364" s="56"/>
    </row>
    <row r="3365" spans="1:6" ht="15">
      <c r="A3365" s="51">
        <v>2518318</v>
      </c>
      <c r="B3365" t="s">
        <v>1176</v>
      </c>
      <c r="C3365" s="39" t="s">
        <v>373</v>
      </c>
      <c r="D3365" t="s">
        <v>4248</v>
      </c>
      <c r="F3365" s="56"/>
    </row>
    <row r="3366" spans="1:6" ht="15">
      <c r="A3366" s="51">
        <v>2518319</v>
      </c>
      <c r="B3366" t="s">
        <v>1741</v>
      </c>
      <c r="C3366" s="39" t="s">
        <v>373</v>
      </c>
      <c r="D3366" t="s">
        <v>4248</v>
      </c>
      <c r="F3366" s="56"/>
    </row>
    <row r="3367" spans="1:6" ht="15">
      <c r="A3367" s="51">
        <v>2518320</v>
      </c>
      <c r="B3367" t="s">
        <v>2004</v>
      </c>
      <c r="C3367" s="39" t="s">
        <v>2613</v>
      </c>
      <c r="D3367" t="s">
        <v>4246</v>
      </c>
      <c r="F3367" s="56"/>
    </row>
    <row r="3368" spans="1:6" ht="15">
      <c r="A3368" s="51">
        <v>2518321</v>
      </c>
      <c r="B3368" t="s">
        <v>1416</v>
      </c>
      <c r="C3368" s="39" t="s">
        <v>2613</v>
      </c>
      <c r="D3368" t="s">
        <v>4244</v>
      </c>
      <c r="F3368" s="56"/>
    </row>
    <row r="3369" spans="1:6" ht="15">
      <c r="A3369" s="51">
        <v>2518322</v>
      </c>
      <c r="B3369" t="s">
        <v>2614</v>
      </c>
      <c r="C3369" s="39" t="s">
        <v>2613</v>
      </c>
      <c r="D3369">
        <v>7</v>
      </c>
      <c r="F3369" s="56"/>
    </row>
    <row r="3370" spans="1:6" ht="15">
      <c r="A3370" s="51">
        <v>2518323</v>
      </c>
      <c r="B3370" t="s">
        <v>2615</v>
      </c>
      <c r="C3370" s="39" t="s">
        <v>148</v>
      </c>
      <c r="D3370" t="s">
        <v>4245</v>
      </c>
      <c r="F3370" s="56"/>
    </row>
    <row r="3371" spans="1:6" ht="15">
      <c r="A3371" s="51">
        <v>2518324</v>
      </c>
      <c r="B3371" t="s">
        <v>2616</v>
      </c>
      <c r="C3371" s="39" t="s">
        <v>148</v>
      </c>
      <c r="D3371" t="s">
        <v>4246</v>
      </c>
      <c r="F3371" s="56"/>
    </row>
    <row r="3372" spans="1:6" ht="15">
      <c r="A3372" s="51">
        <v>2518325</v>
      </c>
      <c r="B3372" t="s">
        <v>2617</v>
      </c>
      <c r="C3372" s="39" t="s">
        <v>148</v>
      </c>
      <c r="D3372" t="s">
        <v>4246</v>
      </c>
      <c r="F3372" s="56"/>
    </row>
    <row r="3373" spans="1:6" ht="15">
      <c r="A3373" s="51">
        <v>2518326</v>
      </c>
      <c r="B3373" t="s">
        <v>1036</v>
      </c>
      <c r="C3373" s="39" t="s">
        <v>1035</v>
      </c>
      <c r="D3373" t="s">
        <v>1595</v>
      </c>
      <c r="F3373" s="56"/>
    </row>
    <row r="3374" spans="1:6" ht="15">
      <c r="A3374" s="51">
        <v>2518327</v>
      </c>
      <c r="B3374" t="s">
        <v>2006</v>
      </c>
      <c r="C3374" s="39" t="s">
        <v>1035</v>
      </c>
      <c r="D3374" t="s">
        <v>469</v>
      </c>
      <c r="F3374" s="56"/>
    </row>
    <row r="3375" spans="1:6" ht="15">
      <c r="A3375" s="51">
        <v>2518328</v>
      </c>
      <c r="B3375" t="s">
        <v>2618</v>
      </c>
      <c r="C3375" s="39" t="s">
        <v>2362</v>
      </c>
      <c r="D3375" t="s">
        <v>4244</v>
      </c>
      <c r="F3375" s="56"/>
    </row>
    <row r="3376" spans="1:6" ht="15">
      <c r="A3376" s="51">
        <v>2518329</v>
      </c>
      <c r="B3376" t="s">
        <v>2007</v>
      </c>
      <c r="C3376" s="39" t="s">
        <v>2362</v>
      </c>
      <c r="D3376" t="s">
        <v>4243</v>
      </c>
      <c r="F3376" s="56"/>
    </row>
    <row r="3377" spans="1:6" ht="15">
      <c r="A3377" s="51">
        <v>2518330</v>
      </c>
      <c r="B3377" t="s">
        <v>2619</v>
      </c>
      <c r="C3377" s="39" t="s">
        <v>2362</v>
      </c>
      <c r="D3377">
        <v>7</v>
      </c>
      <c r="F3377" s="56"/>
    </row>
    <row r="3378" spans="1:6" ht="15">
      <c r="A3378" s="51">
        <v>2518331</v>
      </c>
      <c r="B3378" t="s">
        <v>153</v>
      </c>
      <c r="C3378" s="39" t="s">
        <v>2291</v>
      </c>
      <c r="D3378">
        <v>8</v>
      </c>
      <c r="F3378" s="56"/>
    </row>
    <row r="3379" spans="1:6" ht="15">
      <c r="A3379" s="51">
        <v>2518332</v>
      </c>
      <c r="B3379" t="s">
        <v>2620</v>
      </c>
      <c r="C3379" s="39" t="s">
        <v>2291</v>
      </c>
      <c r="D3379">
        <v>8</v>
      </c>
      <c r="F3379" s="56"/>
    </row>
    <row r="3380" spans="1:6" ht="15">
      <c r="A3380" s="51">
        <v>2518333</v>
      </c>
      <c r="B3380" t="s">
        <v>377</v>
      </c>
      <c r="C3380" s="39" t="s">
        <v>151</v>
      </c>
      <c r="D3380" t="s">
        <v>1595</v>
      </c>
      <c r="F3380" s="56"/>
    </row>
    <row r="3381" spans="1:6" ht="15">
      <c r="A3381" s="51">
        <v>2518334</v>
      </c>
      <c r="B3381" t="s">
        <v>378</v>
      </c>
      <c r="C3381" s="39" t="s">
        <v>151</v>
      </c>
      <c r="D3381" t="s">
        <v>469</v>
      </c>
      <c r="F3381" s="56"/>
    </row>
    <row r="3382" spans="1:6" ht="15">
      <c r="A3382" s="51">
        <v>2518335</v>
      </c>
      <c r="B3382" t="s">
        <v>1216</v>
      </c>
      <c r="C3382" s="39" t="s">
        <v>151</v>
      </c>
      <c r="D3382" t="s">
        <v>471</v>
      </c>
      <c r="F3382" s="56"/>
    </row>
    <row r="3383" spans="1:6" ht="15">
      <c r="A3383" s="51">
        <v>2518336</v>
      </c>
      <c r="B3383" t="s">
        <v>2621</v>
      </c>
      <c r="C3383" s="39" t="s">
        <v>155</v>
      </c>
      <c r="D3383">
        <v>8</v>
      </c>
      <c r="F3383" s="56"/>
    </row>
    <row r="3384" spans="1:6" ht="15">
      <c r="A3384" s="51">
        <v>2518337</v>
      </c>
      <c r="B3384" t="s">
        <v>1037</v>
      </c>
      <c r="C3384" s="39" t="s">
        <v>2622</v>
      </c>
      <c r="D3384">
        <v>8</v>
      </c>
      <c r="F3384" s="56"/>
    </row>
    <row r="3385" spans="1:6" ht="15">
      <c r="A3385" s="51">
        <v>2518338</v>
      </c>
      <c r="B3385" t="s">
        <v>1748</v>
      </c>
      <c r="C3385" s="39" t="s">
        <v>375</v>
      </c>
      <c r="D3385" t="s">
        <v>4243</v>
      </c>
      <c r="F3385" s="56"/>
    </row>
    <row r="3386" spans="1:6" ht="15">
      <c r="A3386" s="51">
        <v>2518339</v>
      </c>
      <c r="B3386" t="s">
        <v>1749</v>
      </c>
      <c r="C3386" s="39" t="s">
        <v>375</v>
      </c>
      <c r="D3386" t="s">
        <v>4243</v>
      </c>
      <c r="F3386" s="56"/>
    </row>
    <row r="3387" spans="1:6" ht="15">
      <c r="A3387" s="51">
        <v>2518340</v>
      </c>
      <c r="B3387" t="s">
        <v>2623</v>
      </c>
      <c r="C3387" s="39" t="s">
        <v>375</v>
      </c>
      <c r="D3387">
        <v>7</v>
      </c>
      <c r="F3387" s="56"/>
    </row>
    <row r="3388" spans="1:6" ht="15">
      <c r="A3388" s="51">
        <v>2518341</v>
      </c>
      <c r="B3388" t="s">
        <v>1750</v>
      </c>
      <c r="C3388" s="39" t="s">
        <v>157</v>
      </c>
      <c r="D3388" t="s">
        <v>4245</v>
      </c>
      <c r="F3388" s="56"/>
    </row>
    <row r="3389" spans="1:6" ht="15">
      <c r="A3389" s="51">
        <v>2518342</v>
      </c>
      <c r="B3389" t="s">
        <v>379</v>
      </c>
      <c r="C3389" s="39" t="s">
        <v>157</v>
      </c>
      <c r="D3389" t="s">
        <v>4245</v>
      </c>
      <c r="F3389" s="56"/>
    </row>
    <row r="3390" spans="1:6" ht="15">
      <c r="A3390" s="51">
        <v>2518343</v>
      </c>
      <c r="B3390" t="s">
        <v>381</v>
      </c>
      <c r="C3390" s="39" t="s">
        <v>157</v>
      </c>
      <c r="D3390" t="s">
        <v>4244</v>
      </c>
      <c r="F3390" s="56"/>
    </row>
    <row r="3391" spans="1:6" ht="15">
      <c r="A3391" s="51">
        <v>2518344</v>
      </c>
      <c r="B3391" t="s">
        <v>1541</v>
      </c>
      <c r="C3391" s="39" t="s">
        <v>157</v>
      </c>
      <c r="D3391" t="s">
        <v>4245</v>
      </c>
      <c r="F3391" s="56"/>
    </row>
    <row r="3392" spans="1:6" ht="15">
      <c r="A3392" s="51">
        <v>2518345</v>
      </c>
      <c r="B3392" t="s">
        <v>1543</v>
      </c>
      <c r="C3392" s="39" t="s">
        <v>157</v>
      </c>
      <c r="D3392" t="s">
        <v>4245</v>
      </c>
      <c r="F3392" s="56"/>
    </row>
    <row r="3393" spans="1:6" ht="15">
      <c r="A3393" s="51">
        <v>2518346</v>
      </c>
      <c r="B3393" t="s">
        <v>1544</v>
      </c>
      <c r="C3393" s="39" t="s">
        <v>157</v>
      </c>
      <c r="D3393" t="s">
        <v>4244</v>
      </c>
      <c r="F3393" s="56"/>
    </row>
    <row r="3394" spans="1:6" ht="15">
      <c r="A3394" s="51">
        <v>2518347</v>
      </c>
      <c r="B3394" t="s">
        <v>1822</v>
      </c>
      <c r="C3394" s="39" t="s">
        <v>2624</v>
      </c>
      <c r="D3394" t="s">
        <v>4243</v>
      </c>
      <c r="F3394" s="56"/>
    </row>
    <row r="3395" spans="1:6" ht="15">
      <c r="A3395" s="51">
        <v>2518348</v>
      </c>
      <c r="B3395" t="s">
        <v>2625</v>
      </c>
      <c r="C3395" s="39" t="s">
        <v>380</v>
      </c>
      <c r="D3395" t="s">
        <v>4246</v>
      </c>
      <c r="F3395" s="56"/>
    </row>
    <row r="3396" spans="1:6" ht="15">
      <c r="A3396" s="51">
        <v>2518349</v>
      </c>
      <c r="B3396" t="s">
        <v>2626</v>
      </c>
      <c r="C3396" s="39" t="s">
        <v>380</v>
      </c>
      <c r="D3396" t="s">
        <v>4243</v>
      </c>
      <c r="F3396" s="56"/>
    </row>
    <row r="3397" spans="1:6" ht="15">
      <c r="A3397" s="51">
        <v>2518350</v>
      </c>
      <c r="B3397" t="s">
        <v>2627</v>
      </c>
      <c r="C3397" s="39" t="s">
        <v>380</v>
      </c>
      <c r="D3397">
        <v>8</v>
      </c>
      <c r="F3397" s="56"/>
    </row>
    <row r="3398" spans="1:6" ht="15">
      <c r="A3398" s="51">
        <v>2518351</v>
      </c>
      <c r="B3398" t="s">
        <v>384</v>
      </c>
      <c r="C3398" s="39" t="s">
        <v>385</v>
      </c>
      <c r="D3398">
        <v>7</v>
      </c>
      <c r="F3398" s="56"/>
    </row>
    <row r="3399" spans="1:6" ht="15">
      <c r="A3399" s="51">
        <v>2518352</v>
      </c>
      <c r="B3399" t="s">
        <v>2628</v>
      </c>
      <c r="C3399" s="39" t="s">
        <v>2629</v>
      </c>
      <c r="D3399">
        <v>8</v>
      </c>
      <c r="F3399" s="56"/>
    </row>
    <row r="3400" spans="1:6" ht="15">
      <c r="A3400" s="51">
        <v>2518353</v>
      </c>
      <c r="B3400" t="s">
        <v>160</v>
      </c>
      <c r="C3400" s="39" t="s">
        <v>2630</v>
      </c>
      <c r="D3400" t="s">
        <v>4247</v>
      </c>
      <c r="F3400" s="56"/>
    </row>
    <row r="3401" spans="1:6" ht="15">
      <c r="A3401" s="51">
        <v>2518354</v>
      </c>
      <c r="B3401" t="s">
        <v>162</v>
      </c>
      <c r="C3401" s="39" t="s">
        <v>2630</v>
      </c>
      <c r="D3401" t="s">
        <v>4244</v>
      </c>
      <c r="F3401" s="56"/>
    </row>
    <row r="3402" spans="1:6" ht="15">
      <c r="A3402" s="51">
        <v>2518355</v>
      </c>
      <c r="B3402" t="s">
        <v>163</v>
      </c>
      <c r="C3402" s="39" t="s">
        <v>2630</v>
      </c>
      <c r="D3402">
        <v>7</v>
      </c>
      <c r="F3402" s="56"/>
    </row>
    <row r="3403" spans="1:6" ht="15">
      <c r="A3403" s="51">
        <v>2518356</v>
      </c>
      <c r="B3403" t="s">
        <v>2631</v>
      </c>
      <c r="C3403" s="39" t="s">
        <v>955</v>
      </c>
      <c r="D3403">
        <v>7</v>
      </c>
      <c r="F3403" s="56"/>
    </row>
    <row r="3404" spans="1:6" ht="15">
      <c r="A3404" s="51">
        <v>2518357</v>
      </c>
      <c r="B3404" t="s">
        <v>1185</v>
      </c>
      <c r="C3404" s="39" t="s">
        <v>166</v>
      </c>
      <c r="D3404" t="s">
        <v>4244</v>
      </c>
      <c r="F3404" s="56"/>
    </row>
    <row r="3405" spans="1:6" ht="15">
      <c r="A3405" s="51">
        <v>2518358</v>
      </c>
      <c r="B3405" t="s">
        <v>1223</v>
      </c>
      <c r="C3405" s="39" t="s">
        <v>166</v>
      </c>
      <c r="D3405" t="s">
        <v>4243</v>
      </c>
      <c r="F3405" s="56"/>
    </row>
    <row r="3406" spans="1:6" ht="15">
      <c r="A3406" s="51">
        <v>2518359</v>
      </c>
      <c r="B3406" t="s">
        <v>389</v>
      </c>
      <c r="C3406" s="39" t="s">
        <v>177</v>
      </c>
      <c r="D3406" t="s">
        <v>1595</v>
      </c>
      <c r="F3406" s="56"/>
    </row>
    <row r="3407" spans="1:6" ht="15">
      <c r="A3407" s="51">
        <v>2518360</v>
      </c>
      <c r="B3407" t="s">
        <v>179</v>
      </c>
      <c r="C3407" s="39" t="s">
        <v>177</v>
      </c>
      <c r="D3407" t="s">
        <v>468</v>
      </c>
      <c r="F3407" s="56"/>
    </row>
    <row r="3408" spans="1:6" ht="15">
      <c r="A3408" s="51">
        <v>2518361</v>
      </c>
      <c r="B3408" t="s">
        <v>391</v>
      </c>
      <c r="C3408" s="39" t="s">
        <v>177</v>
      </c>
      <c r="D3408" t="s">
        <v>469</v>
      </c>
      <c r="F3408" s="56"/>
    </row>
    <row r="3409" spans="1:6" ht="15">
      <c r="A3409" s="51">
        <v>2518362</v>
      </c>
      <c r="B3409" t="s">
        <v>2632</v>
      </c>
      <c r="C3409" s="39" t="s">
        <v>2633</v>
      </c>
      <c r="D3409" t="s">
        <v>4244</v>
      </c>
      <c r="F3409" s="56"/>
    </row>
    <row r="3410" spans="1:6" ht="15">
      <c r="A3410" s="51">
        <v>2518363</v>
      </c>
      <c r="B3410" t="s">
        <v>182</v>
      </c>
      <c r="C3410" s="39" t="s">
        <v>183</v>
      </c>
      <c r="D3410">
        <v>7</v>
      </c>
      <c r="F3410" s="56"/>
    </row>
    <row r="3411" spans="1:6" ht="15">
      <c r="A3411" s="51">
        <v>2518364</v>
      </c>
      <c r="B3411" t="s">
        <v>2022</v>
      </c>
      <c r="C3411" s="39" t="s">
        <v>185</v>
      </c>
      <c r="D3411" t="s">
        <v>4244</v>
      </c>
      <c r="F3411" s="56"/>
    </row>
    <row r="3412" spans="1:6" ht="15">
      <c r="A3412" s="51">
        <v>2518365</v>
      </c>
      <c r="B3412" t="s">
        <v>188</v>
      </c>
      <c r="C3412" s="39" t="s">
        <v>185</v>
      </c>
      <c r="D3412" t="s">
        <v>4244</v>
      </c>
      <c r="F3412" s="56"/>
    </row>
    <row r="3413" spans="1:6" ht="15">
      <c r="A3413" s="51">
        <v>2518366</v>
      </c>
      <c r="B3413" t="s">
        <v>190</v>
      </c>
      <c r="C3413" s="39" t="s">
        <v>185</v>
      </c>
      <c r="D3413" t="s">
        <v>4243</v>
      </c>
      <c r="F3413" s="56"/>
    </row>
    <row r="3414" spans="1:6" ht="15">
      <c r="A3414" s="51">
        <v>2518367</v>
      </c>
      <c r="B3414" t="s">
        <v>2474</v>
      </c>
      <c r="C3414" s="39" t="s">
        <v>189</v>
      </c>
      <c r="D3414" t="s">
        <v>4247</v>
      </c>
      <c r="F3414" s="56"/>
    </row>
    <row r="3415" spans="1:6" ht="15">
      <c r="A3415" s="51">
        <v>2518368</v>
      </c>
      <c r="B3415" t="s">
        <v>2475</v>
      </c>
      <c r="C3415" s="39" t="s">
        <v>189</v>
      </c>
      <c r="D3415" t="s">
        <v>4243</v>
      </c>
      <c r="F3415" s="56"/>
    </row>
    <row r="3416" spans="1:6" ht="15">
      <c r="A3416" s="51">
        <v>2518369</v>
      </c>
      <c r="B3416" t="s">
        <v>2476</v>
      </c>
      <c r="C3416" s="39" t="s">
        <v>189</v>
      </c>
      <c r="D3416">
        <v>7</v>
      </c>
      <c r="F3416" s="56"/>
    </row>
    <row r="3417" spans="1:6" ht="15">
      <c r="A3417" s="51">
        <v>2518370</v>
      </c>
      <c r="B3417" t="s">
        <v>196</v>
      </c>
      <c r="C3417" s="39" t="s">
        <v>1442</v>
      </c>
      <c r="D3417" t="s">
        <v>4244</v>
      </c>
      <c r="F3417" s="56"/>
    </row>
    <row r="3418" spans="1:6" ht="15">
      <c r="A3418" s="51">
        <v>2518371</v>
      </c>
      <c r="B3418" t="s">
        <v>199</v>
      </c>
      <c r="C3418" s="39" t="s">
        <v>2301</v>
      </c>
      <c r="D3418" t="s">
        <v>1596</v>
      </c>
      <c r="F3418" s="56"/>
    </row>
    <row r="3419" spans="1:6" ht="15">
      <c r="A3419" s="51">
        <v>2518372</v>
      </c>
      <c r="B3419" t="s">
        <v>201</v>
      </c>
      <c r="C3419" s="39" t="s">
        <v>2301</v>
      </c>
      <c r="D3419" t="s">
        <v>469</v>
      </c>
      <c r="F3419" s="56"/>
    </row>
    <row r="3420" spans="1:6" ht="15">
      <c r="A3420" s="51">
        <v>2518373</v>
      </c>
      <c r="B3420" t="s">
        <v>2479</v>
      </c>
      <c r="C3420" s="39" t="s">
        <v>2301</v>
      </c>
      <c r="D3420" t="s">
        <v>471</v>
      </c>
      <c r="F3420" s="56"/>
    </row>
    <row r="3421" spans="1:6" ht="15">
      <c r="A3421" s="51">
        <v>2518374</v>
      </c>
      <c r="B3421" t="s">
        <v>1567</v>
      </c>
      <c r="C3421" s="39" t="s">
        <v>2311</v>
      </c>
      <c r="D3421" t="s">
        <v>4243</v>
      </c>
      <c r="F3421" s="56"/>
    </row>
    <row r="3422" spans="1:6" ht="15">
      <c r="A3422" s="51">
        <v>2518375</v>
      </c>
      <c r="B3422" t="s">
        <v>404</v>
      </c>
      <c r="C3422" s="39" t="s">
        <v>405</v>
      </c>
      <c r="D3422">
        <v>7</v>
      </c>
      <c r="F3422" s="56"/>
    </row>
    <row r="3423" spans="1:6" ht="15">
      <c r="A3423" s="51">
        <v>2518376</v>
      </c>
      <c r="B3423" t="s">
        <v>406</v>
      </c>
      <c r="C3423" s="39" t="s">
        <v>405</v>
      </c>
      <c r="D3423">
        <v>7</v>
      </c>
      <c r="F3423" s="56"/>
    </row>
    <row r="3424" spans="1:6" ht="15">
      <c r="A3424" s="51">
        <v>2518377</v>
      </c>
      <c r="B3424" t="s">
        <v>2634</v>
      </c>
      <c r="C3424" s="39" t="s">
        <v>405</v>
      </c>
      <c r="D3424">
        <v>8</v>
      </c>
      <c r="F3424" s="56"/>
    </row>
    <row r="3425" spans="1:6" ht="15">
      <c r="A3425" s="51">
        <v>2518378</v>
      </c>
      <c r="B3425" t="s">
        <v>1085</v>
      </c>
      <c r="C3425" s="39" t="s">
        <v>1083</v>
      </c>
      <c r="D3425" t="s">
        <v>1595</v>
      </c>
      <c r="F3425" s="56"/>
    </row>
    <row r="3426" spans="1:6" ht="15">
      <c r="A3426" s="51">
        <v>2518379</v>
      </c>
      <c r="B3426" t="s">
        <v>1086</v>
      </c>
      <c r="C3426" s="39" t="s">
        <v>1083</v>
      </c>
      <c r="D3426" t="s">
        <v>469</v>
      </c>
      <c r="F3426" s="56"/>
    </row>
    <row r="3427" spans="1:6" ht="15">
      <c r="A3427" s="51">
        <v>2518380</v>
      </c>
      <c r="B3427" t="s">
        <v>1087</v>
      </c>
      <c r="C3427" s="39" t="s">
        <v>1083</v>
      </c>
      <c r="D3427" t="s">
        <v>471</v>
      </c>
      <c r="F3427" s="56"/>
    </row>
    <row r="3428" spans="1:6" ht="15">
      <c r="A3428" s="51">
        <v>2518381</v>
      </c>
      <c r="B3428" t="s">
        <v>1097</v>
      </c>
      <c r="C3428" s="39" t="s">
        <v>2314</v>
      </c>
      <c r="D3428" t="s">
        <v>1596</v>
      </c>
      <c r="F3428" s="56"/>
    </row>
    <row r="3429" spans="1:6" ht="15">
      <c r="A3429" s="51">
        <v>2518382</v>
      </c>
      <c r="B3429" t="s">
        <v>1099</v>
      </c>
      <c r="C3429" s="39" t="s">
        <v>2314</v>
      </c>
      <c r="D3429" t="s">
        <v>471</v>
      </c>
      <c r="F3429" s="56"/>
    </row>
    <row r="3430" spans="1:6" ht="15">
      <c r="A3430" s="51">
        <v>2518383</v>
      </c>
      <c r="B3430" t="s">
        <v>2635</v>
      </c>
      <c r="C3430" s="39" t="s">
        <v>2314</v>
      </c>
      <c r="D3430">
        <v>7</v>
      </c>
      <c r="F3430" s="56"/>
    </row>
    <row r="3431" spans="1:6" ht="15">
      <c r="A3431" s="51">
        <v>2518384</v>
      </c>
      <c r="B3431" t="s">
        <v>2636</v>
      </c>
      <c r="C3431" s="39" t="s">
        <v>224</v>
      </c>
      <c r="D3431" t="s">
        <v>4243</v>
      </c>
      <c r="F3431" s="56"/>
    </row>
    <row r="3432" spans="1:6" ht="15">
      <c r="A3432" s="51">
        <v>2518385</v>
      </c>
      <c r="B3432" t="s">
        <v>2492</v>
      </c>
      <c r="C3432" s="39" t="s">
        <v>1098</v>
      </c>
      <c r="D3432" t="s">
        <v>466</v>
      </c>
      <c r="F3432" s="56"/>
    </row>
    <row r="3433" spans="1:6" ht="15">
      <c r="A3433" s="51">
        <v>2518386</v>
      </c>
      <c r="B3433" t="s">
        <v>2047</v>
      </c>
      <c r="C3433" s="39" t="s">
        <v>1098</v>
      </c>
      <c r="D3433" t="s">
        <v>1595</v>
      </c>
      <c r="F3433" s="56"/>
    </row>
    <row r="3434" spans="1:6" ht="15">
      <c r="A3434" s="51">
        <v>2518387</v>
      </c>
      <c r="B3434" t="s">
        <v>2049</v>
      </c>
      <c r="C3434" s="39" t="s">
        <v>1098</v>
      </c>
      <c r="D3434" t="s">
        <v>469</v>
      </c>
      <c r="F3434" s="56"/>
    </row>
    <row r="3435" spans="1:6" ht="15">
      <c r="A3435" s="51">
        <v>2518388</v>
      </c>
      <c r="B3435" t="s">
        <v>2233</v>
      </c>
      <c r="C3435" s="39" t="s">
        <v>2637</v>
      </c>
      <c r="D3435" t="s">
        <v>1596</v>
      </c>
      <c r="F3435" s="56"/>
    </row>
    <row r="3436" spans="1:6" ht="15">
      <c r="A3436" s="51">
        <v>2518389</v>
      </c>
      <c r="B3436" t="s">
        <v>2638</v>
      </c>
      <c r="C3436" s="39" t="s">
        <v>2637</v>
      </c>
      <c r="D3436">
        <v>9</v>
      </c>
      <c r="F3436" s="56"/>
    </row>
    <row r="3437" spans="1:6" ht="15">
      <c r="A3437" s="51">
        <v>2518390</v>
      </c>
      <c r="B3437" t="s">
        <v>2639</v>
      </c>
      <c r="C3437" s="39" t="s">
        <v>1107</v>
      </c>
      <c r="D3437" t="s">
        <v>4245</v>
      </c>
      <c r="F3437" s="56"/>
    </row>
    <row r="3438" spans="1:6" ht="15">
      <c r="A3438" s="51">
        <v>2518391</v>
      </c>
      <c r="B3438" t="s">
        <v>2496</v>
      </c>
      <c r="C3438" s="39" t="s">
        <v>228</v>
      </c>
      <c r="D3438">
        <v>9</v>
      </c>
      <c r="F3438" s="56"/>
    </row>
    <row r="3439" spans="1:6" ht="15">
      <c r="A3439" s="51">
        <v>2518392</v>
      </c>
      <c r="B3439" t="s">
        <v>1197</v>
      </c>
      <c r="C3439" s="39" t="s">
        <v>231</v>
      </c>
      <c r="D3439" t="s">
        <v>4244</v>
      </c>
      <c r="F3439" s="56"/>
    </row>
    <row r="3440" spans="1:6" ht="15">
      <c r="A3440" s="51">
        <v>2518393</v>
      </c>
      <c r="B3440" t="s">
        <v>2640</v>
      </c>
      <c r="C3440" s="39" t="s">
        <v>235</v>
      </c>
      <c r="D3440" t="s">
        <v>4244</v>
      </c>
      <c r="F3440" s="56"/>
    </row>
    <row r="3441" spans="1:6" ht="15">
      <c r="A3441" s="51">
        <v>2518394</v>
      </c>
      <c r="B3441" t="s">
        <v>2237</v>
      </c>
      <c r="C3441" s="39" t="s">
        <v>235</v>
      </c>
      <c r="D3441" t="s">
        <v>4244</v>
      </c>
      <c r="F3441" s="56"/>
    </row>
    <row r="3442" spans="1:6" ht="15">
      <c r="A3442" s="51">
        <v>2518395</v>
      </c>
      <c r="B3442" t="s">
        <v>1111</v>
      </c>
      <c r="C3442" s="39" t="s">
        <v>2641</v>
      </c>
      <c r="D3442">
        <v>9</v>
      </c>
      <c r="F3442" s="56"/>
    </row>
    <row r="3443" spans="1:6" ht="15">
      <c r="A3443" s="51">
        <v>2518396</v>
      </c>
      <c r="B3443" t="s">
        <v>240</v>
      </c>
      <c r="C3443" s="39" t="s">
        <v>2642</v>
      </c>
      <c r="D3443">
        <v>9</v>
      </c>
      <c r="F3443" s="56"/>
    </row>
    <row r="3444" spans="1:6" ht="15">
      <c r="A3444" s="51">
        <v>2518397</v>
      </c>
      <c r="B3444" t="s">
        <v>1204</v>
      </c>
      <c r="C3444" s="39" t="s">
        <v>2643</v>
      </c>
      <c r="D3444">
        <v>9</v>
      </c>
      <c r="F3444" s="56"/>
    </row>
    <row r="3445" spans="1:6" ht="15">
      <c r="A3445" s="51">
        <v>2518398</v>
      </c>
      <c r="B3445" t="s">
        <v>1119</v>
      </c>
      <c r="C3445" s="39" t="s">
        <v>1589</v>
      </c>
      <c r="D3445">
        <v>7</v>
      </c>
      <c r="F3445" s="56"/>
    </row>
    <row r="3446" spans="1:6" ht="15">
      <c r="A3446" s="51">
        <v>2518399</v>
      </c>
      <c r="B3446" t="s">
        <v>432</v>
      </c>
      <c r="C3446" s="39" t="s">
        <v>433</v>
      </c>
      <c r="D3446" t="s">
        <v>4245</v>
      </c>
      <c r="F3446" s="56"/>
    </row>
    <row r="3447" spans="1:6" ht="15">
      <c r="A3447" s="51">
        <v>2518400</v>
      </c>
      <c r="B3447" t="s">
        <v>2552</v>
      </c>
      <c r="C3447" s="39" t="s">
        <v>433</v>
      </c>
      <c r="D3447" t="s">
        <v>4245</v>
      </c>
      <c r="F3447" s="56"/>
    </row>
    <row r="3448" spans="1:6" ht="15">
      <c r="A3448" s="51">
        <v>2518412</v>
      </c>
      <c r="B3448" t="s">
        <v>257</v>
      </c>
      <c r="C3448" s="39" t="s">
        <v>440</v>
      </c>
      <c r="D3448">
        <v>9</v>
      </c>
      <c r="F3448" s="56"/>
    </row>
    <row r="3449" spans="1:6" ht="15">
      <c r="A3449" s="51">
        <v>2518401</v>
      </c>
      <c r="B3449" t="s">
        <v>1133</v>
      </c>
      <c r="C3449" s="39" t="s">
        <v>278</v>
      </c>
      <c r="D3449" t="s">
        <v>468</v>
      </c>
      <c r="F3449" s="56"/>
    </row>
    <row r="3450" spans="1:6" ht="15">
      <c r="A3450" s="51">
        <v>2518402</v>
      </c>
      <c r="B3450" t="s">
        <v>1135</v>
      </c>
      <c r="C3450" s="39" t="s">
        <v>278</v>
      </c>
      <c r="D3450" t="s">
        <v>468</v>
      </c>
      <c r="F3450" s="56"/>
    </row>
    <row r="3451" spans="1:6" ht="15">
      <c r="A3451" s="51">
        <v>2518403</v>
      </c>
      <c r="B3451" t="s">
        <v>2268</v>
      </c>
      <c r="C3451" s="39" t="s">
        <v>278</v>
      </c>
      <c r="D3451" t="s">
        <v>469</v>
      </c>
      <c r="F3451" s="56"/>
    </row>
    <row r="3452" spans="1:6" ht="15">
      <c r="A3452" s="51">
        <v>2518404</v>
      </c>
      <c r="B3452" t="s">
        <v>2644</v>
      </c>
      <c r="C3452" s="39" t="s">
        <v>278</v>
      </c>
      <c r="D3452">
        <v>7</v>
      </c>
      <c r="F3452" s="56"/>
    </row>
    <row r="3453" spans="1:6" ht="15">
      <c r="A3453" s="51">
        <v>2518405</v>
      </c>
      <c r="B3453" t="s">
        <v>887</v>
      </c>
      <c r="C3453" s="39" t="s">
        <v>283</v>
      </c>
      <c r="D3453">
        <v>8</v>
      </c>
      <c r="F3453" s="56"/>
    </row>
    <row r="3454" spans="1:6" ht="15">
      <c r="A3454" s="51">
        <v>2518406</v>
      </c>
      <c r="B3454" t="s">
        <v>1231</v>
      </c>
      <c r="C3454" s="39" t="s">
        <v>898</v>
      </c>
      <c r="D3454" t="s">
        <v>4246</v>
      </c>
      <c r="F3454" s="56"/>
    </row>
    <row r="3455" spans="1:6" ht="15">
      <c r="A3455" s="51">
        <v>2518407</v>
      </c>
      <c r="B3455" t="s">
        <v>284</v>
      </c>
      <c r="C3455" s="39" t="s">
        <v>898</v>
      </c>
      <c r="D3455" t="s">
        <v>4247</v>
      </c>
      <c r="F3455" s="56"/>
    </row>
    <row r="3456" spans="1:6" ht="15">
      <c r="A3456" s="51">
        <v>2518408</v>
      </c>
      <c r="B3456" t="s">
        <v>2093</v>
      </c>
      <c r="C3456" s="39" t="s">
        <v>2094</v>
      </c>
      <c r="D3456" t="s">
        <v>4244</v>
      </c>
      <c r="F3456" s="56"/>
    </row>
    <row r="3457" spans="1:6" ht="15">
      <c r="A3457" s="51">
        <v>2518409</v>
      </c>
      <c r="B3457" t="s">
        <v>2095</v>
      </c>
      <c r="C3457" s="39" t="s">
        <v>2094</v>
      </c>
      <c r="D3457" t="s">
        <v>4244</v>
      </c>
      <c r="F3457" s="56"/>
    </row>
    <row r="3458" spans="1:6" ht="15">
      <c r="A3458" s="51">
        <v>2518410</v>
      </c>
      <c r="B3458" t="s">
        <v>460</v>
      </c>
      <c r="C3458" s="39" t="s">
        <v>2094</v>
      </c>
      <c r="D3458">
        <v>7</v>
      </c>
      <c r="F3458" s="56"/>
    </row>
    <row r="3459" spans="1:6" ht="15">
      <c r="A3459" s="51">
        <v>3118082</v>
      </c>
      <c r="B3459" t="s">
        <v>2645</v>
      </c>
      <c r="C3459" s="39" t="s">
        <v>2646</v>
      </c>
      <c r="D3459" t="s">
        <v>4243</v>
      </c>
      <c r="F3459" s="56"/>
    </row>
    <row r="3460" spans="1:6" ht="15">
      <c r="A3460" s="51">
        <v>3118083</v>
      </c>
      <c r="B3460" t="s">
        <v>2162</v>
      </c>
      <c r="C3460" s="39" t="s">
        <v>2163</v>
      </c>
      <c r="D3460">
        <v>8</v>
      </c>
      <c r="F3460" s="56"/>
    </row>
    <row r="3461" spans="1:6" ht="15">
      <c r="A3461" s="51">
        <v>3118084</v>
      </c>
      <c r="B3461" t="s">
        <v>2647</v>
      </c>
      <c r="C3461" s="39" t="s">
        <v>2648</v>
      </c>
      <c r="D3461">
        <v>8</v>
      </c>
      <c r="F3461" s="56"/>
    </row>
    <row r="3462" spans="1:6" ht="15">
      <c r="A3462" s="51">
        <v>964702</v>
      </c>
      <c r="B3462" t="s">
        <v>2649</v>
      </c>
      <c r="C3462" s="39" t="s">
        <v>2650</v>
      </c>
      <c r="D3462">
        <v>9</v>
      </c>
      <c r="F3462" s="56"/>
    </row>
    <row r="3463" spans="1:6" ht="15">
      <c r="A3463" s="51">
        <v>964701</v>
      </c>
      <c r="B3463" t="s">
        <v>2651</v>
      </c>
      <c r="C3463" s="39" t="s">
        <v>2652</v>
      </c>
      <c r="D3463">
        <v>7</v>
      </c>
      <c r="F3463" s="56"/>
    </row>
    <row r="3464" spans="1:6" ht="15">
      <c r="A3464" s="51">
        <v>964700</v>
      </c>
      <c r="B3464" t="s">
        <v>2653</v>
      </c>
      <c r="C3464" s="39" t="s">
        <v>2654</v>
      </c>
      <c r="D3464">
        <v>9</v>
      </c>
      <c r="F3464" s="56"/>
    </row>
    <row r="3465" spans="1:6" ht="15">
      <c r="A3465" s="51">
        <v>964695</v>
      </c>
      <c r="B3465" t="s">
        <v>2655</v>
      </c>
      <c r="C3465" s="39" t="s">
        <v>2656</v>
      </c>
      <c r="D3465">
        <v>9</v>
      </c>
      <c r="F3465" s="56"/>
    </row>
    <row r="3466" spans="1:6" ht="15">
      <c r="A3466" s="51">
        <v>964696</v>
      </c>
      <c r="B3466" t="s">
        <v>2657</v>
      </c>
      <c r="C3466" s="39" t="s">
        <v>2658</v>
      </c>
      <c r="D3466">
        <v>8</v>
      </c>
      <c r="F3466" s="56"/>
    </row>
    <row r="3467" spans="1:6" ht="15">
      <c r="A3467" s="51">
        <v>964694</v>
      </c>
      <c r="B3467" t="s">
        <v>2659</v>
      </c>
      <c r="C3467" s="39" t="s">
        <v>1632</v>
      </c>
      <c r="D3467" t="s">
        <v>4249</v>
      </c>
      <c r="F3467" s="56"/>
    </row>
    <row r="3468" spans="1:6" ht="15">
      <c r="A3468" s="51">
        <v>964997</v>
      </c>
      <c r="B3468" t="s">
        <v>2660</v>
      </c>
      <c r="C3468" s="39" t="s">
        <v>2661</v>
      </c>
      <c r="D3468">
        <v>8</v>
      </c>
      <c r="F3468" s="56"/>
    </row>
    <row r="3469" spans="1:6" ht="15">
      <c r="A3469" s="51">
        <v>964699</v>
      </c>
      <c r="B3469" t="s">
        <v>2662</v>
      </c>
      <c r="C3469" s="39" t="s">
        <v>2663</v>
      </c>
      <c r="D3469">
        <v>7</v>
      </c>
      <c r="F3469" s="56"/>
    </row>
    <row r="3470" spans="1:6" ht="15">
      <c r="A3470" s="51">
        <v>964697</v>
      </c>
      <c r="B3470" t="s">
        <v>2664</v>
      </c>
      <c r="C3470" s="39" t="s">
        <v>2665</v>
      </c>
      <c r="D3470">
        <v>7</v>
      </c>
      <c r="F3470" s="56"/>
    </row>
    <row r="3471" spans="1:6" ht="15">
      <c r="A3471" s="51">
        <v>964698</v>
      </c>
      <c r="B3471" t="s">
        <v>2666</v>
      </c>
      <c r="C3471" s="39" t="s">
        <v>2667</v>
      </c>
      <c r="D3471">
        <v>8</v>
      </c>
      <c r="F3471" s="56"/>
    </row>
    <row r="3472" spans="1:6" ht="15">
      <c r="A3472" s="51">
        <v>964693</v>
      </c>
      <c r="B3472" t="s">
        <v>2668</v>
      </c>
      <c r="C3472" s="39" t="s">
        <v>2669</v>
      </c>
      <c r="D3472">
        <v>8</v>
      </c>
      <c r="F3472" s="56"/>
    </row>
    <row r="3473" spans="1:6" ht="15">
      <c r="A3473" s="51">
        <v>964998</v>
      </c>
      <c r="B3473" t="s">
        <v>2670</v>
      </c>
      <c r="C3473" s="39" t="s">
        <v>2671</v>
      </c>
      <c r="D3473">
        <v>8</v>
      </c>
      <c r="F3473" s="56"/>
    </row>
    <row r="3474" spans="1:6" ht="15">
      <c r="A3474" s="51">
        <v>291753</v>
      </c>
      <c r="B3474" t="s">
        <v>2672</v>
      </c>
      <c r="C3474" s="39" t="s">
        <v>2339</v>
      </c>
      <c r="D3474" t="s">
        <v>4248</v>
      </c>
      <c r="F3474" s="56"/>
    </row>
    <row r="3475" spans="1:6" ht="15">
      <c r="A3475" s="51">
        <v>291754</v>
      </c>
      <c r="B3475" t="s">
        <v>1342</v>
      </c>
      <c r="C3475" s="39" t="s">
        <v>2339</v>
      </c>
      <c r="D3475" t="s">
        <v>4245</v>
      </c>
      <c r="F3475" s="56"/>
    </row>
    <row r="3476" spans="1:6" ht="15">
      <c r="A3476" s="51">
        <v>291755</v>
      </c>
      <c r="B3476" t="s">
        <v>2673</v>
      </c>
      <c r="C3476" s="39" t="s">
        <v>318</v>
      </c>
      <c r="D3476">
        <v>7</v>
      </c>
      <c r="F3476" s="56"/>
    </row>
    <row r="3477" spans="1:6" ht="15">
      <c r="A3477" s="51">
        <v>291756</v>
      </c>
      <c r="B3477" t="s">
        <v>1344</v>
      </c>
      <c r="C3477" s="39" t="s">
        <v>318</v>
      </c>
      <c r="D3477">
        <v>7</v>
      </c>
      <c r="F3477" s="56"/>
    </row>
    <row r="3478" spans="1:6" ht="15">
      <c r="A3478" s="51">
        <v>291757</v>
      </c>
      <c r="B3478" t="s">
        <v>1142</v>
      </c>
      <c r="C3478" s="39" t="s">
        <v>971</v>
      </c>
      <c r="D3478" t="s">
        <v>4246</v>
      </c>
      <c r="F3478" s="56"/>
    </row>
    <row r="3479" spans="1:6" ht="15">
      <c r="A3479" s="51">
        <v>291758</v>
      </c>
      <c r="B3479" t="s">
        <v>1143</v>
      </c>
      <c r="C3479" s="39" t="s">
        <v>971</v>
      </c>
      <c r="D3479" t="s">
        <v>4246</v>
      </c>
      <c r="F3479" s="56"/>
    </row>
    <row r="3480" spans="1:6" ht="15">
      <c r="A3480" s="51">
        <v>291759</v>
      </c>
      <c r="B3480" t="s">
        <v>2674</v>
      </c>
      <c r="C3480" s="39" t="s">
        <v>971</v>
      </c>
      <c r="D3480" t="s">
        <v>4244</v>
      </c>
      <c r="F3480" s="56"/>
    </row>
    <row r="3481" spans="1:6" ht="15">
      <c r="A3481" s="51">
        <v>291760</v>
      </c>
      <c r="B3481" t="s">
        <v>2675</v>
      </c>
      <c r="C3481" s="39" t="s">
        <v>971</v>
      </c>
      <c r="D3481" t="s">
        <v>4243</v>
      </c>
      <c r="F3481" s="56"/>
    </row>
    <row r="3482" spans="1:6" ht="15">
      <c r="A3482" s="51">
        <v>291761</v>
      </c>
      <c r="B3482" t="s">
        <v>2676</v>
      </c>
      <c r="C3482" s="39" t="s">
        <v>971</v>
      </c>
      <c r="D3482">
        <v>9</v>
      </c>
      <c r="F3482" s="56"/>
    </row>
    <row r="3483" spans="1:6" ht="15">
      <c r="A3483" s="51">
        <v>291762</v>
      </c>
      <c r="B3483" t="s">
        <v>970</v>
      </c>
      <c r="C3483" s="39" t="s">
        <v>1350</v>
      </c>
      <c r="D3483" t="s">
        <v>1595</v>
      </c>
      <c r="F3483" s="56"/>
    </row>
    <row r="3484" spans="1:6" ht="15">
      <c r="A3484" s="51">
        <v>291763</v>
      </c>
      <c r="B3484" t="s">
        <v>972</v>
      </c>
      <c r="C3484" s="39" t="s">
        <v>1350</v>
      </c>
      <c r="D3484" t="s">
        <v>468</v>
      </c>
      <c r="F3484" s="56"/>
    </row>
    <row r="3485" spans="1:6" ht="15">
      <c r="A3485" s="51">
        <v>291764</v>
      </c>
      <c r="B3485" t="s">
        <v>319</v>
      </c>
      <c r="C3485" s="39" t="s">
        <v>320</v>
      </c>
      <c r="D3485" t="s">
        <v>4243</v>
      </c>
      <c r="F3485" s="56"/>
    </row>
    <row r="3486" spans="1:6" ht="15">
      <c r="A3486" s="51">
        <v>291765</v>
      </c>
      <c r="B3486" t="s">
        <v>321</v>
      </c>
      <c r="C3486" s="39" t="s">
        <v>320</v>
      </c>
      <c r="D3486" t="s">
        <v>4243</v>
      </c>
      <c r="F3486" s="56"/>
    </row>
    <row r="3487" spans="1:6" ht="15">
      <c r="A3487" s="51">
        <v>291766</v>
      </c>
      <c r="B3487" t="s">
        <v>975</v>
      </c>
      <c r="C3487" s="39" t="s">
        <v>536</v>
      </c>
      <c r="D3487" t="s">
        <v>4246</v>
      </c>
      <c r="F3487" s="56"/>
    </row>
    <row r="3488" spans="1:6" ht="15">
      <c r="A3488" s="51">
        <v>291767</v>
      </c>
      <c r="B3488" t="s">
        <v>323</v>
      </c>
      <c r="C3488" s="39" t="s">
        <v>536</v>
      </c>
      <c r="D3488" t="s">
        <v>4244</v>
      </c>
      <c r="F3488" s="56"/>
    </row>
    <row r="3489" spans="1:6" ht="15">
      <c r="A3489" s="51">
        <v>291768</v>
      </c>
      <c r="B3489" t="s">
        <v>1791</v>
      </c>
      <c r="C3489" s="39" t="s">
        <v>1792</v>
      </c>
      <c r="D3489">
        <v>9</v>
      </c>
      <c r="F3489" s="56"/>
    </row>
    <row r="3490" spans="1:6" ht="15">
      <c r="A3490" s="51">
        <v>291769</v>
      </c>
      <c r="B3490" t="s">
        <v>2677</v>
      </c>
      <c r="C3490" s="39" t="s">
        <v>312</v>
      </c>
      <c r="D3490">
        <v>9</v>
      </c>
      <c r="F3490" s="56"/>
    </row>
    <row r="3491" spans="1:6" ht="15">
      <c r="A3491" s="51">
        <v>291770</v>
      </c>
      <c r="B3491" t="s">
        <v>1702</v>
      </c>
      <c r="C3491" s="39" t="s">
        <v>2678</v>
      </c>
      <c r="D3491">
        <v>8</v>
      </c>
      <c r="F3491" s="56"/>
    </row>
    <row r="3492" spans="1:6" ht="15">
      <c r="A3492" s="51">
        <v>291771</v>
      </c>
      <c r="B3492" t="s">
        <v>1794</v>
      </c>
      <c r="C3492" s="39" t="s">
        <v>1360</v>
      </c>
      <c r="D3492" t="s">
        <v>4246</v>
      </c>
      <c r="F3492" s="56"/>
    </row>
    <row r="3493" spans="1:6" ht="15">
      <c r="A3493" s="51">
        <v>291772</v>
      </c>
      <c r="B3493" t="s">
        <v>95</v>
      </c>
      <c r="C3493" s="39" t="s">
        <v>1360</v>
      </c>
      <c r="D3493" t="s">
        <v>4244</v>
      </c>
      <c r="F3493" s="56"/>
    </row>
    <row r="3494" spans="1:6" ht="15">
      <c r="A3494" s="51">
        <v>291773</v>
      </c>
      <c r="B3494" t="s">
        <v>2679</v>
      </c>
      <c r="C3494" s="39" t="s">
        <v>1360</v>
      </c>
      <c r="D3494">
        <v>7</v>
      </c>
      <c r="F3494" s="56"/>
    </row>
    <row r="3495" spans="1:6" ht="15">
      <c r="A3495" s="51">
        <v>291774</v>
      </c>
      <c r="B3495" t="s">
        <v>2680</v>
      </c>
      <c r="C3495" s="39" t="s">
        <v>1360</v>
      </c>
      <c r="D3495">
        <v>9</v>
      </c>
      <c r="F3495" s="56"/>
    </row>
    <row r="3496" spans="1:6" ht="15">
      <c r="A3496" s="51">
        <v>291775</v>
      </c>
      <c r="B3496" t="s">
        <v>1966</v>
      </c>
      <c r="C3496" s="39" t="s">
        <v>1360</v>
      </c>
      <c r="D3496">
        <v>8</v>
      </c>
      <c r="F3496" s="56"/>
    </row>
    <row r="3497" spans="1:6" ht="15">
      <c r="A3497" s="51">
        <v>291776</v>
      </c>
      <c r="B3497" t="s">
        <v>995</v>
      </c>
      <c r="C3497" s="39" t="s">
        <v>2681</v>
      </c>
      <c r="D3497" t="s">
        <v>4246</v>
      </c>
      <c r="F3497" s="56"/>
    </row>
    <row r="3498" spans="1:6" ht="15">
      <c r="A3498" s="51">
        <v>291777</v>
      </c>
      <c r="B3498" t="s">
        <v>1529</v>
      </c>
      <c r="C3498" s="39" t="s">
        <v>2681</v>
      </c>
      <c r="D3498" t="s">
        <v>4244</v>
      </c>
      <c r="F3498" s="56"/>
    </row>
    <row r="3499" spans="1:6" ht="15">
      <c r="A3499" s="51">
        <v>291778</v>
      </c>
      <c r="B3499" t="s">
        <v>1532</v>
      </c>
      <c r="C3499" s="39" t="s">
        <v>2682</v>
      </c>
      <c r="D3499" t="s">
        <v>4246</v>
      </c>
      <c r="F3499" s="56"/>
    </row>
    <row r="3500" spans="1:6" ht="15">
      <c r="A3500" s="51">
        <v>291779</v>
      </c>
      <c r="B3500" t="s">
        <v>2683</v>
      </c>
      <c r="C3500" s="39" t="s">
        <v>2682</v>
      </c>
      <c r="D3500" t="s">
        <v>4244</v>
      </c>
      <c r="F3500" s="56"/>
    </row>
    <row r="3501" spans="1:6" ht="15">
      <c r="A3501" s="51">
        <v>291780</v>
      </c>
      <c r="B3501" t="s">
        <v>2684</v>
      </c>
      <c r="C3501" s="39" t="s">
        <v>2682</v>
      </c>
      <c r="D3501">
        <v>7</v>
      </c>
      <c r="F3501" s="56"/>
    </row>
    <row r="3502" spans="1:6" ht="15">
      <c r="A3502" s="51">
        <v>291781</v>
      </c>
      <c r="B3502" t="s">
        <v>2685</v>
      </c>
      <c r="C3502" s="39" t="s">
        <v>1528</v>
      </c>
      <c r="D3502" t="s">
        <v>4245</v>
      </c>
      <c r="F3502" s="56"/>
    </row>
    <row r="3503" spans="1:6" ht="15">
      <c r="A3503" s="51">
        <v>291782</v>
      </c>
      <c r="B3503" t="s">
        <v>2686</v>
      </c>
      <c r="C3503" s="39" t="s">
        <v>1528</v>
      </c>
      <c r="D3503" t="s">
        <v>4246</v>
      </c>
      <c r="F3503" s="56"/>
    </row>
    <row r="3504" spans="1:6" ht="15">
      <c r="A3504" s="51">
        <v>291783</v>
      </c>
      <c r="B3504" t="s">
        <v>2687</v>
      </c>
      <c r="C3504" s="39" t="s">
        <v>1528</v>
      </c>
      <c r="D3504" t="s">
        <v>4244</v>
      </c>
      <c r="F3504" s="56"/>
    </row>
    <row r="3505" spans="1:6" ht="15">
      <c r="A3505" s="51">
        <v>291784</v>
      </c>
      <c r="B3505" t="s">
        <v>2688</v>
      </c>
      <c r="C3505" s="39" t="s">
        <v>1363</v>
      </c>
      <c r="D3505" t="s">
        <v>4245</v>
      </c>
      <c r="F3505" s="56"/>
    </row>
    <row r="3506" spans="1:6" ht="15">
      <c r="A3506" s="51">
        <v>291785</v>
      </c>
      <c r="B3506" t="s">
        <v>1967</v>
      </c>
      <c r="C3506" s="39" t="s">
        <v>1363</v>
      </c>
      <c r="D3506" t="s">
        <v>4245</v>
      </c>
      <c r="F3506" s="56"/>
    </row>
    <row r="3507" spans="1:6" ht="15">
      <c r="A3507" s="51">
        <v>291786</v>
      </c>
      <c r="B3507" t="s">
        <v>2689</v>
      </c>
      <c r="C3507" s="39" t="s">
        <v>2690</v>
      </c>
      <c r="D3507" t="s">
        <v>4244</v>
      </c>
      <c r="F3507" s="56"/>
    </row>
    <row r="3508" spans="1:6" ht="15">
      <c r="A3508" s="51">
        <v>291787</v>
      </c>
      <c r="B3508" t="s">
        <v>2691</v>
      </c>
      <c r="C3508" s="39" t="s">
        <v>2690</v>
      </c>
      <c r="D3508">
        <v>7</v>
      </c>
      <c r="F3508" s="56"/>
    </row>
    <row r="3509" spans="1:6" ht="15">
      <c r="A3509" s="51">
        <v>291788</v>
      </c>
      <c r="B3509" t="s">
        <v>2692</v>
      </c>
      <c r="C3509" s="39" t="s">
        <v>2693</v>
      </c>
      <c r="D3509" t="s">
        <v>4243</v>
      </c>
      <c r="F3509" s="56"/>
    </row>
    <row r="3510" spans="1:6" ht="15">
      <c r="A3510" s="51">
        <v>291789</v>
      </c>
      <c r="B3510" t="s">
        <v>338</v>
      </c>
      <c r="C3510" s="39" t="s">
        <v>99</v>
      </c>
      <c r="D3510">
        <v>7</v>
      </c>
      <c r="F3510" s="56"/>
    </row>
    <row r="3511" spans="1:6" ht="15">
      <c r="A3511" s="51">
        <v>291790</v>
      </c>
      <c r="B3511" t="s">
        <v>98</v>
      </c>
      <c r="C3511" s="39" t="s">
        <v>99</v>
      </c>
      <c r="D3511">
        <v>7</v>
      </c>
      <c r="F3511" s="56"/>
    </row>
    <row r="3512" spans="1:6" ht="15">
      <c r="A3512" s="51">
        <v>291791</v>
      </c>
      <c r="B3512" t="s">
        <v>100</v>
      </c>
      <c r="C3512" s="39" t="s">
        <v>102</v>
      </c>
      <c r="D3512" t="s">
        <v>4243</v>
      </c>
      <c r="F3512" s="56"/>
    </row>
    <row r="3513" spans="1:6" ht="15">
      <c r="A3513" s="51">
        <v>291792</v>
      </c>
      <c r="B3513" t="s">
        <v>101</v>
      </c>
      <c r="C3513" s="39" t="s">
        <v>104</v>
      </c>
      <c r="D3513" t="s">
        <v>4243</v>
      </c>
      <c r="F3513" s="56"/>
    </row>
    <row r="3514" spans="1:6" ht="15">
      <c r="A3514" s="51">
        <v>291793</v>
      </c>
      <c r="B3514" t="s">
        <v>111</v>
      </c>
      <c r="C3514" s="39" t="s">
        <v>2694</v>
      </c>
      <c r="D3514" t="s">
        <v>4244</v>
      </c>
      <c r="F3514" s="56"/>
    </row>
    <row r="3515" spans="1:6" ht="15">
      <c r="A3515" s="51">
        <v>291794</v>
      </c>
      <c r="B3515" t="s">
        <v>1155</v>
      </c>
      <c r="C3515" s="39" t="s">
        <v>2695</v>
      </c>
      <c r="D3515">
        <v>8</v>
      </c>
      <c r="F3515" s="56"/>
    </row>
    <row r="3516" spans="1:6" ht="15">
      <c r="A3516" s="51">
        <v>291795</v>
      </c>
      <c r="B3516" t="s">
        <v>2696</v>
      </c>
      <c r="C3516" s="39" t="s">
        <v>2695</v>
      </c>
      <c r="D3516">
        <v>9</v>
      </c>
      <c r="F3516" s="56"/>
    </row>
    <row r="3517" spans="1:6" ht="15">
      <c r="A3517" s="51">
        <v>291796</v>
      </c>
      <c r="B3517" t="s">
        <v>345</v>
      </c>
      <c r="C3517" s="39" t="s">
        <v>2697</v>
      </c>
      <c r="D3517" t="s">
        <v>471</v>
      </c>
      <c r="F3517" s="56"/>
    </row>
    <row r="3518" spans="1:6" ht="15">
      <c r="A3518" s="51">
        <v>291797</v>
      </c>
      <c r="B3518" t="s">
        <v>347</v>
      </c>
      <c r="C3518" s="39" t="s">
        <v>2697</v>
      </c>
      <c r="D3518" t="s">
        <v>471</v>
      </c>
      <c r="F3518" s="56"/>
    </row>
    <row r="3519" spans="1:6" ht="15">
      <c r="A3519" s="51">
        <v>291798</v>
      </c>
      <c r="B3519" t="s">
        <v>2188</v>
      </c>
      <c r="C3519" s="39" t="s">
        <v>346</v>
      </c>
      <c r="D3519" t="s">
        <v>4246</v>
      </c>
      <c r="F3519" s="56"/>
    </row>
    <row r="3520" spans="1:6" ht="15">
      <c r="A3520" s="51">
        <v>291799</v>
      </c>
      <c r="B3520" t="s">
        <v>1005</v>
      </c>
      <c r="C3520" s="39" t="s">
        <v>346</v>
      </c>
      <c r="D3520" t="s">
        <v>4246</v>
      </c>
      <c r="F3520" s="56"/>
    </row>
    <row r="3521" spans="1:6" ht="15">
      <c r="A3521" s="51">
        <v>291800</v>
      </c>
      <c r="B3521" t="s">
        <v>110</v>
      </c>
      <c r="C3521" s="39" t="s">
        <v>542</v>
      </c>
      <c r="D3521" t="s">
        <v>4246</v>
      </c>
      <c r="F3521" s="56"/>
    </row>
    <row r="3522" spans="1:6" ht="15">
      <c r="A3522" s="51">
        <v>291801</v>
      </c>
      <c r="B3522" t="s">
        <v>1158</v>
      </c>
      <c r="C3522" s="39" t="s">
        <v>542</v>
      </c>
      <c r="D3522" t="s">
        <v>4244</v>
      </c>
      <c r="F3522" s="56"/>
    </row>
    <row r="3523" spans="1:6" ht="15">
      <c r="A3523" s="51">
        <v>291802</v>
      </c>
      <c r="B3523" t="s">
        <v>2698</v>
      </c>
      <c r="C3523" s="39" t="s">
        <v>542</v>
      </c>
      <c r="D3523" t="s">
        <v>4243</v>
      </c>
      <c r="F3523" s="56"/>
    </row>
    <row r="3524" spans="1:6" ht="15">
      <c r="A3524" s="51">
        <v>291803</v>
      </c>
      <c r="B3524" t="s">
        <v>350</v>
      </c>
      <c r="C3524" s="39" t="s">
        <v>542</v>
      </c>
      <c r="D3524" t="s">
        <v>4247</v>
      </c>
      <c r="F3524" s="56"/>
    </row>
    <row r="3525" spans="1:6" ht="15">
      <c r="A3525" s="51">
        <v>291804</v>
      </c>
      <c r="B3525" t="s">
        <v>116</v>
      </c>
      <c r="C3525" s="39" t="s">
        <v>1980</v>
      </c>
      <c r="D3525" t="s">
        <v>4243</v>
      </c>
      <c r="F3525" s="56"/>
    </row>
    <row r="3526" spans="1:6" ht="15">
      <c r="A3526" s="51">
        <v>291805</v>
      </c>
      <c r="B3526" t="s">
        <v>1807</v>
      </c>
      <c r="C3526" s="39" t="s">
        <v>1803</v>
      </c>
      <c r="D3526" t="s">
        <v>4246</v>
      </c>
      <c r="F3526" s="56"/>
    </row>
    <row r="3527" spans="1:6" ht="15">
      <c r="A3527" s="51">
        <v>291806</v>
      </c>
      <c r="B3527" t="s">
        <v>2699</v>
      </c>
      <c r="C3527" s="39" t="s">
        <v>1803</v>
      </c>
      <c r="D3527" t="s">
        <v>4244</v>
      </c>
      <c r="F3527" s="56"/>
    </row>
    <row r="3528" spans="1:6" ht="15">
      <c r="A3528" s="51">
        <v>291807</v>
      </c>
      <c r="B3528" t="s">
        <v>2700</v>
      </c>
      <c r="C3528" s="39" t="s">
        <v>1803</v>
      </c>
      <c r="D3528" t="s">
        <v>4243</v>
      </c>
      <c r="F3528" s="56"/>
    </row>
    <row r="3529" spans="1:6" ht="15">
      <c r="A3529" s="51">
        <v>291808</v>
      </c>
      <c r="B3529" t="s">
        <v>1808</v>
      </c>
      <c r="C3529" s="39" t="s">
        <v>914</v>
      </c>
      <c r="D3529" t="s">
        <v>4244</v>
      </c>
      <c r="F3529" s="56"/>
    </row>
    <row r="3530" spans="1:6" ht="15">
      <c r="A3530" s="51">
        <v>291809</v>
      </c>
      <c r="B3530" t="s">
        <v>1810</v>
      </c>
      <c r="C3530" s="39" t="s">
        <v>914</v>
      </c>
      <c r="D3530" t="s">
        <v>4244</v>
      </c>
      <c r="F3530" s="56"/>
    </row>
    <row r="3531" spans="1:6" ht="15">
      <c r="A3531" s="51">
        <v>291810</v>
      </c>
      <c r="B3531" t="s">
        <v>1811</v>
      </c>
      <c r="C3531" s="39" t="s">
        <v>914</v>
      </c>
      <c r="D3531">
        <v>7</v>
      </c>
      <c r="F3531" s="56"/>
    </row>
    <row r="3532" spans="1:6" ht="15">
      <c r="A3532" s="51">
        <v>291811</v>
      </c>
      <c r="B3532" t="s">
        <v>126</v>
      </c>
      <c r="C3532" s="39" t="s">
        <v>1390</v>
      </c>
      <c r="D3532" t="s">
        <v>4244</v>
      </c>
      <c r="F3532" s="56"/>
    </row>
    <row r="3533" spans="1:6" ht="15">
      <c r="A3533" s="51">
        <v>291812</v>
      </c>
      <c r="B3533" t="s">
        <v>1812</v>
      </c>
      <c r="C3533" s="39" t="s">
        <v>357</v>
      </c>
      <c r="D3533">
        <v>9</v>
      </c>
      <c r="F3533" s="56"/>
    </row>
    <row r="3534" spans="1:6" ht="15">
      <c r="A3534" s="51">
        <v>291813</v>
      </c>
      <c r="B3534" t="s">
        <v>358</v>
      </c>
      <c r="C3534" s="39" t="s">
        <v>359</v>
      </c>
      <c r="D3534" t="s">
        <v>4245</v>
      </c>
      <c r="F3534" s="56"/>
    </row>
    <row r="3535" spans="1:6" ht="15">
      <c r="A3535" s="51">
        <v>291814</v>
      </c>
      <c r="B3535" t="s">
        <v>360</v>
      </c>
      <c r="C3535" s="39" t="s">
        <v>359</v>
      </c>
      <c r="D3535" t="s">
        <v>4246</v>
      </c>
      <c r="F3535" s="56"/>
    </row>
    <row r="3536" spans="1:6" ht="15">
      <c r="A3536" s="51">
        <v>291815</v>
      </c>
      <c r="B3536" t="s">
        <v>2701</v>
      </c>
      <c r="C3536" s="39" t="s">
        <v>2702</v>
      </c>
      <c r="D3536" t="s">
        <v>4243</v>
      </c>
      <c r="F3536" s="56"/>
    </row>
    <row r="3537" spans="1:6" ht="15">
      <c r="A3537" s="51">
        <v>291816</v>
      </c>
      <c r="B3537" t="s">
        <v>1533</v>
      </c>
      <c r="C3537" s="39" t="s">
        <v>2702</v>
      </c>
      <c r="D3537">
        <v>8</v>
      </c>
      <c r="F3537" s="56"/>
    </row>
    <row r="3538" spans="1:6" ht="15">
      <c r="A3538" s="51">
        <v>291817</v>
      </c>
      <c r="B3538" t="s">
        <v>131</v>
      </c>
      <c r="C3538" s="39" t="s">
        <v>132</v>
      </c>
      <c r="D3538" t="s">
        <v>471</v>
      </c>
      <c r="F3538" s="56"/>
    </row>
    <row r="3539" spans="1:6" ht="15">
      <c r="A3539" s="51">
        <v>291818</v>
      </c>
      <c r="B3539" t="s">
        <v>1818</v>
      </c>
      <c r="C3539" s="39" t="s">
        <v>138</v>
      </c>
      <c r="D3539">
        <v>9</v>
      </c>
      <c r="F3539" s="56"/>
    </row>
    <row r="3540" spans="1:6" ht="15">
      <c r="A3540" s="51">
        <v>291819</v>
      </c>
      <c r="B3540" t="s">
        <v>1027</v>
      </c>
      <c r="C3540" s="39" t="s">
        <v>1028</v>
      </c>
      <c r="D3540" t="s">
        <v>4245</v>
      </c>
      <c r="F3540" s="56"/>
    </row>
    <row r="3541" spans="1:6" ht="15">
      <c r="A3541" s="51">
        <v>291820</v>
      </c>
      <c r="B3541" t="s">
        <v>1029</v>
      </c>
      <c r="C3541" s="39" t="s">
        <v>1028</v>
      </c>
      <c r="D3541" t="s">
        <v>4246</v>
      </c>
      <c r="F3541" s="56"/>
    </row>
    <row r="3542" spans="1:6" ht="15">
      <c r="A3542" s="51">
        <v>291821</v>
      </c>
      <c r="B3542" t="s">
        <v>1819</v>
      </c>
      <c r="C3542" s="39" t="s">
        <v>2703</v>
      </c>
      <c r="D3542">
        <v>8</v>
      </c>
      <c r="F3542" s="56"/>
    </row>
    <row r="3543" spans="1:6" ht="15">
      <c r="A3543" s="51">
        <v>291822</v>
      </c>
      <c r="B3543" t="s">
        <v>2704</v>
      </c>
      <c r="C3543" s="39" t="s">
        <v>2703</v>
      </c>
      <c r="D3543">
        <v>8</v>
      </c>
      <c r="F3543" s="56"/>
    </row>
    <row r="3544" spans="1:6" ht="15">
      <c r="A3544" s="51">
        <v>291823</v>
      </c>
      <c r="B3544" t="s">
        <v>2705</v>
      </c>
      <c r="C3544" s="39" t="s">
        <v>2298</v>
      </c>
      <c r="D3544" t="s">
        <v>4245</v>
      </c>
      <c r="F3544" s="56"/>
    </row>
    <row r="3545" spans="1:6" ht="15">
      <c r="A3545" s="51">
        <v>291824</v>
      </c>
      <c r="B3545" t="s">
        <v>314</v>
      </c>
      <c r="C3545" s="39" t="s">
        <v>2298</v>
      </c>
      <c r="D3545" t="s">
        <v>4246</v>
      </c>
      <c r="F3545" s="56"/>
    </row>
    <row r="3546" spans="1:6" ht="15">
      <c r="A3546" s="51">
        <v>291825</v>
      </c>
      <c r="B3546" t="s">
        <v>316</v>
      </c>
      <c r="C3546" s="39" t="s">
        <v>2298</v>
      </c>
      <c r="D3546" t="s">
        <v>4244</v>
      </c>
      <c r="F3546" s="56"/>
    </row>
    <row r="3547" spans="1:6" ht="15">
      <c r="A3547" s="51">
        <v>291826</v>
      </c>
      <c r="B3547" t="s">
        <v>2706</v>
      </c>
      <c r="C3547" s="39" t="s">
        <v>2298</v>
      </c>
      <c r="D3547">
        <v>8</v>
      </c>
      <c r="F3547" s="56"/>
    </row>
    <row r="3548" spans="1:6" ht="15">
      <c r="A3548" s="51">
        <v>291827</v>
      </c>
      <c r="B3548" t="s">
        <v>370</v>
      </c>
      <c r="C3548" s="39" t="s">
        <v>371</v>
      </c>
      <c r="D3548">
        <v>8</v>
      </c>
      <c r="F3548" s="56"/>
    </row>
    <row r="3549" spans="1:6" ht="15">
      <c r="A3549" s="51">
        <v>291828</v>
      </c>
      <c r="B3549" t="s">
        <v>2707</v>
      </c>
      <c r="C3549" s="39" t="s">
        <v>2708</v>
      </c>
      <c r="D3549" t="s">
        <v>4246</v>
      </c>
      <c r="F3549" s="56"/>
    </row>
    <row r="3550" spans="1:6" ht="15">
      <c r="A3550" s="51">
        <v>291829</v>
      </c>
      <c r="B3550" t="s">
        <v>2709</v>
      </c>
      <c r="C3550" s="39" t="s">
        <v>2708</v>
      </c>
      <c r="D3550" t="s">
        <v>4247</v>
      </c>
      <c r="F3550" s="56"/>
    </row>
    <row r="3551" spans="1:6" ht="15">
      <c r="A3551" s="51">
        <v>291830</v>
      </c>
      <c r="B3551" t="s">
        <v>2710</v>
      </c>
      <c r="C3551" s="39" t="s">
        <v>2708</v>
      </c>
      <c r="D3551" t="s">
        <v>4243</v>
      </c>
      <c r="F3551" s="56"/>
    </row>
    <row r="3552" spans="1:6" ht="15">
      <c r="A3552" s="51">
        <v>291831</v>
      </c>
      <c r="B3552" t="s">
        <v>2711</v>
      </c>
      <c r="C3552" s="39" t="s">
        <v>2708</v>
      </c>
      <c r="D3552">
        <v>7</v>
      </c>
      <c r="F3552" s="56"/>
    </row>
    <row r="3553" spans="1:6" ht="15">
      <c r="A3553" s="51">
        <v>291832</v>
      </c>
      <c r="B3553" t="s">
        <v>2712</v>
      </c>
      <c r="C3553" s="39" t="s">
        <v>2708</v>
      </c>
      <c r="D3553">
        <v>9</v>
      </c>
      <c r="F3553" s="56"/>
    </row>
    <row r="3554" spans="1:6" ht="15">
      <c r="A3554" s="51">
        <v>291833</v>
      </c>
      <c r="B3554" t="s">
        <v>2713</v>
      </c>
      <c r="C3554" s="39" t="s">
        <v>2708</v>
      </c>
      <c r="D3554" t="s">
        <v>4246</v>
      </c>
      <c r="F3554" s="56"/>
    </row>
    <row r="3555" spans="1:6" ht="15">
      <c r="A3555" s="51">
        <v>291834</v>
      </c>
      <c r="B3555" t="s">
        <v>1033</v>
      </c>
      <c r="C3555" s="39" t="s">
        <v>2714</v>
      </c>
      <c r="D3555">
        <v>7</v>
      </c>
      <c r="F3555" s="56"/>
    </row>
    <row r="3556" spans="1:6" ht="15">
      <c r="A3556" s="51">
        <v>291835</v>
      </c>
      <c r="B3556" t="s">
        <v>2715</v>
      </c>
      <c r="C3556" s="39" t="s">
        <v>2716</v>
      </c>
      <c r="D3556">
        <v>7</v>
      </c>
      <c r="F3556" s="56"/>
    </row>
    <row r="3557" spans="1:6" ht="15">
      <c r="A3557" s="51">
        <v>292530</v>
      </c>
      <c r="B3557" t="s">
        <v>839</v>
      </c>
      <c r="C3557" s="39" t="s">
        <v>997</v>
      </c>
      <c r="D3557" t="s">
        <v>471</v>
      </c>
      <c r="F3557" s="56"/>
    </row>
    <row r="3558" spans="1:6" ht="15">
      <c r="A3558" s="51">
        <v>291836</v>
      </c>
      <c r="B3558" t="s">
        <v>1999</v>
      </c>
      <c r="C3558" s="39" t="s">
        <v>2717</v>
      </c>
      <c r="D3558" t="s">
        <v>4243</v>
      </c>
      <c r="F3558" s="56"/>
    </row>
    <row r="3559" spans="1:6" ht="15">
      <c r="A3559" s="51">
        <v>291837</v>
      </c>
      <c r="B3559" t="s">
        <v>143</v>
      </c>
      <c r="C3559" s="39" t="s">
        <v>896</v>
      </c>
      <c r="D3559">
        <v>8</v>
      </c>
      <c r="F3559" s="56"/>
    </row>
    <row r="3560" spans="1:6" ht="15">
      <c r="A3560" s="51">
        <v>291838</v>
      </c>
      <c r="B3560" t="s">
        <v>2718</v>
      </c>
      <c r="C3560" s="39" t="s">
        <v>373</v>
      </c>
      <c r="D3560" t="s">
        <v>4248</v>
      </c>
      <c r="F3560" s="56"/>
    </row>
    <row r="3561" spans="1:6" ht="15">
      <c r="A3561" s="51">
        <v>291839</v>
      </c>
      <c r="B3561" t="s">
        <v>149</v>
      </c>
      <c r="C3561" s="39" t="s">
        <v>1418</v>
      </c>
      <c r="D3561" t="s">
        <v>4247</v>
      </c>
      <c r="F3561" s="56"/>
    </row>
    <row r="3562" spans="1:6" ht="15">
      <c r="A3562" s="51">
        <v>291840</v>
      </c>
      <c r="B3562" t="s">
        <v>1413</v>
      </c>
      <c r="C3562" s="39" t="s">
        <v>1418</v>
      </c>
      <c r="D3562" t="s">
        <v>4243</v>
      </c>
      <c r="F3562" s="56"/>
    </row>
    <row r="3563" spans="1:6" ht="15">
      <c r="A3563" s="51">
        <v>291841</v>
      </c>
      <c r="B3563" t="s">
        <v>2007</v>
      </c>
      <c r="C3563" s="39" t="s">
        <v>2719</v>
      </c>
      <c r="D3563">
        <v>7</v>
      </c>
      <c r="F3563" s="56"/>
    </row>
    <row r="3564" spans="1:6" ht="15">
      <c r="A3564" s="51">
        <v>291842</v>
      </c>
      <c r="B3564" t="s">
        <v>150</v>
      </c>
      <c r="C3564" s="39" t="s">
        <v>2362</v>
      </c>
      <c r="D3564" t="s">
        <v>4243</v>
      </c>
      <c r="F3564" s="56"/>
    </row>
    <row r="3565" spans="1:6" ht="15">
      <c r="A3565" s="51">
        <v>291843</v>
      </c>
      <c r="B3565" t="s">
        <v>377</v>
      </c>
      <c r="C3565" s="39" t="s">
        <v>2720</v>
      </c>
      <c r="D3565" t="s">
        <v>4243</v>
      </c>
      <c r="F3565" s="56"/>
    </row>
    <row r="3566" spans="1:6" ht="15">
      <c r="A3566" s="51">
        <v>291844</v>
      </c>
      <c r="B3566" t="s">
        <v>154</v>
      </c>
      <c r="C3566" s="39" t="s">
        <v>2720</v>
      </c>
      <c r="D3566">
        <v>8</v>
      </c>
      <c r="F3566" s="56"/>
    </row>
    <row r="3567" spans="1:6" ht="15">
      <c r="A3567" s="51">
        <v>291845</v>
      </c>
      <c r="B3567" t="s">
        <v>1248</v>
      </c>
      <c r="C3567" s="39" t="s">
        <v>2721</v>
      </c>
      <c r="D3567">
        <v>7</v>
      </c>
      <c r="F3567" s="56"/>
    </row>
    <row r="3568" spans="1:6" ht="15">
      <c r="A3568" s="51">
        <v>291846</v>
      </c>
      <c r="B3568" t="s">
        <v>156</v>
      </c>
      <c r="C3568" s="39" t="s">
        <v>2009</v>
      </c>
      <c r="D3568">
        <v>7</v>
      </c>
      <c r="F3568" s="56"/>
    </row>
    <row r="3569" spans="1:6" ht="15">
      <c r="A3569" s="51">
        <v>291847</v>
      </c>
      <c r="B3569" t="s">
        <v>379</v>
      </c>
      <c r="C3569" s="39" t="s">
        <v>380</v>
      </c>
      <c r="D3569" t="s">
        <v>4246</v>
      </c>
      <c r="F3569" s="56"/>
    </row>
    <row r="3570" spans="1:6" ht="15">
      <c r="A3570" s="51">
        <v>291848</v>
      </c>
      <c r="B3570" t="s">
        <v>381</v>
      </c>
      <c r="C3570" s="39" t="s">
        <v>380</v>
      </c>
      <c r="D3570" t="s">
        <v>4243</v>
      </c>
      <c r="F3570" s="56"/>
    </row>
    <row r="3571" spans="1:6" ht="15">
      <c r="A3571" s="51">
        <v>291849</v>
      </c>
      <c r="B3571" t="s">
        <v>1543</v>
      </c>
      <c r="C3571" s="39" t="s">
        <v>2722</v>
      </c>
      <c r="D3571" t="s">
        <v>4243</v>
      </c>
      <c r="F3571" s="56"/>
    </row>
    <row r="3572" spans="1:6" ht="15">
      <c r="A3572" s="51">
        <v>291850</v>
      </c>
      <c r="B3572" t="s">
        <v>2723</v>
      </c>
      <c r="C3572" s="39" t="s">
        <v>1542</v>
      </c>
      <c r="D3572">
        <v>8</v>
      </c>
      <c r="F3572" s="56"/>
    </row>
    <row r="3573" spans="1:6" ht="15">
      <c r="A3573" s="51">
        <v>291851</v>
      </c>
      <c r="B3573" t="s">
        <v>1421</v>
      </c>
      <c r="C3573" s="39" t="s">
        <v>2724</v>
      </c>
      <c r="D3573">
        <v>7</v>
      </c>
      <c r="F3573" s="56"/>
    </row>
    <row r="3574" spans="1:6" ht="15">
      <c r="A3574" s="51">
        <v>291852</v>
      </c>
      <c r="B3574" t="s">
        <v>2725</v>
      </c>
      <c r="C3574" s="39" t="s">
        <v>2726</v>
      </c>
      <c r="D3574">
        <v>8</v>
      </c>
      <c r="F3574" s="56"/>
    </row>
    <row r="3575" spans="1:6" ht="15">
      <c r="A3575" s="51">
        <v>291853</v>
      </c>
      <c r="B3575" t="s">
        <v>1043</v>
      </c>
      <c r="C3575" s="39" t="s">
        <v>1042</v>
      </c>
      <c r="D3575" t="s">
        <v>4247</v>
      </c>
      <c r="F3575" s="56"/>
    </row>
    <row r="3576" spans="1:6" ht="15">
      <c r="A3576" s="51">
        <v>291854</v>
      </c>
      <c r="B3576" t="s">
        <v>2727</v>
      </c>
      <c r="C3576" s="39" t="s">
        <v>1042</v>
      </c>
      <c r="D3576" t="s">
        <v>4243</v>
      </c>
      <c r="F3576" s="56"/>
    </row>
    <row r="3577" spans="1:6" ht="15">
      <c r="A3577" s="51">
        <v>291855</v>
      </c>
      <c r="B3577" t="s">
        <v>2728</v>
      </c>
      <c r="C3577" s="39" t="s">
        <v>1424</v>
      </c>
      <c r="D3577" t="s">
        <v>4243</v>
      </c>
      <c r="F3577" s="56"/>
    </row>
    <row r="3578" spans="1:6" ht="15">
      <c r="A3578" s="51">
        <v>291856</v>
      </c>
      <c r="B3578" t="s">
        <v>2729</v>
      </c>
      <c r="C3578" s="39" t="s">
        <v>2016</v>
      </c>
      <c r="D3578" t="s">
        <v>4244</v>
      </c>
      <c r="F3578" s="56"/>
    </row>
    <row r="3579" spans="1:6" ht="15">
      <c r="A3579" s="51">
        <v>291857</v>
      </c>
      <c r="B3579" t="s">
        <v>2013</v>
      </c>
      <c r="C3579" s="39" t="s">
        <v>2016</v>
      </c>
      <c r="D3579" t="s">
        <v>4244</v>
      </c>
      <c r="F3579" s="56"/>
    </row>
    <row r="3580" spans="1:6" ht="15">
      <c r="A3580" s="51">
        <v>291858</v>
      </c>
      <c r="B3580" t="s">
        <v>2730</v>
      </c>
      <c r="C3580" s="39" t="s">
        <v>2731</v>
      </c>
      <c r="D3580" t="s">
        <v>4243</v>
      </c>
      <c r="F3580" s="56"/>
    </row>
    <row r="3581" spans="1:6" ht="15">
      <c r="A3581" s="51">
        <v>291859</v>
      </c>
      <c r="B3581" t="s">
        <v>160</v>
      </c>
      <c r="C3581" s="39" t="s">
        <v>2732</v>
      </c>
      <c r="D3581" t="s">
        <v>4247</v>
      </c>
      <c r="F3581" s="56"/>
    </row>
    <row r="3582" spans="1:6" ht="15">
      <c r="A3582" s="51">
        <v>291860</v>
      </c>
      <c r="B3582" t="s">
        <v>162</v>
      </c>
      <c r="C3582" s="39" t="s">
        <v>2732</v>
      </c>
      <c r="D3582" t="s">
        <v>4243</v>
      </c>
      <c r="F3582" s="56"/>
    </row>
    <row r="3583" spans="1:6" ht="15">
      <c r="A3583" s="51">
        <v>291861</v>
      </c>
      <c r="B3583" t="s">
        <v>1049</v>
      </c>
      <c r="C3583" s="39" t="s">
        <v>955</v>
      </c>
      <c r="D3583">
        <v>7</v>
      </c>
      <c r="F3583" s="56"/>
    </row>
    <row r="3584" spans="1:6" ht="15">
      <c r="A3584" s="51">
        <v>291862</v>
      </c>
      <c r="B3584" t="s">
        <v>1051</v>
      </c>
      <c r="C3584" s="39" t="s">
        <v>1758</v>
      </c>
      <c r="D3584">
        <v>8</v>
      </c>
      <c r="F3584" s="56"/>
    </row>
    <row r="3585" spans="1:6" ht="15">
      <c r="A3585" s="51">
        <v>291863</v>
      </c>
      <c r="B3585" t="s">
        <v>1430</v>
      </c>
      <c r="C3585" s="39" t="s">
        <v>1758</v>
      </c>
      <c r="D3585">
        <v>8</v>
      </c>
      <c r="F3585" s="56"/>
    </row>
    <row r="3586" spans="1:6" ht="15">
      <c r="A3586" s="51">
        <v>291864</v>
      </c>
      <c r="B3586" t="s">
        <v>389</v>
      </c>
      <c r="C3586" s="39" t="s">
        <v>2403</v>
      </c>
      <c r="D3586" t="s">
        <v>4245</v>
      </c>
      <c r="F3586" s="56"/>
    </row>
    <row r="3587" spans="1:6" ht="15">
      <c r="A3587" s="51">
        <v>291865</v>
      </c>
      <c r="B3587" t="s">
        <v>179</v>
      </c>
      <c r="C3587" s="39" t="s">
        <v>2403</v>
      </c>
      <c r="D3587" t="s">
        <v>4246</v>
      </c>
      <c r="F3587" s="56"/>
    </row>
    <row r="3588" spans="1:6" ht="15">
      <c r="A3588" s="51">
        <v>291866</v>
      </c>
      <c r="B3588" t="s">
        <v>391</v>
      </c>
      <c r="C3588" s="39" t="s">
        <v>2403</v>
      </c>
      <c r="D3588" t="s">
        <v>4243</v>
      </c>
      <c r="F3588" s="56"/>
    </row>
    <row r="3589" spans="1:6" ht="15">
      <c r="A3589" s="51">
        <v>291868</v>
      </c>
      <c r="B3589" t="s">
        <v>393</v>
      </c>
      <c r="C3589" s="39" t="s">
        <v>394</v>
      </c>
      <c r="D3589">
        <v>7</v>
      </c>
      <c r="F3589" s="56"/>
    </row>
    <row r="3590" spans="1:6" ht="15">
      <c r="A3590" s="51">
        <v>291869</v>
      </c>
      <c r="B3590" t="s">
        <v>2023</v>
      </c>
      <c r="C3590" s="39" t="s">
        <v>1437</v>
      </c>
      <c r="D3590" t="s">
        <v>4248</v>
      </c>
      <c r="F3590" s="56"/>
    </row>
    <row r="3591" spans="1:6" ht="15">
      <c r="A3591" s="51">
        <v>291870</v>
      </c>
      <c r="B3591" t="s">
        <v>1186</v>
      </c>
      <c r="C3591" s="39" t="s">
        <v>1437</v>
      </c>
      <c r="D3591" t="s">
        <v>4245</v>
      </c>
      <c r="F3591" s="56"/>
    </row>
    <row r="3592" spans="1:6" ht="15">
      <c r="A3592" s="51">
        <v>291871</v>
      </c>
      <c r="B3592" t="s">
        <v>1187</v>
      </c>
      <c r="C3592" s="39" t="s">
        <v>1437</v>
      </c>
      <c r="D3592" t="s">
        <v>4244</v>
      </c>
      <c r="F3592" s="56"/>
    </row>
    <row r="3593" spans="1:6" ht="15">
      <c r="A3593" s="51">
        <v>291872</v>
      </c>
      <c r="B3593" t="s">
        <v>1188</v>
      </c>
      <c r="C3593" s="39" t="s">
        <v>1437</v>
      </c>
      <c r="D3593" t="s">
        <v>4243</v>
      </c>
      <c r="F3593" s="56"/>
    </row>
    <row r="3594" spans="1:6" ht="15">
      <c r="A3594" s="51">
        <v>291873</v>
      </c>
      <c r="B3594" t="s">
        <v>196</v>
      </c>
      <c r="C3594" s="39" t="s">
        <v>189</v>
      </c>
      <c r="D3594" t="s">
        <v>4247</v>
      </c>
      <c r="F3594" s="56"/>
    </row>
    <row r="3595" spans="1:6" ht="15">
      <c r="A3595" s="51">
        <v>291874</v>
      </c>
      <c r="B3595" t="s">
        <v>868</v>
      </c>
      <c r="C3595" s="39" t="s">
        <v>189</v>
      </c>
      <c r="D3595" t="s">
        <v>4243</v>
      </c>
      <c r="F3595" s="56"/>
    </row>
    <row r="3596" spans="1:6" ht="15">
      <c r="A3596" s="51">
        <v>291875</v>
      </c>
      <c r="B3596" t="s">
        <v>1253</v>
      </c>
      <c r="C3596" s="39" t="s">
        <v>1442</v>
      </c>
      <c r="D3596" t="s">
        <v>4244</v>
      </c>
      <c r="F3596" s="56"/>
    </row>
    <row r="3597" spans="1:6" ht="15">
      <c r="A3597" s="51">
        <v>291876</v>
      </c>
      <c r="B3597" t="s">
        <v>199</v>
      </c>
      <c r="C3597" s="39" t="s">
        <v>1442</v>
      </c>
      <c r="D3597" t="s">
        <v>4244</v>
      </c>
      <c r="F3597" s="56"/>
    </row>
    <row r="3598" spans="1:6" ht="15">
      <c r="A3598" s="51">
        <v>291877</v>
      </c>
      <c r="B3598" t="s">
        <v>2733</v>
      </c>
      <c r="C3598" s="39" t="s">
        <v>1442</v>
      </c>
      <c r="D3598">
        <v>8</v>
      </c>
      <c r="F3598" s="56"/>
    </row>
    <row r="3599" spans="1:6" ht="15">
      <c r="A3599" s="51">
        <v>291878</v>
      </c>
      <c r="B3599" t="s">
        <v>873</v>
      </c>
      <c r="C3599" s="39" t="s">
        <v>2734</v>
      </c>
      <c r="D3599" t="s">
        <v>4244</v>
      </c>
      <c r="F3599" s="56"/>
    </row>
    <row r="3600" spans="1:6" ht="15">
      <c r="A3600" s="51">
        <v>291879</v>
      </c>
      <c r="B3600" t="s">
        <v>1446</v>
      </c>
      <c r="C3600" s="39" t="s">
        <v>2735</v>
      </c>
      <c r="D3600">
        <v>7</v>
      </c>
      <c r="F3600" s="56"/>
    </row>
    <row r="3601" spans="1:6" ht="15">
      <c r="A3601" s="51">
        <v>291880</v>
      </c>
      <c r="B3601" t="s">
        <v>2736</v>
      </c>
      <c r="C3601" s="39" t="s">
        <v>2735</v>
      </c>
      <c r="D3601">
        <v>8</v>
      </c>
      <c r="F3601" s="56"/>
    </row>
    <row r="3602" spans="1:6" ht="15">
      <c r="A3602" s="51">
        <v>291881</v>
      </c>
      <c r="B3602" t="s">
        <v>2737</v>
      </c>
      <c r="C3602" s="39" t="s">
        <v>908</v>
      </c>
      <c r="D3602" t="s">
        <v>4244</v>
      </c>
      <c r="F3602" s="56"/>
    </row>
    <row r="3603" spans="1:6" ht="15">
      <c r="A3603" s="51">
        <v>291882</v>
      </c>
      <c r="B3603" t="s">
        <v>1451</v>
      </c>
      <c r="C3603" s="39" t="s">
        <v>1452</v>
      </c>
      <c r="D3603" t="s">
        <v>4244</v>
      </c>
      <c r="F3603" s="56"/>
    </row>
    <row r="3604" spans="1:6" ht="15">
      <c r="A3604" s="51">
        <v>291883</v>
      </c>
      <c r="B3604" t="s">
        <v>1453</v>
      </c>
      <c r="C3604" s="39" t="s">
        <v>1452</v>
      </c>
      <c r="D3604" t="s">
        <v>4244</v>
      </c>
      <c r="F3604" s="56"/>
    </row>
    <row r="3605" spans="1:6" ht="15">
      <c r="A3605" s="51">
        <v>291884</v>
      </c>
      <c r="B3605" t="s">
        <v>2738</v>
      </c>
      <c r="C3605" s="39" t="s">
        <v>2739</v>
      </c>
      <c r="D3605">
        <v>7</v>
      </c>
      <c r="F3605" s="56"/>
    </row>
    <row r="3606" spans="1:6" ht="15">
      <c r="A3606" s="51">
        <v>291885</v>
      </c>
      <c r="B3606" t="s">
        <v>406</v>
      </c>
      <c r="C3606" s="39" t="s">
        <v>405</v>
      </c>
      <c r="D3606">
        <v>7</v>
      </c>
      <c r="F3606" s="56"/>
    </row>
    <row r="3607" spans="1:6" ht="15">
      <c r="A3607" s="51">
        <v>291886</v>
      </c>
      <c r="B3607" t="s">
        <v>2740</v>
      </c>
      <c r="C3607" s="39" t="s">
        <v>2741</v>
      </c>
      <c r="D3607">
        <v>9</v>
      </c>
      <c r="F3607" s="56"/>
    </row>
    <row r="3608" spans="1:6" ht="15">
      <c r="A3608" s="51">
        <v>291887</v>
      </c>
      <c r="B3608" t="s">
        <v>2742</v>
      </c>
      <c r="C3608" s="39" t="s">
        <v>2034</v>
      </c>
      <c r="D3608" t="s">
        <v>466</v>
      </c>
      <c r="F3608" s="56"/>
    </row>
    <row r="3609" spans="1:6" ht="15">
      <c r="A3609" s="51">
        <v>291888</v>
      </c>
      <c r="B3609" t="s">
        <v>2222</v>
      </c>
      <c r="C3609" s="39" t="s">
        <v>2034</v>
      </c>
      <c r="D3609" t="s">
        <v>1595</v>
      </c>
      <c r="F3609" s="56"/>
    </row>
    <row r="3610" spans="1:6" ht="15">
      <c r="A3610" s="51">
        <v>291889</v>
      </c>
      <c r="B3610" t="s">
        <v>2743</v>
      </c>
      <c r="C3610" s="39" t="s">
        <v>2034</v>
      </c>
      <c r="D3610" t="s">
        <v>469</v>
      </c>
      <c r="F3610" s="56"/>
    </row>
    <row r="3611" spans="1:6" ht="15">
      <c r="A3611" s="51">
        <v>291890</v>
      </c>
      <c r="B3611" t="s">
        <v>2744</v>
      </c>
      <c r="C3611" s="39" t="s">
        <v>2034</v>
      </c>
      <c r="D3611" t="s">
        <v>471</v>
      </c>
      <c r="F3611" s="56"/>
    </row>
    <row r="3612" spans="1:6" ht="15">
      <c r="A3612" s="51">
        <v>291891</v>
      </c>
      <c r="B3612" t="s">
        <v>2745</v>
      </c>
      <c r="C3612" s="39" t="s">
        <v>2746</v>
      </c>
      <c r="D3612">
        <v>9</v>
      </c>
      <c r="F3612" s="56"/>
    </row>
    <row r="3613" spans="1:6" ht="15">
      <c r="A3613" s="51">
        <v>291892</v>
      </c>
      <c r="B3613" t="s">
        <v>2747</v>
      </c>
      <c r="C3613" s="39" t="s">
        <v>1835</v>
      </c>
      <c r="D3613" t="s">
        <v>4243</v>
      </c>
      <c r="F3613" s="56"/>
    </row>
    <row r="3614" spans="1:6" ht="15">
      <c r="A3614" s="51">
        <v>291893</v>
      </c>
      <c r="B3614" t="s">
        <v>2748</v>
      </c>
      <c r="C3614" s="39" t="s">
        <v>561</v>
      </c>
      <c r="D3614" t="s">
        <v>4247</v>
      </c>
      <c r="F3614" s="56"/>
    </row>
    <row r="3615" spans="1:6" ht="15">
      <c r="A3615" s="51">
        <v>291894</v>
      </c>
      <c r="B3615" t="s">
        <v>1456</v>
      </c>
      <c r="C3615" s="39" t="s">
        <v>561</v>
      </c>
      <c r="D3615" t="s">
        <v>4247</v>
      </c>
      <c r="F3615" s="56"/>
    </row>
    <row r="3616" spans="1:6" ht="15">
      <c r="A3616" s="51">
        <v>291895</v>
      </c>
      <c r="B3616" t="s">
        <v>2749</v>
      </c>
      <c r="C3616" s="39" t="s">
        <v>561</v>
      </c>
      <c r="D3616" t="s">
        <v>4244</v>
      </c>
      <c r="F3616" s="56"/>
    </row>
    <row r="3617" spans="1:6" ht="15">
      <c r="A3617" s="51">
        <v>291896</v>
      </c>
      <c r="B3617" t="s">
        <v>223</v>
      </c>
      <c r="C3617" s="39" t="s">
        <v>224</v>
      </c>
      <c r="D3617" t="s">
        <v>4243</v>
      </c>
      <c r="F3617" s="56"/>
    </row>
    <row r="3618" spans="1:6" ht="15">
      <c r="A3618" s="51">
        <v>291897</v>
      </c>
      <c r="B3618" t="s">
        <v>1228</v>
      </c>
      <c r="C3618" s="39" t="s">
        <v>1107</v>
      </c>
      <c r="D3618" t="s">
        <v>4245</v>
      </c>
      <c r="F3618" s="56"/>
    </row>
    <row r="3619" spans="1:6" ht="15">
      <c r="A3619" s="51">
        <v>291898</v>
      </c>
      <c r="B3619" t="s">
        <v>1259</v>
      </c>
      <c r="C3619" s="39" t="s">
        <v>1107</v>
      </c>
      <c r="D3619" t="s">
        <v>4245</v>
      </c>
      <c r="F3619" s="56"/>
    </row>
    <row r="3620" spans="1:6" ht="15">
      <c r="A3620" s="51">
        <v>291899</v>
      </c>
      <c r="B3620" t="s">
        <v>2750</v>
      </c>
      <c r="C3620" s="39" t="s">
        <v>2751</v>
      </c>
      <c r="D3620" t="s">
        <v>4243</v>
      </c>
      <c r="F3620" s="56"/>
    </row>
    <row r="3621" spans="1:6" ht="15">
      <c r="A3621" s="51">
        <v>291900</v>
      </c>
      <c r="B3621" t="s">
        <v>420</v>
      </c>
      <c r="C3621" s="39" t="s">
        <v>228</v>
      </c>
      <c r="D3621">
        <v>9</v>
      </c>
      <c r="F3621" s="56"/>
    </row>
    <row r="3622" spans="1:6" ht="15">
      <c r="A3622" s="51">
        <v>291901</v>
      </c>
      <c r="B3622" t="s">
        <v>421</v>
      </c>
      <c r="C3622" s="39" t="s">
        <v>228</v>
      </c>
      <c r="D3622">
        <v>9</v>
      </c>
      <c r="F3622" s="56"/>
    </row>
    <row r="3623" spans="1:6" ht="15">
      <c r="A3623" s="51">
        <v>291902</v>
      </c>
      <c r="B3623" t="s">
        <v>2752</v>
      </c>
      <c r="C3623" s="39" t="s">
        <v>1474</v>
      </c>
      <c r="D3623" t="s">
        <v>4244</v>
      </c>
      <c r="F3623" s="56"/>
    </row>
    <row r="3624" spans="1:6" ht="15">
      <c r="A3624" s="51">
        <v>291903</v>
      </c>
      <c r="B3624" t="s">
        <v>2234</v>
      </c>
      <c r="C3624" s="39" t="s">
        <v>1474</v>
      </c>
      <c r="D3624" t="s">
        <v>4243</v>
      </c>
      <c r="F3624" s="56"/>
    </row>
    <row r="3625" spans="1:6" ht="15">
      <c r="A3625" s="51">
        <v>291904</v>
      </c>
      <c r="B3625" t="s">
        <v>2753</v>
      </c>
      <c r="C3625" s="39" t="s">
        <v>2754</v>
      </c>
      <c r="D3625">
        <v>8</v>
      </c>
      <c r="F3625" s="56"/>
    </row>
    <row r="3626" spans="1:6" ht="15">
      <c r="A3626" s="51">
        <v>612214</v>
      </c>
      <c r="B3626" t="s">
        <v>2755</v>
      </c>
      <c r="C3626" s="39" t="s">
        <v>2756</v>
      </c>
      <c r="D3626">
        <v>7</v>
      </c>
      <c r="F3626" s="56"/>
    </row>
    <row r="3627" spans="1:6" ht="15">
      <c r="A3627" s="51">
        <v>621850</v>
      </c>
      <c r="B3627" t="s">
        <v>2757</v>
      </c>
      <c r="C3627" s="39" t="s">
        <v>2756</v>
      </c>
      <c r="D3627">
        <v>7</v>
      </c>
      <c r="F3627" s="56"/>
    </row>
    <row r="3628" spans="1:6" ht="15">
      <c r="A3628" s="51">
        <v>291905</v>
      </c>
      <c r="B3628" t="s">
        <v>1575</v>
      </c>
      <c r="C3628" s="39" t="s">
        <v>2055</v>
      </c>
      <c r="D3628" t="s">
        <v>4245</v>
      </c>
      <c r="F3628" s="56"/>
    </row>
    <row r="3629" spans="1:6" ht="15">
      <c r="A3629" s="51">
        <v>291906</v>
      </c>
      <c r="B3629" t="s">
        <v>2758</v>
      </c>
      <c r="C3629" s="39" t="s">
        <v>2759</v>
      </c>
      <c r="D3629">
        <v>8</v>
      </c>
      <c r="F3629" s="56"/>
    </row>
    <row r="3630" spans="1:6" ht="15">
      <c r="A3630" s="51">
        <v>291907</v>
      </c>
      <c r="B3630" t="s">
        <v>234</v>
      </c>
      <c r="C3630" s="39" t="s">
        <v>235</v>
      </c>
      <c r="D3630" t="s">
        <v>4244</v>
      </c>
      <c r="F3630" s="56"/>
    </row>
    <row r="3631" spans="1:6" ht="15">
      <c r="A3631" s="51">
        <v>291908</v>
      </c>
      <c r="B3631" t="s">
        <v>236</v>
      </c>
      <c r="C3631" s="39" t="s">
        <v>235</v>
      </c>
      <c r="D3631" t="s">
        <v>4244</v>
      </c>
      <c r="F3631" s="56"/>
    </row>
    <row r="3632" spans="1:6" ht="15">
      <c r="A3632" s="51">
        <v>291909</v>
      </c>
      <c r="B3632" t="s">
        <v>424</v>
      </c>
      <c r="C3632" s="39" t="s">
        <v>2760</v>
      </c>
      <c r="D3632">
        <v>8</v>
      </c>
      <c r="F3632" s="56"/>
    </row>
    <row r="3633" spans="1:6" ht="15">
      <c r="A3633" s="51">
        <v>291910</v>
      </c>
      <c r="B3633" t="s">
        <v>2761</v>
      </c>
      <c r="C3633" s="39" t="s">
        <v>235</v>
      </c>
      <c r="D3633" t="s">
        <v>4244</v>
      </c>
      <c r="F3633" s="56"/>
    </row>
    <row r="3634" spans="1:6" ht="15">
      <c r="A3634" s="51">
        <v>291911</v>
      </c>
      <c r="B3634" t="s">
        <v>2762</v>
      </c>
      <c r="C3634" s="39" t="s">
        <v>2763</v>
      </c>
      <c r="D3634">
        <v>7</v>
      </c>
      <c r="F3634" s="56"/>
    </row>
    <row r="3635" spans="1:6" ht="15">
      <c r="A3635" s="51">
        <v>291912</v>
      </c>
      <c r="B3635" t="s">
        <v>240</v>
      </c>
      <c r="C3635" s="39" t="s">
        <v>241</v>
      </c>
      <c r="D3635" t="s">
        <v>4249</v>
      </c>
      <c r="F3635" s="56"/>
    </row>
    <row r="3636" spans="1:6" ht="15">
      <c r="A3636" s="51">
        <v>291913</v>
      </c>
      <c r="B3636" t="s">
        <v>880</v>
      </c>
      <c r="C3636" s="39" t="s">
        <v>2251</v>
      </c>
      <c r="D3636">
        <v>8</v>
      </c>
      <c r="F3636" s="56"/>
    </row>
    <row r="3637" spans="1:6" ht="15">
      <c r="A3637" s="51">
        <v>291914</v>
      </c>
      <c r="B3637" t="s">
        <v>2764</v>
      </c>
      <c r="C3637" s="39" t="s">
        <v>1118</v>
      </c>
      <c r="D3637" t="s">
        <v>4243</v>
      </c>
      <c r="F3637" s="56"/>
    </row>
    <row r="3638" spans="1:6" ht="15">
      <c r="A3638" s="51">
        <v>291915</v>
      </c>
      <c r="B3638" t="s">
        <v>2765</v>
      </c>
      <c r="C3638" s="39" t="s">
        <v>1118</v>
      </c>
      <c r="D3638" t="s">
        <v>4243</v>
      </c>
      <c r="F3638" s="56"/>
    </row>
    <row r="3639" spans="1:6" ht="15">
      <c r="A3639" s="51">
        <v>291916</v>
      </c>
      <c r="B3639" t="s">
        <v>425</v>
      </c>
      <c r="C3639" s="39" t="s">
        <v>426</v>
      </c>
      <c r="D3639" t="s">
        <v>4244</v>
      </c>
      <c r="F3639" s="56"/>
    </row>
    <row r="3640" spans="1:6" ht="15">
      <c r="A3640" s="51">
        <v>291917</v>
      </c>
      <c r="B3640" t="s">
        <v>1122</v>
      </c>
      <c r="C3640" s="39" t="s">
        <v>1123</v>
      </c>
      <c r="D3640" t="s">
        <v>4247</v>
      </c>
      <c r="F3640" s="56"/>
    </row>
    <row r="3641" spans="1:6" ht="15">
      <c r="A3641" s="51">
        <v>291918</v>
      </c>
      <c r="B3641" t="s">
        <v>1124</v>
      </c>
      <c r="C3641" s="39" t="s">
        <v>1123</v>
      </c>
      <c r="D3641" t="s">
        <v>4243</v>
      </c>
      <c r="F3641" s="56"/>
    </row>
    <row r="3642" spans="1:6" ht="15">
      <c r="A3642" s="51">
        <v>291919</v>
      </c>
      <c r="B3642" t="s">
        <v>1127</v>
      </c>
      <c r="C3642" s="39" t="s">
        <v>1123</v>
      </c>
      <c r="D3642">
        <v>7</v>
      </c>
      <c r="F3642" s="56"/>
    </row>
    <row r="3643" spans="1:6" ht="15">
      <c r="A3643" s="51">
        <v>291920</v>
      </c>
      <c r="B3643" t="s">
        <v>1778</v>
      </c>
      <c r="C3643" s="39" t="s">
        <v>1589</v>
      </c>
      <c r="D3643">
        <v>7</v>
      </c>
      <c r="F3643" s="56"/>
    </row>
    <row r="3644" spans="1:6" ht="15">
      <c r="A3644" s="51">
        <v>291921</v>
      </c>
      <c r="B3644" t="s">
        <v>2766</v>
      </c>
      <c r="C3644" s="39" t="s">
        <v>1589</v>
      </c>
      <c r="D3644">
        <v>8</v>
      </c>
      <c r="F3644" s="56"/>
    </row>
    <row r="3645" spans="1:6" ht="15">
      <c r="A3645" s="51">
        <v>291922</v>
      </c>
      <c r="B3645" t="s">
        <v>432</v>
      </c>
      <c r="C3645" s="39" t="s">
        <v>433</v>
      </c>
      <c r="D3645" t="s">
        <v>4245</v>
      </c>
      <c r="F3645" s="56"/>
    </row>
    <row r="3646" spans="1:6" ht="15">
      <c r="A3646" s="51">
        <v>621848</v>
      </c>
      <c r="B3646" t="s">
        <v>2081</v>
      </c>
      <c r="C3646" s="39" t="s">
        <v>558</v>
      </c>
      <c r="D3646" t="s">
        <v>4244</v>
      </c>
      <c r="F3646" s="56"/>
    </row>
    <row r="3647" spans="1:6" ht="15">
      <c r="A3647" s="51">
        <v>291923</v>
      </c>
      <c r="B3647" t="s">
        <v>2767</v>
      </c>
      <c r="C3647" s="39" t="s">
        <v>258</v>
      </c>
      <c r="D3647">
        <v>9</v>
      </c>
      <c r="F3647" s="56"/>
    </row>
    <row r="3648" spans="1:6" ht="15">
      <c r="A3648" s="51">
        <v>291924</v>
      </c>
      <c r="B3648" t="s">
        <v>2768</v>
      </c>
      <c r="C3648" s="39" t="s">
        <v>258</v>
      </c>
      <c r="D3648">
        <v>9</v>
      </c>
      <c r="F3648" s="56"/>
    </row>
    <row r="3649" spans="1:6" ht="15">
      <c r="A3649" s="51">
        <v>291925</v>
      </c>
      <c r="B3649" t="s">
        <v>1129</v>
      </c>
      <c r="C3649" s="39" t="s">
        <v>2769</v>
      </c>
      <c r="D3649">
        <v>9</v>
      </c>
      <c r="F3649" s="56"/>
    </row>
    <row r="3650" spans="1:6" ht="15">
      <c r="A3650" s="51">
        <v>291926</v>
      </c>
      <c r="B3650" t="s">
        <v>449</v>
      </c>
      <c r="C3650" s="39" t="s">
        <v>450</v>
      </c>
      <c r="D3650">
        <v>9</v>
      </c>
      <c r="F3650" s="56"/>
    </row>
    <row r="3651" spans="1:6" ht="15">
      <c r="A3651" s="51">
        <v>291927</v>
      </c>
      <c r="B3651" t="s">
        <v>2086</v>
      </c>
      <c r="C3651" s="39" t="s">
        <v>2087</v>
      </c>
      <c r="D3651" t="s">
        <v>4247</v>
      </c>
      <c r="F3651" s="56"/>
    </row>
    <row r="3652" spans="1:6" ht="15">
      <c r="A3652" s="51">
        <v>291928</v>
      </c>
      <c r="B3652" t="s">
        <v>2088</v>
      </c>
      <c r="C3652" s="39" t="s">
        <v>2087</v>
      </c>
      <c r="D3652" t="s">
        <v>4243</v>
      </c>
      <c r="F3652" s="56"/>
    </row>
    <row r="3653" spans="1:6" ht="15">
      <c r="A3653" s="51">
        <v>291931</v>
      </c>
      <c r="B3653" t="s">
        <v>455</v>
      </c>
      <c r="C3653" s="39" t="s">
        <v>2270</v>
      </c>
      <c r="D3653" t="s">
        <v>4243</v>
      </c>
      <c r="F3653" s="56"/>
    </row>
    <row r="3654" spans="1:6" ht="15">
      <c r="A3654" s="51">
        <v>291932</v>
      </c>
      <c r="B3654" t="s">
        <v>1136</v>
      </c>
      <c r="C3654" s="39" t="s">
        <v>283</v>
      </c>
      <c r="D3654">
        <v>8</v>
      </c>
      <c r="F3654" s="56"/>
    </row>
    <row r="3655" spans="1:6" ht="15">
      <c r="A3655" s="51">
        <v>291933</v>
      </c>
      <c r="B3655" t="s">
        <v>2770</v>
      </c>
      <c r="C3655" s="39" t="s">
        <v>2771</v>
      </c>
      <c r="D3655">
        <v>8</v>
      </c>
      <c r="F3655" s="56"/>
    </row>
    <row r="3656" spans="1:6" ht="15">
      <c r="A3656" s="51">
        <v>291934</v>
      </c>
      <c r="B3656" t="s">
        <v>2510</v>
      </c>
      <c r="C3656" s="39" t="s">
        <v>2772</v>
      </c>
      <c r="D3656" t="s">
        <v>4243</v>
      </c>
      <c r="F3656" s="56"/>
    </row>
    <row r="3657" spans="1:6" ht="15">
      <c r="A3657" s="51">
        <v>291935</v>
      </c>
      <c r="B3657" t="s">
        <v>1140</v>
      </c>
      <c r="C3657" s="39" t="s">
        <v>898</v>
      </c>
      <c r="D3657" t="s">
        <v>4247</v>
      </c>
      <c r="F3657" s="56"/>
    </row>
    <row r="3658" spans="1:6" ht="15">
      <c r="A3658" s="51">
        <v>291936</v>
      </c>
      <c r="B3658" t="s">
        <v>2095</v>
      </c>
      <c r="C3658" s="39" t="s">
        <v>2773</v>
      </c>
      <c r="D3658" t="s">
        <v>4244</v>
      </c>
      <c r="F3658" s="56"/>
    </row>
    <row r="3659" spans="1:6" ht="15">
      <c r="A3659" s="51">
        <v>291937</v>
      </c>
      <c r="B3659" t="s">
        <v>460</v>
      </c>
      <c r="C3659" s="39" t="s">
        <v>2773</v>
      </c>
      <c r="D3659" t="s">
        <v>4243</v>
      </c>
      <c r="F3659" s="56"/>
    </row>
    <row r="3660" spans="1:6" ht="15">
      <c r="A3660" s="51">
        <v>291938</v>
      </c>
      <c r="B3660" t="s">
        <v>2774</v>
      </c>
      <c r="C3660" s="39" t="s">
        <v>2094</v>
      </c>
      <c r="D3660" t="s">
        <v>4244</v>
      </c>
      <c r="F3660" s="56"/>
    </row>
    <row r="3661" spans="1:6" ht="15">
      <c r="A3661" s="51">
        <v>291939</v>
      </c>
      <c r="B3661" t="s">
        <v>2277</v>
      </c>
      <c r="C3661" s="39" t="s">
        <v>2094</v>
      </c>
      <c r="D3661">
        <v>7</v>
      </c>
      <c r="F3661" s="56"/>
    </row>
    <row r="3662" spans="1:6" ht="15">
      <c r="A3662" s="51">
        <v>2026496</v>
      </c>
      <c r="B3662" t="s">
        <v>1266</v>
      </c>
      <c r="C3662" s="39" t="s">
        <v>1267</v>
      </c>
      <c r="D3662">
        <v>7</v>
      </c>
      <c r="F3662" s="56"/>
    </row>
    <row r="3663" spans="1:6" ht="15">
      <c r="A3663" s="51">
        <v>2753686</v>
      </c>
      <c r="B3663">
        <v>13</v>
      </c>
      <c r="C3663" s="39" t="s">
        <v>2587</v>
      </c>
      <c r="D3663">
        <v>9</v>
      </c>
      <c r="F3663" s="56"/>
    </row>
    <row r="3664" spans="1:6" ht="15">
      <c r="A3664" s="51">
        <v>2753692</v>
      </c>
      <c r="B3664" t="s">
        <v>913</v>
      </c>
      <c r="C3664" s="39" t="s">
        <v>1338</v>
      </c>
      <c r="D3664" t="s">
        <v>4244</v>
      </c>
      <c r="F3664" s="56"/>
    </row>
    <row r="3665" spans="1:6" ht="15">
      <c r="A3665" s="51">
        <v>2753690</v>
      </c>
      <c r="B3665" t="s">
        <v>916</v>
      </c>
      <c r="C3665" s="39" t="s">
        <v>1338</v>
      </c>
      <c r="D3665" t="s">
        <v>4244</v>
      </c>
      <c r="F3665" s="56"/>
    </row>
    <row r="3666" spans="1:6" ht="15">
      <c r="A3666" s="51">
        <v>2753688</v>
      </c>
      <c r="B3666" t="s">
        <v>917</v>
      </c>
      <c r="C3666" s="39" t="s">
        <v>2177</v>
      </c>
      <c r="D3666">
        <v>8</v>
      </c>
      <c r="F3666" s="56"/>
    </row>
    <row r="3667" spans="1:6" ht="15">
      <c r="A3667" s="51">
        <v>2753735</v>
      </c>
      <c r="B3667" t="s">
        <v>918</v>
      </c>
      <c r="C3667" s="39" t="s">
        <v>2177</v>
      </c>
      <c r="D3667">
        <v>8</v>
      </c>
      <c r="F3667" s="56"/>
    </row>
    <row r="3668" spans="1:6" ht="15">
      <c r="A3668" s="51">
        <v>2753691</v>
      </c>
      <c r="B3668" t="s">
        <v>920</v>
      </c>
      <c r="C3668" s="39" t="s">
        <v>1388</v>
      </c>
      <c r="D3668" t="s">
        <v>4247</v>
      </c>
      <c r="F3668" s="56"/>
    </row>
    <row r="3669" spans="1:6" ht="15">
      <c r="A3669" s="51">
        <v>2753689</v>
      </c>
      <c r="B3669" t="s">
        <v>599</v>
      </c>
      <c r="C3669" s="39" t="s">
        <v>1343</v>
      </c>
      <c r="D3669">
        <v>9</v>
      </c>
      <c r="F3669" s="56"/>
    </row>
    <row r="3670" spans="1:6" ht="15">
      <c r="A3670" s="51">
        <v>2753698</v>
      </c>
      <c r="B3670">
        <v>99</v>
      </c>
      <c r="C3670" s="39" t="s">
        <v>2593</v>
      </c>
      <c r="D3670">
        <v>7</v>
      </c>
      <c r="F3670" s="56"/>
    </row>
    <row r="3671" spans="1:6" ht="15">
      <c r="A3671" s="51">
        <v>2516794</v>
      </c>
      <c r="B3671" t="s">
        <v>1270</v>
      </c>
      <c r="C3671" s="39" t="s">
        <v>1902</v>
      </c>
      <c r="D3671">
        <v>8</v>
      </c>
      <c r="F3671" s="56"/>
    </row>
    <row r="3672" spans="1:6" ht="15">
      <c r="A3672" s="51">
        <v>2753687</v>
      </c>
      <c r="B3672" t="s">
        <v>2595</v>
      </c>
      <c r="C3672" s="39" t="s">
        <v>1301</v>
      </c>
      <c r="D3672">
        <v>8</v>
      </c>
      <c r="F3672" s="56"/>
    </row>
    <row r="3673" spans="1:6" ht="15">
      <c r="A3673" s="51">
        <v>2452750</v>
      </c>
      <c r="B3673" t="s">
        <v>1905</v>
      </c>
      <c r="C3673" s="39" t="s">
        <v>1338</v>
      </c>
      <c r="D3673" t="s">
        <v>4244</v>
      </c>
      <c r="F3673" s="56"/>
    </row>
    <row r="3674" spans="1:6" ht="15">
      <c r="A3674" s="51">
        <v>2403640</v>
      </c>
      <c r="B3674" t="s">
        <v>1906</v>
      </c>
      <c r="C3674" s="39" t="s">
        <v>1338</v>
      </c>
      <c r="D3674" t="s">
        <v>4244</v>
      </c>
      <c r="F3674" s="56"/>
    </row>
    <row r="3675" spans="1:6" ht="15">
      <c r="A3675" s="51">
        <v>2026497</v>
      </c>
      <c r="B3675" t="s">
        <v>1907</v>
      </c>
      <c r="C3675" s="39" t="s">
        <v>1338</v>
      </c>
      <c r="D3675">
        <v>8</v>
      </c>
      <c r="F3675" s="56"/>
    </row>
    <row r="3676" spans="1:6" ht="15">
      <c r="A3676" s="51">
        <v>2403637</v>
      </c>
      <c r="B3676" t="s">
        <v>1908</v>
      </c>
      <c r="C3676" s="39" t="s">
        <v>1338</v>
      </c>
      <c r="D3676">
        <v>9</v>
      </c>
      <c r="F3676" s="56"/>
    </row>
    <row r="3677" spans="1:6" ht="15">
      <c r="A3677" s="51">
        <v>2516797</v>
      </c>
      <c r="B3677" t="s">
        <v>2107</v>
      </c>
      <c r="C3677" s="39" t="s">
        <v>2108</v>
      </c>
      <c r="D3677" t="s">
        <v>4244</v>
      </c>
      <c r="F3677" s="56"/>
    </row>
    <row r="3678" spans="1:6" ht="15">
      <c r="A3678" s="51">
        <v>2516796</v>
      </c>
      <c r="B3678" t="s">
        <v>1909</v>
      </c>
      <c r="C3678" s="39" t="s">
        <v>1910</v>
      </c>
      <c r="D3678" t="s">
        <v>4244</v>
      </c>
      <c r="F3678" s="56"/>
    </row>
    <row r="3679" spans="1:6" ht="15">
      <c r="A3679" s="51">
        <v>2452751</v>
      </c>
      <c r="B3679" t="s">
        <v>1911</v>
      </c>
      <c r="C3679" s="39" t="s">
        <v>2775</v>
      </c>
      <c r="D3679">
        <v>8</v>
      </c>
      <c r="F3679" s="56"/>
    </row>
    <row r="3680" spans="1:6" ht="15">
      <c r="A3680" s="51">
        <v>2516798</v>
      </c>
      <c r="B3680" t="s">
        <v>1913</v>
      </c>
      <c r="C3680" s="39" t="s">
        <v>1274</v>
      </c>
      <c r="D3680" t="s">
        <v>4244</v>
      </c>
      <c r="F3680" s="56"/>
    </row>
    <row r="3681" spans="1:6" ht="15">
      <c r="A3681" s="51">
        <v>2516834</v>
      </c>
      <c r="B3681" t="s">
        <v>1273</v>
      </c>
      <c r="C3681" s="39" t="s">
        <v>1274</v>
      </c>
      <c r="D3681">
        <v>7</v>
      </c>
      <c r="F3681" s="56"/>
    </row>
    <row r="3682" spans="1:6" ht="15">
      <c r="A3682" s="51">
        <v>2516831</v>
      </c>
      <c r="B3682" t="s">
        <v>1914</v>
      </c>
      <c r="C3682" s="39" t="s">
        <v>1274</v>
      </c>
      <c r="D3682">
        <v>8</v>
      </c>
      <c r="F3682" s="56"/>
    </row>
    <row r="3683" spans="1:6" ht="15">
      <c r="A3683" s="51">
        <v>2516832</v>
      </c>
      <c r="B3683" t="s">
        <v>1275</v>
      </c>
      <c r="C3683" s="39" t="s">
        <v>1274</v>
      </c>
      <c r="D3683">
        <v>8</v>
      </c>
      <c r="F3683" s="56"/>
    </row>
    <row r="3684" spans="1:6" ht="15">
      <c r="A3684" s="51">
        <v>2516833</v>
      </c>
      <c r="B3684" t="s">
        <v>2109</v>
      </c>
      <c r="C3684" s="39" t="s">
        <v>2110</v>
      </c>
      <c r="D3684">
        <v>7</v>
      </c>
      <c r="F3684" s="56"/>
    </row>
    <row r="3685" spans="1:6" ht="15">
      <c r="A3685" s="51">
        <v>2517671</v>
      </c>
      <c r="B3685" t="s">
        <v>2111</v>
      </c>
      <c r="C3685" s="39" t="s">
        <v>2110</v>
      </c>
      <c r="D3685">
        <v>8</v>
      </c>
      <c r="F3685" s="56"/>
    </row>
    <row r="3686" spans="1:6" ht="15">
      <c r="A3686" s="51">
        <v>2516800</v>
      </c>
      <c r="B3686" t="s">
        <v>2117</v>
      </c>
      <c r="C3686" s="39" t="s">
        <v>2118</v>
      </c>
      <c r="D3686" t="s">
        <v>4247</v>
      </c>
      <c r="F3686" s="56"/>
    </row>
    <row r="3687" spans="1:6" ht="15">
      <c r="A3687" s="51">
        <v>2516845</v>
      </c>
      <c r="B3687" t="s">
        <v>1276</v>
      </c>
      <c r="C3687" s="39" t="s">
        <v>1277</v>
      </c>
      <c r="D3687">
        <v>7</v>
      </c>
      <c r="F3687" s="56"/>
    </row>
    <row r="3688" spans="1:6" ht="15">
      <c r="A3688" s="51">
        <v>2516846</v>
      </c>
      <c r="B3688" t="s">
        <v>2122</v>
      </c>
      <c r="C3688" s="39" t="s">
        <v>1388</v>
      </c>
      <c r="D3688" t="s">
        <v>4247</v>
      </c>
      <c r="F3688" s="56"/>
    </row>
    <row r="3689" spans="1:6" ht="15">
      <c r="A3689" s="51">
        <v>2516801</v>
      </c>
      <c r="B3689" t="s">
        <v>1915</v>
      </c>
      <c r="C3689" s="39" t="s">
        <v>2601</v>
      </c>
      <c r="D3689">
        <v>9</v>
      </c>
      <c r="F3689" s="56"/>
    </row>
    <row r="3690" spans="1:6" ht="15">
      <c r="A3690" s="51">
        <v>2516849</v>
      </c>
      <c r="B3690" t="s">
        <v>1278</v>
      </c>
      <c r="C3690" s="39" t="s">
        <v>1279</v>
      </c>
      <c r="D3690">
        <v>8</v>
      </c>
      <c r="F3690" s="56"/>
    </row>
    <row r="3691" spans="1:6" ht="15">
      <c r="A3691" s="51">
        <v>2516802</v>
      </c>
      <c r="B3691" t="s">
        <v>1917</v>
      </c>
      <c r="C3691" s="39" t="s">
        <v>1279</v>
      </c>
      <c r="D3691">
        <v>9</v>
      </c>
      <c r="F3691" s="56"/>
    </row>
    <row r="3692" spans="1:6" ht="15">
      <c r="A3692" s="51">
        <v>2517631</v>
      </c>
      <c r="B3692" t="s">
        <v>1280</v>
      </c>
      <c r="C3692" s="39" t="s">
        <v>1281</v>
      </c>
      <c r="D3692">
        <v>8</v>
      </c>
      <c r="F3692" s="56"/>
    </row>
    <row r="3693" spans="1:6" ht="15">
      <c r="A3693" s="51">
        <v>2517633</v>
      </c>
      <c r="B3693" t="s">
        <v>1282</v>
      </c>
      <c r="C3693" s="39" t="s">
        <v>1281</v>
      </c>
      <c r="D3693">
        <v>8</v>
      </c>
      <c r="F3693" s="56"/>
    </row>
    <row r="3694" spans="1:6" ht="15">
      <c r="A3694" s="51">
        <v>2517634</v>
      </c>
      <c r="B3694" t="s">
        <v>2134</v>
      </c>
      <c r="C3694" s="39" t="s">
        <v>1918</v>
      </c>
      <c r="D3694">
        <v>9</v>
      </c>
      <c r="F3694" s="56"/>
    </row>
    <row r="3695" spans="1:6" ht="15">
      <c r="A3695" s="51">
        <v>2452749</v>
      </c>
      <c r="B3695" t="s">
        <v>1283</v>
      </c>
      <c r="C3695" s="39" t="s">
        <v>1284</v>
      </c>
      <c r="D3695">
        <v>8</v>
      </c>
      <c r="F3695" s="56"/>
    </row>
    <row r="3696" spans="1:6" ht="15">
      <c r="A3696" s="51">
        <v>2485430</v>
      </c>
      <c r="B3696" t="s">
        <v>1919</v>
      </c>
      <c r="C3696" s="39" t="s">
        <v>1284</v>
      </c>
      <c r="D3696">
        <v>8</v>
      </c>
      <c r="F3696" s="56"/>
    </row>
    <row r="3697" spans="1:6" ht="15">
      <c r="A3697" s="51">
        <v>2516804</v>
      </c>
      <c r="B3697" t="s">
        <v>1285</v>
      </c>
      <c r="C3697" s="39" t="s">
        <v>1286</v>
      </c>
      <c r="D3697">
        <v>9</v>
      </c>
      <c r="F3697" s="56"/>
    </row>
    <row r="3698" spans="1:6" ht="15">
      <c r="A3698" s="51">
        <v>2517644</v>
      </c>
      <c r="B3698" t="s">
        <v>1287</v>
      </c>
      <c r="C3698" s="39" t="s">
        <v>1288</v>
      </c>
      <c r="D3698">
        <v>8</v>
      </c>
      <c r="F3698" s="56"/>
    </row>
    <row r="3699" spans="1:6" ht="15">
      <c r="A3699" s="51">
        <v>2516805</v>
      </c>
      <c r="B3699" t="s">
        <v>1920</v>
      </c>
      <c r="C3699" s="39" t="s">
        <v>1921</v>
      </c>
      <c r="D3699">
        <v>8</v>
      </c>
      <c r="F3699" s="56"/>
    </row>
    <row r="3700" spans="1:6" ht="15">
      <c r="A3700" s="51">
        <v>2516311</v>
      </c>
      <c r="B3700" t="s">
        <v>1924</v>
      </c>
      <c r="C3700" s="39" t="s">
        <v>1925</v>
      </c>
      <c r="D3700">
        <v>8</v>
      </c>
      <c r="F3700" s="56"/>
    </row>
    <row r="3701" spans="1:6" ht="15">
      <c r="A3701" s="51">
        <v>2521643</v>
      </c>
      <c r="B3701" t="s">
        <v>2141</v>
      </c>
      <c r="C3701" s="39" t="s">
        <v>2142</v>
      </c>
      <c r="D3701">
        <v>9</v>
      </c>
      <c r="F3701" s="56"/>
    </row>
    <row r="3702" spans="1:6" ht="15">
      <c r="A3702" s="51">
        <v>2516806</v>
      </c>
      <c r="B3702" t="s">
        <v>1296</v>
      </c>
      <c r="C3702" s="39" t="s">
        <v>1297</v>
      </c>
      <c r="D3702">
        <v>8</v>
      </c>
      <c r="F3702" s="56"/>
    </row>
    <row r="3703" spans="1:6" ht="15">
      <c r="A3703" s="51">
        <v>3108032</v>
      </c>
      <c r="B3703" t="s">
        <v>1298</v>
      </c>
      <c r="C3703" s="39" t="s">
        <v>1299</v>
      </c>
      <c r="D3703">
        <v>8</v>
      </c>
      <c r="F3703" s="56"/>
    </row>
    <row r="3704" spans="1:6" ht="15">
      <c r="A3704" s="51">
        <v>2516807</v>
      </c>
      <c r="B3704" t="s">
        <v>1926</v>
      </c>
      <c r="C3704" s="39" t="s">
        <v>1299</v>
      </c>
      <c r="D3704">
        <v>9</v>
      </c>
      <c r="F3704" s="56"/>
    </row>
    <row r="3705" spans="1:6" ht="15">
      <c r="A3705" s="51">
        <v>3108039</v>
      </c>
      <c r="B3705" t="s">
        <v>1300</v>
      </c>
      <c r="C3705" s="39" t="s">
        <v>1301</v>
      </c>
      <c r="D3705">
        <v>8</v>
      </c>
      <c r="F3705" s="56"/>
    </row>
    <row r="3706" spans="1:6" ht="15">
      <c r="A3706" s="51">
        <v>3108040</v>
      </c>
      <c r="B3706" t="s">
        <v>1302</v>
      </c>
      <c r="C3706" s="39" t="s">
        <v>1301</v>
      </c>
      <c r="D3706">
        <v>8</v>
      </c>
      <c r="F3706" s="56"/>
    </row>
    <row r="3707" spans="1:6" ht="15">
      <c r="A3707" s="51">
        <v>3108035</v>
      </c>
      <c r="B3707" t="s">
        <v>1303</v>
      </c>
      <c r="C3707" s="39" t="s">
        <v>1304</v>
      </c>
      <c r="D3707">
        <v>8</v>
      </c>
      <c r="F3707" s="56"/>
    </row>
    <row r="3708" spans="1:6" ht="15">
      <c r="A3708" s="51">
        <v>2026502</v>
      </c>
      <c r="B3708" t="s">
        <v>1305</v>
      </c>
      <c r="C3708" s="39" t="s">
        <v>1306</v>
      </c>
      <c r="D3708">
        <v>8</v>
      </c>
      <c r="F3708" s="56"/>
    </row>
    <row r="3709" spans="1:6" ht="15">
      <c r="A3709" s="51">
        <v>2753693</v>
      </c>
      <c r="B3709" t="s">
        <v>2143</v>
      </c>
      <c r="C3709" s="39" t="s">
        <v>2776</v>
      </c>
      <c r="D3709">
        <v>9</v>
      </c>
      <c r="F3709" s="56"/>
    </row>
    <row r="3710" spans="1:6" ht="15">
      <c r="A3710" s="51">
        <v>2516812</v>
      </c>
      <c r="B3710" t="s">
        <v>2150</v>
      </c>
      <c r="C3710" s="39" t="s">
        <v>2151</v>
      </c>
      <c r="D3710">
        <v>9</v>
      </c>
      <c r="F3710" s="56"/>
    </row>
    <row r="3711" spans="1:6" ht="15">
      <c r="A3711" s="51">
        <v>2422591</v>
      </c>
      <c r="B3711" t="s">
        <v>1307</v>
      </c>
      <c r="C3711" s="39" t="s">
        <v>1308</v>
      </c>
      <c r="D3711">
        <v>8</v>
      </c>
      <c r="F3711" s="56"/>
    </row>
    <row r="3712" spans="1:6" ht="15">
      <c r="A3712" s="51">
        <v>2026504</v>
      </c>
      <c r="B3712" t="s">
        <v>1309</v>
      </c>
      <c r="C3712" s="39" t="s">
        <v>1308</v>
      </c>
      <c r="D3712">
        <v>8</v>
      </c>
      <c r="F3712" s="56"/>
    </row>
    <row r="3713" spans="1:6" ht="15">
      <c r="A3713" s="51">
        <v>2516815</v>
      </c>
      <c r="B3713" t="s">
        <v>1310</v>
      </c>
      <c r="C3713" s="39" t="s">
        <v>1308</v>
      </c>
      <c r="D3713">
        <v>8</v>
      </c>
      <c r="F3713" s="56"/>
    </row>
    <row r="3714" spans="1:6" ht="15">
      <c r="A3714" s="51">
        <v>2516814</v>
      </c>
      <c r="B3714" t="s">
        <v>1928</v>
      </c>
      <c r="C3714" s="39" t="s">
        <v>2602</v>
      </c>
      <c r="D3714">
        <v>9</v>
      </c>
      <c r="F3714" s="56"/>
    </row>
    <row r="3715" spans="1:6" ht="15">
      <c r="A3715" s="51">
        <v>2753694</v>
      </c>
      <c r="B3715" t="s">
        <v>2152</v>
      </c>
      <c r="C3715" s="39" t="s">
        <v>2153</v>
      </c>
      <c r="D3715">
        <v>8</v>
      </c>
      <c r="F3715" s="56"/>
    </row>
    <row r="3716" spans="1:6" ht="15">
      <c r="A3716" s="51">
        <v>2753695</v>
      </c>
      <c r="B3716" t="s">
        <v>1930</v>
      </c>
      <c r="C3716" s="39" t="s">
        <v>2154</v>
      </c>
      <c r="D3716">
        <v>8</v>
      </c>
      <c r="F3716" s="56"/>
    </row>
    <row r="3717" spans="1:6" ht="15">
      <c r="A3717" s="51">
        <v>2753697</v>
      </c>
      <c r="B3717" t="s">
        <v>2572</v>
      </c>
      <c r="C3717" s="39" t="s">
        <v>1312</v>
      </c>
      <c r="D3717">
        <v>9</v>
      </c>
      <c r="F3717" s="56"/>
    </row>
    <row r="3718" spans="1:6" ht="15">
      <c r="A3718" s="51">
        <v>2452752</v>
      </c>
      <c r="B3718" t="s">
        <v>1933</v>
      </c>
      <c r="C3718" s="39" t="s">
        <v>2067</v>
      </c>
      <c r="D3718">
        <v>9</v>
      </c>
      <c r="F3718" s="56"/>
    </row>
    <row r="3719" spans="1:6" ht="15">
      <c r="A3719" s="51">
        <v>2487397</v>
      </c>
      <c r="B3719" t="s">
        <v>2645</v>
      </c>
      <c r="C3719" s="39" t="s">
        <v>2646</v>
      </c>
      <c r="D3719" t="s">
        <v>4243</v>
      </c>
      <c r="F3719" s="56"/>
    </row>
    <row r="3720" spans="1:6" ht="15">
      <c r="A3720" s="51">
        <v>2504280</v>
      </c>
      <c r="B3720" t="s">
        <v>2777</v>
      </c>
      <c r="C3720" s="39" t="s">
        <v>1632</v>
      </c>
      <c r="D3720" t="s">
        <v>4243</v>
      </c>
      <c r="F3720" s="56"/>
    </row>
    <row r="3721" spans="1:6" ht="15">
      <c r="A3721" s="51">
        <v>2479286</v>
      </c>
      <c r="B3721" t="s">
        <v>2778</v>
      </c>
      <c r="C3721" s="39" t="s">
        <v>2779</v>
      </c>
      <c r="D3721">
        <v>7</v>
      </c>
      <c r="F3721" s="56"/>
    </row>
    <row r="3722" spans="1:6" ht="15">
      <c r="A3722" s="51">
        <v>2507075</v>
      </c>
      <c r="B3722" t="s">
        <v>2162</v>
      </c>
      <c r="C3722" s="39" t="s">
        <v>2163</v>
      </c>
      <c r="D3722">
        <v>8</v>
      </c>
      <c r="F3722" s="56"/>
    </row>
    <row r="3723" spans="1:6" ht="15">
      <c r="A3723" s="51">
        <v>2479237</v>
      </c>
      <c r="B3723" t="s">
        <v>2164</v>
      </c>
      <c r="C3723" s="39" t="s">
        <v>2165</v>
      </c>
      <c r="D3723" t="s">
        <v>4244</v>
      </c>
      <c r="F3723" s="56"/>
    </row>
    <row r="3724" spans="1:6" ht="15">
      <c r="A3724" s="51">
        <v>2479228</v>
      </c>
      <c r="B3724" t="s">
        <v>2647</v>
      </c>
      <c r="C3724" s="39" t="s">
        <v>2648</v>
      </c>
      <c r="D3724">
        <v>8</v>
      </c>
      <c r="F3724" s="56"/>
    </row>
    <row r="3725" spans="1:6" ht="15">
      <c r="A3725" s="51">
        <v>2504278</v>
      </c>
      <c r="B3725" t="s">
        <v>2166</v>
      </c>
      <c r="C3725" s="39" t="s">
        <v>2167</v>
      </c>
      <c r="D3725">
        <v>8</v>
      </c>
      <c r="F3725" s="56"/>
    </row>
    <row r="3726" spans="1:6" ht="15">
      <c r="A3726" s="51">
        <v>2507072</v>
      </c>
      <c r="B3726" t="s">
        <v>2780</v>
      </c>
      <c r="C3726" s="39" t="s">
        <v>2781</v>
      </c>
      <c r="D3726">
        <v>7</v>
      </c>
      <c r="F3726" s="56"/>
    </row>
    <row r="3727" spans="1:6" ht="15">
      <c r="A3727" s="51">
        <v>2507071</v>
      </c>
      <c r="B3727" t="s">
        <v>2782</v>
      </c>
      <c r="C3727" s="39" t="s">
        <v>2783</v>
      </c>
      <c r="D3727" t="s">
        <v>4243</v>
      </c>
      <c r="F3727" s="56"/>
    </row>
    <row r="3728" spans="1:6" ht="15">
      <c r="A3728" s="51">
        <v>2507073</v>
      </c>
      <c r="B3728" t="s">
        <v>2784</v>
      </c>
      <c r="C3728" s="39" t="s">
        <v>2783</v>
      </c>
      <c r="D3728">
        <v>7</v>
      </c>
      <c r="F3728" s="56"/>
    </row>
    <row r="3729" spans="1:6" ht="15">
      <c r="A3729" s="51">
        <v>2504279</v>
      </c>
      <c r="B3729" t="s">
        <v>2785</v>
      </c>
      <c r="C3729" s="39" t="s">
        <v>2786</v>
      </c>
      <c r="D3729">
        <v>8</v>
      </c>
      <c r="F3729" s="56"/>
    </row>
    <row r="3730" spans="1:6" ht="15">
      <c r="A3730" s="51">
        <v>2568248</v>
      </c>
      <c r="B3730" t="s">
        <v>2657</v>
      </c>
      <c r="C3730" s="39" t="s">
        <v>2787</v>
      </c>
      <c r="D3730">
        <v>8</v>
      </c>
      <c r="F3730" s="56"/>
    </row>
    <row r="3731" spans="1:6" ht="15">
      <c r="A3731" s="51">
        <v>2568249</v>
      </c>
      <c r="B3731" t="s">
        <v>2666</v>
      </c>
      <c r="C3731" s="39" t="s">
        <v>2788</v>
      </c>
      <c r="D3731">
        <v>8</v>
      </c>
      <c r="F3731" s="56"/>
    </row>
    <row r="3732" spans="1:6" ht="15">
      <c r="A3732" s="51">
        <v>2568250</v>
      </c>
      <c r="B3732" t="s">
        <v>2670</v>
      </c>
      <c r="C3732" s="39" t="s">
        <v>2671</v>
      </c>
      <c r="D3732">
        <v>9</v>
      </c>
      <c r="F3732" s="56"/>
    </row>
    <row r="3733" spans="1:6" ht="15">
      <c r="A3733" s="51">
        <v>2677611</v>
      </c>
      <c r="B3733" t="s">
        <v>2168</v>
      </c>
      <c r="C3733" s="39" t="s">
        <v>1338</v>
      </c>
      <c r="D3733" t="s">
        <v>4244</v>
      </c>
      <c r="F3733" s="56"/>
    </row>
    <row r="3734" spans="1:6" ht="15">
      <c r="A3734" s="51">
        <v>2677612</v>
      </c>
      <c r="B3734" t="s">
        <v>2170</v>
      </c>
      <c r="C3734" s="39" t="s">
        <v>1338</v>
      </c>
      <c r="D3734" t="s">
        <v>4244</v>
      </c>
      <c r="F3734" s="56"/>
    </row>
    <row r="3735" spans="1:6" ht="15">
      <c r="A3735" s="51">
        <v>2677613</v>
      </c>
      <c r="B3735" t="s">
        <v>2789</v>
      </c>
      <c r="C3735" s="39" t="s">
        <v>1338</v>
      </c>
      <c r="D3735" t="s">
        <v>4244</v>
      </c>
      <c r="F3735" s="56"/>
    </row>
    <row r="3736" spans="1:6" ht="15">
      <c r="A3736" s="51">
        <v>2677614</v>
      </c>
      <c r="B3736" t="s">
        <v>2171</v>
      </c>
      <c r="C3736" s="39" t="s">
        <v>1338</v>
      </c>
      <c r="D3736">
        <v>8</v>
      </c>
      <c r="F3736" s="56"/>
    </row>
    <row r="3737" spans="1:6" ht="15">
      <c r="A3737" s="51">
        <v>2677615</v>
      </c>
      <c r="B3737" t="s">
        <v>2790</v>
      </c>
      <c r="C3737" s="39" t="s">
        <v>1338</v>
      </c>
      <c r="D3737" t="s">
        <v>4243</v>
      </c>
      <c r="F3737" s="56"/>
    </row>
    <row r="3738" spans="1:6" ht="15">
      <c r="A3738" s="51">
        <v>2677616</v>
      </c>
      <c r="B3738" t="s">
        <v>1339</v>
      </c>
      <c r="C3738" s="39" t="s">
        <v>2172</v>
      </c>
      <c r="D3738" t="s">
        <v>4243</v>
      </c>
      <c r="F3738" s="56"/>
    </row>
    <row r="3739" spans="1:6" ht="15">
      <c r="A3739" s="51">
        <v>2677617</v>
      </c>
      <c r="B3739" t="s">
        <v>1340</v>
      </c>
      <c r="C3739" s="39" t="s">
        <v>2172</v>
      </c>
      <c r="D3739">
        <v>7</v>
      </c>
      <c r="F3739" s="56"/>
    </row>
    <row r="3740" spans="1:6" ht="15">
      <c r="A3740" s="51">
        <v>2677618</v>
      </c>
      <c r="B3740" t="s">
        <v>833</v>
      </c>
      <c r="C3740" s="39" t="s">
        <v>88</v>
      </c>
      <c r="D3740">
        <v>8</v>
      </c>
      <c r="F3740" s="56"/>
    </row>
    <row r="3741" spans="1:6" ht="15">
      <c r="A3741" s="51">
        <v>2677619</v>
      </c>
      <c r="B3741" t="s">
        <v>1958</v>
      </c>
      <c r="C3741" s="39" t="s">
        <v>138</v>
      </c>
      <c r="D3741">
        <v>9</v>
      </c>
      <c r="F3741" s="56"/>
    </row>
    <row r="3742" spans="1:6" ht="15">
      <c r="A3742" s="51">
        <v>2677620</v>
      </c>
      <c r="B3742" t="s">
        <v>2791</v>
      </c>
      <c r="C3742" s="39" t="s">
        <v>132</v>
      </c>
      <c r="D3742" t="s">
        <v>471</v>
      </c>
      <c r="F3742" s="56"/>
    </row>
    <row r="3743" spans="1:6" ht="15">
      <c r="A3743" s="51">
        <v>2677621</v>
      </c>
      <c r="B3743" t="s">
        <v>2792</v>
      </c>
      <c r="C3743" s="39" t="s">
        <v>2298</v>
      </c>
      <c r="D3743" t="s">
        <v>4245</v>
      </c>
      <c r="F3743" s="56"/>
    </row>
    <row r="3744" spans="1:6" ht="15">
      <c r="A3744" s="51">
        <v>2677622</v>
      </c>
      <c r="B3744" t="s">
        <v>2793</v>
      </c>
      <c r="C3744" s="39" t="s">
        <v>2298</v>
      </c>
      <c r="D3744" t="s">
        <v>4246</v>
      </c>
      <c r="F3744" s="56"/>
    </row>
    <row r="3745" spans="1:6" ht="15">
      <c r="A3745" s="51">
        <v>2677623</v>
      </c>
      <c r="B3745" t="s">
        <v>2672</v>
      </c>
      <c r="C3745" s="39" t="s">
        <v>1350</v>
      </c>
      <c r="D3745" t="s">
        <v>1595</v>
      </c>
      <c r="F3745" s="56"/>
    </row>
    <row r="3746" spans="1:6" ht="15">
      <c r="A3746" s="51">
        <v>2677624</v>
      </c>
      <c r="B3746" t="s">
        <v>1342</v>
      </c>
      <c r="C3746" s="39" t="s">
        <v>1350</v>
      </c>
      <c r="D3746" t="s">
        <v>468</v>
      </c>
      <c r="F3746" s="56"/>
    </row>
    <row r="3747" spans="1:6" ht="15">
      <c r="A3747" s="51">
        <v>2753702</v>
      </c>
      <c r="B3747" t="s">
        <v>2794</v>
      </c>
      <c r="C3747" s="39" t="s">
        <v>2795</v>
      </c>
      <c r="D3747">
        <v>8</v>
      </c>
      <c r="F3747" s="56"/>
    </row>
    <row r="3748" spans="1:6" ht="15">
      <c r="A3748" s="51">
        <v>2753703</v>
      </c>
      <c r="B3748" t="s">
        <v>321</v>
      </c>
      <c r="C3748" s="39" t="s">
        <v>1338</v>
      </c>
      <c r="D3748" t="s">
        <v>4244</v>
      </c>
      <c r="F3748" s="56"/>
    </row>
    <row r="3749" spans="1:6" ht="15">
      <c r="A3749" s="51">
        <v>2753704</v>
      </c>
      <c r="B3749" t="s">
        <v>322</v>
      </c>
      <c r="C3749" s="39" t="s">
        <v>1338</v>
      </c>
      <c r="D3749" t="s">
        <v>4244</v>
      </c>
      <c r="F3749" s="56"/>
    </row>
    <row r="3750" spans="1:6" ht="15">
      <c r="A3750" s="51">
        <v>2753705</v>
      </c>
      <c r="B3750" t="s">
        <v>1787</v>
      </c>
      <c r="C3750" s="39" t="s">
        <v>1338</v>
      </c>
      <c r="D3750" t="s">
        <v>4244</v>
      </c>
      <c r="F3750" s="56"/>
    </row>
    <row r="3751" spans="1:6" ht="15">
      <c r="A3751" s="51">
        <v>2753706</v>
      </c>
      <c r="B3751" t="s">
        <v>2796</v>
      </c>
      <c r="C3751" s="39" t="s">
        <v>1338</v>
      </c>
      <c r="D3751" t="s">
        <v>4244</v>
      </c>
      <c r="F3751" s="56"/>
    </row>
    <row r="3752" spans="1:6" ht="15">
      <c r="A3752" s="51">
        <v>2568247</v>
      </c>
      <c r="B3752" t="s">
        <v>323</v>
      </c>
      <c r="C3752" s="39" t="s">
        <v>2797</v>
      </c>
      <c r="D3752">
        <v>8</v>
      </c>
      <c r="F3752" s="56"/>
    </row>
    <row r="3753" spans="1:6" ht="15">
      <c r="A3753" s="51">
        <v>2677625</v>
      </c>
      <c r="B3753" t="s">
        <v>2798</v>
      </c>
      <c r="C3753" s="39" t="s">
        <v>140</v>
      </c>
      <c r="D3753">
        <v>8</v>
      </c>
      <c r="F3753" s="56"/>
    </row>
    <row r="3754" spans="1:6" ht="15">
      <c r="A3754" s="51">
        <v>2677626</v>
      </c>
      <c r="B3754" t="s">
        <v>2799</v>
      </c>
      <c r="C3754" s="39" t="s">
        <v>2800</v>
      </c>
      <c r="D3754">
        <v>9</v>
      </c>
      <c r="F3754" s="56"/>
    </row>
    <row r="3755" spans="1:6" ht="15">
      <c r="A3755" s="51">
        <v>2677627</v>
      </c>
      <c r="B3755" t="s">
        <v>1353</v>
      </c>
      <c r="C3755" s="39" t="s">
        <v>2690</v>
      </c>
      <c r="D3755" t="s">
        <v>4243</v>
      </c>
      <c r="F3755" s="56"/>
    </row>
    <row r="3756" spans="1:6" ht="15">
      <c r="A3756" s="51">
        <v>2677628</v>
      </c>
      <c r="B3756" t="s">
        <v>1354</v>
      </c>
      <c r="C3756" s="39" t="s">
        <v>2690</v>
      </c>
      <c r="D3756">
        <v>8</v>
      </c>
      <c r="F3756" s="56"/>
    </row>
    <row r="3757" spans="1:6" ht="15">
      <c r="A3757" s="51">
        <v>2677629</v>
      </c>
      <c r="B3757" t="s">
        <v>2801</v>
      </c>
      <c r="C3757" s="39" t="s">
        <v>2690</v>
      </c>
      <c r="D3757">
        <v>9</v>
      </c>
      <c r="F3757" s="56"/>
    </row>
    <row r="3758" spans="1:6" ht="15">
      <c r="A3758" s="51">
        <v>2677630</v>
      </c>
      <c r="B3758" t="s">
        <v>2184</v>
      </c>
      <c r="C3758" s="39" t="s">
        <v>2802</v>
      </c>
      <c r="D3758" t="s">
        <v>4246</v>
      </c>
      <c r="F3758" s="56"/>
    </row>
    <row r="3759" spans="1:6" ht="15">
      <c r="A3759" s="51">
        <v>2677631</v>
      </c>
      <c r="B3759" t="s">
        <v>2803</v>
      </c>
      <c r="C3759" s="39" t="s">
        <v>2802</v>
      </c>
      <c r="D3759" t="s">
        <v>4246</v>
      </c>
      <c r="F3759" s="56"/>
    </row>
    <row r="3760" spans="1:6" ht="15">
      <c r="A3760" s="51">
        <v>2677632</v>
      </c>
      <c r="B3760" t="s">
        <v>994</v>
      </c>
      <c r="C3760" s="39" t="s">
        <v>2804</v>
      </c>
      <c r="D3760" t="s">
        <v>4245</v>
      </c>
      <c r="F3760" s="56"/>
    </row>
    <row r="3761" spans="1:6" ht="15">
      <c r="A3761" s="51">
        <v>2753708</v>
      </c>
      <c r="B3761" t="s">
        <v>2805</v>
      </c>
      <c r="C3761" s="39" t="s">
        <v>2806</v>
      </c>
      <c r="D3761" t="s">
        <v>4243</v>
      </c>
      <c r="F3761" s="56"/>
    </row>
    <row r="3762" spans="1:6" ht="15">
      <c r="A3762" s="51">
        <v>2753707</v>
      </c>
      <c r="B3762" t="s">
        <v>330</v>
      </c>
      <c r="C3762" s="39" t="s">
        <v>1365</v>
      </c>
      <c r="D3762" t="s">
        <v>4243</v>
      </c>
      <c r="F3762" s="56"/>
    </row>
    <row r="3763" spans="1:6" ht="15">
      <c r="A3763" s="51">
        <v>2677633</v>
      </c>
      <c r="B3763" t="s">
        <v>1970</v>
      </c>
      <c r="C3763" s="39" t="s">
        <v>2807</v>
      </c>
      <c r="D3763" t="s">
        <v>4243</v>
      </c>
      <c r="F3763" s="56"/>
    </row>
    <row r="3764" spans="1:6" ht="15">
      <c r="A3764" s="51">
        <v>2677634</v>
      </c>
      <c r="B3764" t="s">
        <v>838</v>
      </c>
      <c r="C3764" s="39" t="s">
        <v>2807</v>
      </c>
      <c r="D3764" t="s">
        <v>4243</v>
      </c>
      <c r="F3764" s="56"/>
    </row>
    <row r="3765" spans="1:6" ht="15">
      <c r="A3765" s="51">
        <v>2677635</v>
      </c>
      <c r="B3765" t="s">
        <v>839</v>
      </c>
      <c r="C3765" s="39" t="s">
        <v>2807</v>
      </c>
      <c r="D3765">
        <v>7</v>
      </c>
      <c r="F3765" s="56"/>
    </row>
    <row r="3766" spans="1:6" ht="15">
      <c r="A3766" s="51">
        <v>2677636</v>
      </c>
      <c r="B3766" t="s">
        <v>2808</v>
      </c>
      <c r="C3766" s="39" t="s">
        <v>2807</v>
      </c>
      <c r="D3766">
        <v>8</v>
      </c>
      <c r="F3766" s="56"/>
    </row>
    <row r="3767" spans="1:6" ht="15">
      <c r="A3767" s="51">
        <v>2677637</v>
      </c>
      <c r="B3767" t="s">
        <v>1971</v>
      </c>
      <c r="C3767" s="39" t="s">
        <v>373</v>
      </c>
      <c r="D3767" t="s">
        <v>4248</v>
      </c>
      <c r="F3767" s="56"/>
    </row>
    <row r="3768" spans="1:6" ht="15">
      <c r="A3768" s="51">
        <v>2677638</v>
      </c>
      <c r="B3768" t="s">
        <v>2459</v>
      </c>
      <c r="C3768" s="39" t="s">
        <v>536</v>
      </c>
      <c r="D3768" t="s">
        <v>4245</v>
      </c>
      <c r="F3768" s="56"/>
    </row>
    <row r="3769" spans="1:6" ht="15">
      <c r="A3769" s="51">
        <v>2677639</v>
      </c>
      <c r="B3769" t="s">
        <v>2809</v>
      </c>
      <c r="C3769" s="39" t="s">
        <v>536</v>
      </c>
      <c r="D3769" t="s">
        <v>4246</v>
      </c>
      <c r="F3769" s="56"/>
    </row>
    <row r="3770" spans="1:6" ht="15">
      <c r="A3770" s="51">
        <v>2677640</v>
      </c>
      <c r="B3770" t="s">
        <v>840</v>
      </c>
      <c r="C3770" s="39" t="s">
        <v>536</v>
      </c>
      <c r="D3770" t="s">
        <v>4244</v>
      </c>
      <c r="F3770" s="56"/>
    </row>
    <row r="3771" spans="1:6" ht="15">
      <c r="A3771" s="51">
        <v>2677641</v>
      </c>
      <c r="B3771" t="s">
        <v>841</v>
      </c>
      <c r="C3771" s="39" t="s">
        <v>536</v>
      </c>
      <c r="D3771">
        <v>7</v>
      </c>
      <c r="F3771" s="56"/>
    </row>
    <row r="3772" spans="1:6" ht="15">
      <c r="A3772" s="51">
        <v>2677642</v>
      </c>
      <c r="B3772" t="s">
        <v>1150</v>
      </c>
      <c r="C3772" s="39" t="s">
        <v>1347</v>
      </c>
      <c r="D3772">
        <v>7</v>
      </c>
      <c r="F3772" s="56"/>
    </row>
    <row r="3773" spans="1:6" ht="15">
      <c r="A3773" s="51">
        <v>2677643</v>
      </c>
      <c r="B3773" t="s">
        <v>1151</v>
      </c>
      <c r="C3773" s="39" t="s">
        <v>1347</v>
      </c>
      <c r="D3773">
        <v>8</v>
      </c>
      <c r="F3773" s="56"/>
    </row>
    <row r="3774" spans="1:6" ht="15">
      <c r="A3774" s="51">
        <v>2677644</v>
      </c>
      <c r="B3774" t="s">
        <v>340</v>
      </c>
      <c r="C3774" s="39" t="s">
        <v>1347</v>
      </c>
      <c r="D3774" t="s">
        <v>4243</v>
      </c>
      <c r="F3774" s="56"/>
    </row>
    <row r="3775" spans="1:6" ht="15">
      <c r="A3775" s="51">
        <v>2677645</v>
      </c>
      <c r="B3775" t="s">
        <v>1153</v>
      </c>
      <c r="C3775" s="39" t="s">
        <v>1347</v>
      </c>
      <c r="D3775">
        <v>9</v>
      </c>
      <c r="F3775" s="56"/>
    </row>
    <row r="3776" spans="1:6" ht="15">
      <c r="A3776" s="51">
        <v>2677646</v>
      </c>
      <c r="B3776" t="s">
        <v>341</v>
      </c>
      <c r="C3776" s="39" t="s">
        <v>1347</v>
      </c>
      <c r="D3776" t="s">
        <v>4243</v>
      </c>
      <c r="F3776" s="56"/>
    </row>
    <row r="3777" spans="1:6" ht="15">
      <c r="A3777" s="51">
        <v>2677647</v>
      </c>
      <c r="B3777" t="s">
        <v>343</v>
      </c>
      <c r="C3777" s="39" t="s">
        <v>1347</v>
      </c>
      <c r="D3777">
        <v>8</v>
      </c>
      <c r="F3777" s="56"/>
    </row>
    <row r="3778" spans="1:6" ht="15">
      <c r="A3778" s="51">
        <v>2677648</v>
      </c>
      <c r="B3778" t="s">
        <v>109</v>
      </c>
      <c r="C3778" s="39" t="s">
        <v>1347</v>
      </c>
      <c r="D3778" t="s">
        <v>4243</v>
      </c>
      <c r="F3778" s="56"/>
    </row>
    <row r="3779" spans="1:6" ht="15">
      <c r="A3779" s="51">
        <v>2677649</v>
      </c>
      <c r="B3779" t="s">
        <v>111</v>
      </c>
      <c r="C3779" s="39" t="s">
        <v>1347</v>
      </c>
      <c r="D3779" t="s">
        <v>4243</v>
      </c>
      <c r="F3779" s="56"/>
    </row>
    <row r="3780" spans="1:6" ht="15">
      <c r="A3780" s="51">
        <v>2677650</v>
      </c>
      <c r="B3780" t="s">
        <v>112</v>
      </c>
      <c r="C3780" s="39" t="s">
        <v>1347</v>
      </c>
      <c r="D3780">
        <v>8</v>
      </c>
      <c r="F3780" s="56"/>
    </row>
    <row r="3781" spans="1:6" ht="15">
      <c r="A3781" s="51">
        <v>2677651</v>
      </c>
      <c r="B3781" t="s">
        <v>1156</v>
      </c>
      <c r="C3781" s="39" t="s">
        <v>1347</v>
      </c>
      <c r="D3781">
        <v>8</v>
      </c>
      <c r="F3781" s="56"/>
    </row>
    <row r="3782" spans="1:6" ht="15">
      <c r="A3782" s="51">
        <v>2677652</v>
      </c>
      <c r="B3782" t="s">
        <v>2696</v>
      </c>
      <c r="C3782" s="39" t="s">
        <v>1347</v>
      </c>
      <c r="D3782">
        <v>9</v>
      </c>
      <c r="F3782" s="56"/>
    </row>
    <row r="3783" spans="1:6" ht="15">
      <c r="A3783" s="51">
        <v>2677653</v>
      </c>
      <c r="B3783" t="s">
        <v>2810</v>
      </c>
      <c r="C3783" s="39" t="s">
        <v>1347</v>
      </c>
      <c r="D3783">
        <v>8</v>
      </c>
      <c r="F3783" s="56"/>
    </row>
    <row r="3784" spans="1:6" ht="15">
      <c r="A3784" s="51">
        <v>2677654</v>
      </c>
      <c r="B3784" t="s">
        <v>2811</v>
      </c>
      <c r="C3784" s="39" t="s">
        <v>1274</v>
      </c>
      <c r="D3784">
        <v>9</v>
      </c>
      <c r="F3784" s="56"/>
    </row>
    <row r="3785" spans="1:6" ht="15">
      <c r="A3785" s="51">
        <v>2677655</v>
      </c>
      <c r="B3785" t="s">
        <v>350</v>
      </c>
      <c r="C3785" s="39" t="s">
        <v>1388</v>
      </c>
      <c r="D3785" t="s">
        <v>4247</v>
      </c>
      <c r="F3785" s="56"/>
    </row>
    <row r="3786" spans="1:6" ht="15">
      <c r="A3786" s="51">
        <v>2753709</v>
      </c>
      <c r="B3786" t="s">
        <v>1389</v>
      </c>
      <c r="C3786" s="39" t="s">
        <v>1388</v>
      </c>
      <c r="D3786" t="s">
        <v>4247</v>
      </c>
      <c r="F3786" s="56"/>
    </row>
    <row r="3787" spans="1:6" ht="15">
      <c r="A3787" s="51">
        <v>2677656</v>
      </c>
      <c r="B3787" t="s">
        <v>122</v>
      </c>
      <c r="C3787" s="39" t="s">
        <v>2540</v>
      </c>
      <c r="D3787" t="s">
        <v>1596</v>
      </c>
      <c r="F3787" s="56"/>
    </row>
    <row r="3788" spans="1:6" ht="15">
      <c r="A3788" s="51">
        <v>2677657</v>
      </c>
      <c r="B3788" t="s">
        <v>124</v>
      </c>
      <c r="C3788" s="39" t="s">
        <v>2540</v>
      </c>
      <c r="D3788" t="s">
        <v>471</v>
      </c>
      <c r="F3788" s="56"/>
    </row>
    <row r="3789" spans="1:6" ht="15">
      <c r="A3789" s="51">
        <v>2677660</v>
      </c>
      <c r="B3789" t="s">
        <v>1807</v>
      </c>
      <c r="C3789" s="39" t="s">
        <v>2195</v>
      </c>
      <c r="D3789" t="s">
        <v>4244</v>
      </c>
      <c r="F3789" s="56"/>
    </row>
    <row r="3790" spans="1:6" ht="15">
      <c r="A3790" s="51">
        <v>2677661</v>
      </c>
      <c r="B3790" t="s">
        <v>2198</v>
      </c>
      <c r="C3790" s="39" t="s">
        <v>433</v>
      </c>
      <c r="D3790" t="s">
        <v>4245</v>
      </c>
      <c r="F3790" s="56"/>
    </row>
    <row r="3791" spans="1:6" ht="15">
      <c r="A3791" s="51">
        <v>2677662</v>
      </c>
      <c r="B3791" t="s">
        <v>2202</v>
      </c>
      <c r="C3791" s="39" t="s">
        <v>2812</v>
      </c>
      <c r="D3791" t="s">
        <v>4246</v>
      </c>
      <c r="F3791" s="56"/>
    </row>
    <row r="3792" spans="1:6" ht="15">
      <c r="A3792" s="51">
        <v>2677665</v>
      </c>
      <c r="B3792" t="s">
        <v>2813</v>
      </c>
      <c r="C3792" s="39" t="s">
        <v>2199</v>
      </c>
      <c r="D3792" t="s">
        <v>4244</v>
      </c>
      <c r="F3792" s="56"/>
    </row>
    <row r="3793" spans="1:6" ht="15">
      <c r="A3793" s="51">
        <v>2677666</v>
      </c>
      <c r="B3793" t="s">
        <v>1638</v>
      </c>
      <c r="C3793" s="39" t="s">
        <v>2199</v>
      </c>
      <c r="D3793">
        <v>7</v>
      </c>
      <c r="F3793" s="56"/>
    </row>
    <row r="3794" spans="1:6" ht="15">
      <c r="A3794" s="51">
        <v>2677668</v>
      </c>
      <c r="B3794" t="s">
        <v>2814</v>
      </c>
      <c r="C3794" s="39" t="s">
        <v>2317</v>
      </c>
      <c r="D3794" t="s">
        <v>4247</v>
      </c>
      <c r="F3794" s="56"/>
    </row>
    <row r="3795" spans="1:6" ht="15">
      <c r="A3795" s="51">
        <v>2677669</v>
      </c>
      <c r="B3795" t="s">
        <v>2815</v>
      </c>
      <c r="C3795" s="39" t="s">
        <v>2317</v>
      </c>
      <c r="D3795" t="s">
        <v>4243</v>
      </c>
      <c r="F3795" s="56"/>
    </row>
    <row r="3796" spans="1:6" ht="15">
      <c r="A3796" s="51">
        <v>2677670</v>
      </c>
      <c r="B3796" t="s">
        <v>2816</v>
      </c>
      <c r="C3796" s="39" t="s">
        <v>2317</v>
      </c>
      <c r="D3796">
        <v>7</v>
      </c>
      <c r="F3796" s="56"/>
    </row>
    <row r="3797" spans="1:6" ht="15">
      <c r="A3797" s="51">
        <v>2677671</v>
      </c>
      <c r="B3797" t="s">
        <v>1813</v>
      </c>
      <c r="C3797" s="39" t="s">
        <v>140</v>
      </c>
      <c r="D3797">
        <v>8</v>
      </c>
      <c r="F3797" s="56"/>
    </row>
    <row r="3798" spans="1:6" ht="15">
      <c r="A3798" s="51">
        <v>2677672</v>
      </c>
      <c r="B3798" t="s">
        <v>1814</v>
      </c>
      <c r="C3798" s="39" t="s">
        <v>241</v>
      </c>
      <c r="D3798" t="s">
        <v>4249</v>
      </c>
      <c r="F3798" s="56"/>
    </row>
    <row r="3799" spans="1:6" ht="15">
      <c r="A3799" s="51">
        <v>2677673</v>
      </c>
      <c r="B3799" t="s">
        <v>1029</v>
      </c>
      <c r="C3799" s="39" t="s">
        <v>320</v>
      </c>
      <c r="D3799" t="s">
        <v>4243</v>
      </c>
      <c r="F3799" s="56"/>
    </row>
    <row r="3800" spans="1:6" ht="15">
      <c r="A3800" s="51">
        <v>2677674</v>
      </c>
      <c r="B3800" t="s">
        <v>2817</v>
      </c>
      <c r="C3800" s="39" t="s">
        <v>2818</v>
      </c>
      <c r="D3800" t="s">
        <v>4243</v>
      </c>
      <c r="F3800" s="56"/>
    </row>
    <row r="3801" spans="1:6" ht="15">
      <c r="A3801" s="51">
        <v>2677675</v>
      </c>
      <c r="B3801" t="s">
        <v>1819</v>
      </c>
      <c r="C3801" s="39" t="s">
        <v>2818</v>
      </c>
      <c r="D3801" t="s">
        <v>4243</v>
      </c>
      <c r="F3801" s="56"/>
    </row>
    <row r="3802" spans="1:6" ht="15">
      <c r="A3802" s="51">
        <v>2677676</v>
      </c>
      <c r="B3802" t="s">
        <v>2704</v>
      </c>
      <c r="C3802" s="39" t="s">
        <v>1028</v>
      </c>
      <c r="D3802" t="s">
        <v>4246</v>
      </c>
      <c r="F3802" s="56"/>
    </row>
    <row r="3803" spans="1:6" ht="15">
      <c r="A3803" s="51">
        <v>2677677</v>
      </c>
      <c r="B3803" t="s">
        <v>2819</v>
      </c>
      <c r="C3803" s="39" t="s">
        <v>373</v>
      </c>
      <c r="D3803" t="s">
        <v>4248</v>
      </c>
      <c r="F3803" s="56"/>
    </row>
    <row r="3804" spans="1:6" ht="15">
      <c r="A3804" s="51">
        <v>2677678</v>
      </c>
      <c r="B3804" t="s">
        <v>2820</v>
      </c>
      <c r="C3804" s="39" t="s">
        <v>148</v>
      </c>
      <c r="D3804" t="s">
        <v>4245</v>
      </c>
      <c r="F3804" s="56"/>
    </row>
    <row r="3805" spans="1:6" ht="15">
      <c r="A3805" s="51">
        <v>2677679</v>
      </c>
      <c r="B3805" t="s">
        <v>2821</v>
      </c>
      <c r="C3805" s="39" t="s">
        <v>90</v>
      </c>
      <c r="D3805">
        <v>7</v>
      </c>
      <c r="F3805" s="56"/>
    </row>
    <row r="3806" spans="1:6" ht="15">
      <c r="A3806" s="51">
        <v>2677680</v>
      </c>
      <c r="B3806" t="s">
        <v>2822</v>
      </c>
      <c r="C3806" s="39" t="s">
        <v>90</v>
      </c>
      <c r="D3806">
        <v>7</v>
      </c>
      <c r="F3806" s="56"/>
    </row>
    <row r="3807" spans="1:6" ht="15">
      <c r="A3807" s="51">
        <v>2677681</v>
      </c>
      <c r="B3807" t="s">
        <v>2823</v>
      </c>
      <c r="C3807" s="39" t="s">
        <v>2041</v>
      </c>
      <c r="D3807" t="s">
        <v>4246</v>
      </c>
      <c r="F3807" s="56"/>
    </row>
    <row r="3808" spans="1:6" ht="15">
      <c r="A3808" s="51">
        <v>2677682</v>
      </c>
      <c r="B3808" t="s">
        <v>2824</v>
      </c>
      <c r="C3808" s="39" t="s">
        <v>2041</v>
      </c>
      <c r="D3808" t="s">
        <v>4244</v>
      </c>
      <c r="F3808" s="56"/>
    </row>
    <row r="3809" spans="1:6" ht="15">
      <c r="A3809" s="51">
        <v>2677683</v>
      </c>
      <c r="B3809" t="s">
        <v>2825</v>
      </c>
      <c r="C3809" s="39" t="s">
        <v>1692</v>
      </c>
      <c r="D3809" t="s">
        <v>4247</v>
      </c>
      <c r="F3809" s="56"/>
    </row>
    <row r="3810" spans="1:6" ht="15">
      <c r="A3810" s="51">
        <v>2677684</v>
      </c>
      <c r="B3810" t="s">
        <v>2826</v>
      </c>
      <c r="C3810" s="39" t="s">
        <v>1692</v>
      </c>
      <c r="D3810" t="s">
        <v>4243</v>
      </c>
      <c r="F3810" s="56"/>
    </row>
    <row r="3811" spans="1:6" ht="15">
      <c r="A3811" s="51">
        <v>2677685</v>
      </c>
      <c r="B3811" t="s">
        <v>2827</v>
      </c>
      <c r="C3811" s="39" t="s">
        <v>1692</v>
      </c>
      <c r="D3811" t="s">
        <v>4247</v>
      </c>
      <c r="F3811" s="56"/>
    </row>
    <row r="3812" spans="1:6" ht="15">
      <c r="A3812" s="51">
        <v>2677686</v>
      </c>
      <c r="B3812" t="s">
        <v>2706</v>
      </c>
      <c r="C3812" s="39" t="s">
        <v>1692</v>
      </c>
      <c r="D3812" t="s">
        <v>4243</v>
      </c>
      <c r="F3812" s="56"/>
    </row>
    <row r="3813" spans="1:6" ht="15">
      <c r="A3813" s="51">
        <v>2677687</v>
      </c>
      <c r="B3813" t="s">
        <v>2828</v>
      </c>
      <c r="C3813" s="39" t="s">
        <v>1692</v>
      </c>
      <c r="D3813">
        <v>7</v>
      </c>
      <c r="F3813" s="56"/>
    </row>
    <row r="3814" spans="1:6" ht="15">
      <c r="A3814" s="51">
        <v>2677688</v>
      </c>
      <c r="B3814" t="s">
        <v>2829</v>
      </c>
      <c r="C3814" s="39" t="s">
        <v>2830</v>
      </c>
      <c r="D3814">
        <v>8</v>
      </c>
      <c r="F3814" s="56"/>
    </row>
    <row r="3815" spans="1:6" ht="15">
      <c r="A3815" s="51">
        <v>2677689</v>
      </c>
      <c r="B3815" t="s">
        <v>2831</v>
      </c>
      <c r="C3815" s="39" t="s">
        <v>2832</v>
      </c>
      <c r="D3815">
        <v>8</v>
      </c>
      <c r="F3815" s="56"/>
    </row>
    <row r="3816" spans="1:6" ht="15">
      <c r="A3816" s="51">
        <v>2677690</v>
      </c>
      <c r="B3816" t="s">
        <v>2833</v>
      </c>
      <c r="C3816" s="39" t="s">
        <v>2832</v>
      </c>
      <c r="D3816">
        <v>8</v>
      </c>
      <c r="F3816" s="56"/>
    </row>
    <row r="3817" spans="1:6" ht="15">
      <c r="A3817" s="51">
        <v>2677691</v>
      </c>
      <c r="B3817" t="s">
        <v>2834</v>
      </c>
      <c r="C3817" s="39" t="s">
        <v>2835</v>
      </c>
      <c r="D3817">
        <v>9</v>
      </c>
      <c r="F3817" s="56"/>
    </row>
    <row r="3818" spans="1:6" ht="15">
      <c r="A3818" s="51">
        <v>2677692</v>
      </c>
      <c r="B3818" t="s">
        <v>1407</v>
      </c>
      <c r="C3818" s="39" t="s">
        <v>371</v>
      </c>
      <c r="D3818">
        <v>8</v>
      </c>
      <c r="F3818" s="56"/>
    </row>
    <row r="3819" spans="1:6" ht="15">
      <c r="A3819" s="51">
        <v>2677693</v>
      </c>
      <c r="B3819" t="s">
        <v>1737</v>
      </c>
      <c r="C3819" s="39" t="s">
        <v>1338</v>
      </c>
      <c r="D3819" t="s">
        <v>4244</v>
      </c>
      <c r="F3819" s="56"/>
    </row>
    <row r="3820" spans="1:6" ht="15">
      <c r="A3820" s="51">
        <v>2677694</v>
      </c>
      <c r="B3820" t="s">
        <v>1999</v>
      </c>
      <c r="C3820" s="39" t="s">
        <v>2003</v>
      </c>
      <c r="D3820" t="s">
        <v>4246</v>
      </c>
      <c r="F3820" s="56"/>
    </row>
    <row r="3821" spans="1:6" ht="15">
      <c r="A3821" s="51">
        <v>2677695</v>
      </c>
      <c r="B3821" t="s">
        <v>2207</v>
      </c>
      <c r="C3821" s="39" t="s">
        <v>2003</v>
      </c>
      <c r="D3821" t="s">
        <v>4244</v>
      </c>
      <c r="F3821" s="56"/>
    </row>
    <row r="3822" spans="1:6" ht="15">
      <c r="A3822" s="51">
        <v>2677696</v>
      </c>
      <c r="B3822" t="s">
        <v>2836</v>
      </c>
      <c r="C3822" s="39" t="s">
        <v>2003</v>
      </c>
      <c r="D3822" t="s">
        <v>4243</v>
      </c>
      <c r="F3822" s="56"/>
    </row>
    <row r="3823" spans="1:6" ht="15">
      <c r="A3823" s="51">
        <v>2677697</v>
      </c>
      <c r="B3823" t="s">
        <v>2837</v>
      </c>
      <c r="C3823" s="39" t="s">
        <v>148</v>
      </c>
      <c r="D3823" t="s">
        <v>4245</v>
      </c>
      <c r="F3823" s="56"/>
    </row>
    <row r="3824" spans="1:6" ht="15">
      <c r="A3824" s="51">
        <v>2677698</v>
      </c>
      <c r="B3824" t="s">
        <v>2208</v>
      </c>
      <c r="C3824" s="39" t="s">
        <v>148</v>
      </c>
      <c r="D3824" t="s">
        <v>4246</v>
      </c>
      <c r="F3824" s="56"/>
    </row>
    <row r="3825" spans="1:6" ht="15">
      <c r="A3825" s="51">
        <v>2677699</v>
      </c>
      <c r="B3825" t="s">
        <v>2838</v>
      </c>
      <c r="C3825" s="39" t="s">
        <v>148</v>
      </c>
      <c r="D3825" t="s">
        <v>4244</v>
      </c>
      <c r="F3825" s="56"/>
    </row>
    <row r="3826" spans="1:6" ht="15">
      <c r="A3826" s="51">
        <v>2677759</v>
      </c>
      <c r="B3826" t="s">
        <v>2839</v>
      </c>
      <c r="C3826" s="39" t="s">
        <v>148</v>
      </c>
      <c r="D3826">
        <v>7</v>
      </c>
      <c r="F3826" s="56"/>
    </row>
    <row r="3827" spans="1:6" ht="15">
      <c r="A3827" s="51">
        <v>2677700</v>
      </c>
      <c r="B3827" t="s">
        <v>2840</v>
      </c>
      <c r="C3827" s="39" t="s">
        <v>148</v>
      </c>
      <c r="D3827" t="s">
        <v>4245</v>
      </c>
      <c r="F3827" s="56"/>
    </row>
    <row r="3828" spans="1:6" ht="15">
      <c r="A3828" s="51">
        <v>2677701</v>
      </c>
      <c r="B3828" t="s">
        <v>2000</v>
      </c>
      <c r="C3828" s="39" t="s">
        <v>148</v>
      </c>
      <c r="D3828" t="s">
        <v>4246</v>
      </c>
      <c r="F3828" s="56"/>
    </row>
    <row r="3829" spans="1:6" ht="15">
      <c r="A3829" s="51">
        <v>2677702</v>
      </c>
      <c r="B3829" t="s">
        <v>1649</v>
      </c>
      <c r="C3829" s="39" t="s">
        <v>148</v>
      </c>
      <c r="D3829" t="s">
        <v>4244</v>
      </c>
      <c r="F3829" s="56"/>
    </row>
    <row r="3830" spans="1:6" ht="15">
      <c r="A3830" s="51">
        <v>2677703</v>
      </c>
      <c r="B3830" t="s">
        <v>2841</v>
      </c>
      <c r="C3830" s="39" t="s">
        <v>2356</v>
      </c>
      <c r="D3830" t="s">
        <v>4247</v>
      </c>
      <c r="F3830" s="56"/>
    </row>
    <row r="3831" spans="1:6" ht="15">
      <c r="A3831" s="51">
        <v>2677704</v>
      </c>
      <c r="B3831" t="s">
        <v>2002</v>
      </c>
      <c r="C3831" s="39" t="s">
        <v>2356</v>
      </c>
      <c r="D3831" t="s">
        <v>4244</v>
      </c>
      <c r="F3831" s="56"/>
    </row>
    <row r="3832" spans="1:6" ht="15">
      <c r="A3832" s="51">
        <v>2677705</v>
      </c>
      <c r="B3832" t="s">
        <v>145</v>
      </c>
      <c r="C3832" s="39" t="s">
        <v>2356</v>
      </c>
      <c r="D3832" t="s">
        <v>4243</v>
      </c>
      <c r="F3832" s="56"/>
    </row>
    <row r="3833" spans="1:6" ht="15">
      <c r="A3833" s="51">
        <v>2677706</v>
      </c>
      <c r="B3833" t="s">
        <v>147</v>
      </c>
      <c r="C3833" s="39" t="s">
        <v>1215</v>
      </c>
      <c r="D3833" t="s">
        <v>4244</v>
      </c>
      <c r="F3833" s="56"/>
    </row>
    <row r="3834" spans="1:6" ht="15">
      <c r="A3834" s="51">
        <v>2677707</v>
      </c>
      <c r="B3834" t="s">
        <v>149</v>
      </c>
      <c r="C3834" s="39" t="s">
        <v>1215</v>
      </c>
      <c r="D3834" t="s">
        <v>4244</v>
      </c>
      <c r="F3834" s="56"/>
    </row>
    <row r="3835" spans="1:6" ht="15">
      <c r="A3835" s="51">
        <v>2677708</v>
      </c>
      <c r="B3835" t="s">
        <v>2842</v>
      </c>
      <c r="C3835" s="39" t="s">
        <v>1215</v>
      </c>
      <c r="D3835" t="s">
        <v>4244</v>
      </c>
      <c r="F3835" s="56"/>
    </row>
    <row r="3836" spans="1:6" ht="15">
      <c r="A3836" s="51">
        <v>2677709</v>
      </c>
      <c r="B3836" t="s">
        <v>2843</v>
      </c>
      <c r="C3836" s="39" t="s">
        <v>1215</v>
      </c>
      <c r="D3836" t="s">
        <v>4244</v>
      </c>
      <c r="F3836" s="56"/>
    </row>
    <row r="3837" spans="1:6" ht="15">
      <c r="A3837" s="51">
        <v>2677710</v>
      </c>
      <c r="B3837" t="s">
        <v>2844</v>
      </c>
      <c r="C3837" s="39" t="s">
        <v>157</v>
      </c>
      <c r="D3837" t="s">
        <v>4245</v>
      </c>
      <c r="F3837" s="56"/>
    </row>
    <row r="3838" spans="1:6" ht="15">
      <c r="A3838" s="51">
        <v>2677711</v>
      </c>
      <c r="B3838" t="s">
        <v>2004</v>
      </c>
      <c r="C3838" s="39" t="s">
        <v>157</v>
      </c>
      <c r="D3838" t="s">
        <v>4245</v>
      </c>
      <c r="F3838" s="56"/>
    </row>
    <row r="3839" spans="1:6" ht="15">
      <c r="A3839" s="51">
        <v>2677712</v>
      </c>
      <c r="B3839" t="s">
        <v>1416</v>
      </c>
      <c r="C3839" s="39" t="s">
        <v>157</v>
      </c>
      <c r="D3839" t="s">
        <v>4244</v>
      </c>
      <c r="F3839" s="56"/>
    </row>
    <row r="3840" spans="1:6" ht="15">
      <c r="A3840" s="51">
        <v>2677713</v>
      </c>
      <c r="B3840" t="s">
        <v>2845</v>
      </c>
      <c r="C3840" s="39" t="s">
        <v>2846</v>
      </c>
      <c r="D3840">
        <v>8</v>
      </c>
      <c r="F3840" s="56"/>
    </row>
    <row r="3841" spans="1:6" ht="15">
      <c r="A3841" s="51">
        <v>2677714</v>
      </c>
      <c r="B3841" t="s">
        <v>2617</v>
      </c>
      <c r="C3841" s="39" t="s">
        <v>781</v>
      </c>
      <c r="D3841" t="s">
        <v>4246</v>
      </c>
      <c r="F3841" s="56"/>
    </row>
    <row r="3842" spans="1:6" ht="15">
      <c r="A3842" s="51">
        <v>2753710</v>
      </c>
      <c r="B3842" t="s">
        <v>377</v>
      </c>
      <c r="C3842" s="39" t="s">
        <v>1412</v>
      </c>
      <c r="D3842" t="s">
        <v>4244</v>
      </c>
      <c r="F3842" s="56"/>
    </row>
    <row r="3843" spans="1:6" ht="15">
      <c r="A3843" s="51">
        <v>2677715</v>
      </c>
      <c r="B3843" t="s">
        <v>2847</v>
      </c>
      <c r="C3843" s="39" t="s">
        <v>385</v>
      </c>
      <c r="D3843">
        <v>7</v>
      </c>
      <c r="F3843" s="56"/>
    </row>
    <row r="3844" spans="1:6" ht="15">
      <c r="A3844" s="51">
        <v>2677716</v>
      </c>
      <c r="B3844" t="s">
        <v>2848</v>
      </c>
      <c r="C3844" s="39" t="s">
        <v>385</v>
      </c>
      <c r="D3844">
        <v>7</v>
      </c>
      <c r="F3844" s="56"/>
    </row>
    <row r="3845" spans="1:6" ht="15">
      <c r="A3845" s="51">
        <v>2677717</v>
      </c>
      <c r="B3845" t="s">
        <v>2849</v>
      </c>
      <c r="C3845" s="39" t="s">
        <v>908</v>
      </c>
      <c r="D3845" t="s">
        <v>4244</v>
      </c>
      <c r="F3845" s="56"/>
    </row>
    <row r="3846" spans="1:6" ht="15">
      <c r="A3846" s="51">
        <v>2677718</v>
      </c>
      <c r="B3846" t="s">
        <v>2473</v>
      </c>
      <c r="C3846" s="39" t="s">
        <v>2209</v>
      </c>
      <c r="D3846" t="s">
        <v>468</v>
      </c>
      <c r="F3846" s="56"/>
    </row>
    <row r="3847" spans="1:6" ht="15">
      <c r="A3847" s="51">
        <v>2677719</v>
      </c>
      <c r="B3847" t="s">
        <v>2011</v>
      </c>
      <c r="C3847" s="39" t="s">
        <v>2209</v>
      </c>
      <c r="D3847" t="s">
        <v>468</v>
      </c>
      <c r="F3847" s="56"/>
    </row>
    <row r="3848" spans="1:6" ht="15">
      <c r="A3848" s="51">
        <v>2677720</v>
      </c>
      <c r="B3848" t="s">
        <v>2012</v>
      </c>
      <c r="C3848" s="39" t="s">
        <v>2209</v>
      </c>
      <c r="D3848" t="s">
        <v>469</v>
      </c>
      <c r="F3848" s="56"/>
    </row>
    <row r="3849" spans="1:6" ht="15">
      <c r="A3849" s="51">
        <v>2677721</v>
      </c>
      <c r="B3849" t="s">
        <v>2850</v>
      </c>
      <c r="C3849" s="39" t="s">
        <v>1046</v>
      </c>
      <c r="D3849" t="s">
        <v>469</v>
      </c>
      <c r="F3849" s="56"/>
    </row>
    <row r="3850" spans="1:6" ht="15">
      <c r="A3850" s="51">
        <v>2677722</v>
      </c>
      <c r="B3850" t="s">
        <v>2210</v>
      </c>
      <c r="C3850" s="39" t="s">
        <v>1046</v>
      </c>
      <c r="D3850" t="s">
        <v>469</v>
      </c>
      <c r="F3850" s="56"/>
    </row>
    <row r="3851" spans="1:6" ht="15">
      <c r="A3851" s="51">
        <v>2677723</v>
      </c>
      <c r="B3851" t="s">
        <v>2851</v>
      </c>
      <c r="C3851" s="39" t="s">
        <v>884</v>
      </c>
      <c r="D3851">
        <v>7</v>
      </c>
      <c r="F3851" s="56"/>
    </row>
    <row r="3852" spans="1:6" ht="15">
      <c r="A3852" s="51">
        <v>2677724</v>
      </c>
      <c r="B3852" t="s">
        <v>2852</v>
      </c>
      <c r="C3852" s="39" t="s">
        <v>884</v>
      </c>
      <c r="D3852">
        <v>7</v>
      </c>
      <c r="F3852" s="56"/>
    </row>
    <row r="3853" spans="1:6" ht="15">
      <c r="A3853" s="51">
        <v>2677725</v>
      </c>
      <c r="B3853" t="s">
        <v>2853</v>
      </c>
      <c r="C3853" s="39" t="s">
        <v>1046</v>
      </c>
      <c r="D3853">
        <v>7</v>
      </c>
      <c r="F3853" s="56"/>
    </row>
    <row r="3854" spans="1:6" ht="15">
      <c r="A3854" s="51">
        <v>2753711</v>
      </c>
      <c r="B3854" t="s">
        <v>2854</v>
      </c>
      <c r="C3854" s="39" t="s">
        <v>2855</v>
      </c>
      <c r="D3854" t="s">
        <v>471</v>
      </c>
      <c r="F3854" s="56"/>
    </row>
    <row r="3855" spans="1:6" ht="15">
      <c r="A3855" s="51">
        <v>2677726</v>
      </c>
      <c r="B3855" t="s">
        <v>2212</v>
      </c>
      <c r="C3855" s="39" t="s">
        <v>2856</v>
      </c>
      <c r="D3855" t="s">
        <v>4245</v>
      </c>
      <c r="F3855" s="56"/>
    </row>
    <row r="3856" spans="1:6" ht="15">
      <c r="A3856" s="51">
        <v>2677727</v>
      </c>
      <c r="B3856" t="s">
        <v>2213</v>
      </c>
      <c r="C3856" s="39" t="s">
        <v>2856</v>
      </c>
      <c r="D3856" t="s">
        <v>4245</v>
      </c>
      <c r="F3856" s="56"/>
    </row>
    <row r="3857" spans="1:6" ht="15">
      <c r="A3857" s="51">
        <v>2677728</v>
      </c>
      <c r="B3857" t="s">
        <v>2214</v>
      </c>
      <c r="C3857" s="39" t="s">
        <v>183</v>
      </c>
      <c r="D3857">
        <v>7</v>
      </c>
      <c r="F3857" s="56"/>
    </row>
    <row r="3858" spans="1:6" ht="15">
      <c r="A3858" s="51">
        <v>2677729</v>
      </c>
      <c r="B3858" t="s">
        <v>2857</v>
      </c>
      <c r="C3858" s="39" t="s">
        <v>320</v>
      </c>
      <c r="D3858" t="s">
        <v>4243</v>
      </c>
      <c r="F3858" s="56"/>
    </row>
    <row r="3859" spans="1:6" ht="15">
      <c r="A3859" s="51">
        <v>2677730</v>
      </c>
      <c r="B3859" t="s">
        <v>2858</v>
      </c>
      <c r="C3859" s="39" t="s">
        <v>183</v>
      </c>
      <c r="D3859">
        <v>8</v>
      </c>
      <c r="F3859" s="56"/>
    </row>
    <row r="3860" spans="1:6" ht="15">
      <c r="A3860" s="51">
        <v>2753712</v>
      </c>
      <c r="B3860" t="s">
        <v>1556</v>
      </c>
      <c r="C3860" s="39" t="s">
        <v>2671</v>
      </c>
      <c r="D3860">
        <v>8</v>
      </c>
      <c r="F3860" s="56"/>
    </row>
    <row r="3861" spans="1:6" ht="15">
      <c r="A3861" s="51">
        <v>2753713</v>
      </c>
      <c r="B3861" t="s">
        <v>2539</v>
      </c>
      <c r="C3861" s="39" t="s">
        <v>2671</v>
      </c>
      <c r="D3861">
        <v>8</v>
      </c>
      <c r="F3861" s="56"/>
    </row>
    <row r="3862" spans="1:6" ht="15">
      <c r="A3862" s="51">
        <v>2677731</v>
      </c>
      <c r="B3862" t="s">
        <v>184</v>
      </c>
      <c r="C3862" s="39" t="s">
        <v>99</v>
      </c>
      <c r="D3862">
        <v>7</v>
      </c>
      <c r="F3862" s="56"/>
    </row>
    <row r="3863" spans="1:6" ht="15">
      <c r="A3863" s="51">
        <v>2677732</v>
      </c>
      <c r="B3863" t="s">
        <v>2215</v>
      </c>
      <c r="C3863" s="39" t="s">
        <v>258</v>
      </c>
      <c r="D3863">
        <v>9</v>
      </c>
      <c r="F3863" s="56"/>
    </row>
    <row r="3864" spans="1:6" ht="15">
      <c r="A3864" s="51">
        <v>2677733</v>
      </c>
      <c r="B3864" t="s">
        <v>2022</v>
      </c>
      <c r="C3864" s="39" t="s">
        <v>185</v>
      </c>
      <c r="D3864" t="s">
        <v>4244</v>
      </c>
      <c r="F3864" s="56"/>
    </row>
    <row r="3865" spans="1:6" ht="15">
      <c r="A3865" s="51">
        <v>2677734</v>
      </c>
      <c r="B3865" t="s">
        <v>188</v>
      </c>
      <c r="C3865" s="39" t="s">
        <v>185</v>
      </c>
      <c r="D3865" t="s">
        <v>4244</v>
      </c>
      <c r="F3865" s="56"/>
    </row>
    <row r="3866" spans="1:6" ht="15">
      <c r="A3866" s="51">
        <v>2677735</v>
      </c>
      <c r="B3866" t="s">
        <v>1186</v>
      </c>
      <c r="C3866" s="39" t="s">
        <v>189</v>
      </c>
      <c r="D3866" t="s">
        <v>4244</v>
      </c>
      <c r="F3866" s="56"/>
    </row>
    <row r="3867" spans="1:6" ht="15">
      <c r="A3867" s="51">
        <v>2677736</v>
      </c>
      <c r="B3867" t="s">
        <v>1187</v>
      </c>
      <c r="C3867" s="39" t="s">
        <v>189</v>
      </c>
      <c r="D3867">
        <v>7</v>
      </c>
      <c r="F3867" s="56"/>
    </row>
    <row r="3868" spans="1:6" ht="15">
      <c r="A3868" s="51">
        <v>2677737</v>
      </c>
      <c r="B3868" t="s">
        <v>1188</v>
      </c>
      <c r="C3868" s="39" t="s">
        <v>189</v>
      </c>
      <c r="D3868">
        <v>8</v>
      </c>
      <c r="F3868" s="56"/>
    </row>
    <row r="3869" spans="1:6" ht="15">
      <c r="A3869" s="51">
        <v>2677738</v>
      </c>
      <c r="B3869" t="s">
        <v>1438</v>
      </c>
      <c r="C3869" s="39" t="s">
        <v>2818</v>
      </c>
      <c r="D3869" t="s">
        <v>4243</v>
      </c>
      <c r="F3869" s="56"/>
    </row>
    <row r="3870" spans="1:6" ht="15">
      <c r="A3870" s="51">
        <v>2677739</v>
      </c>
      <c r="B3870" t="s">
        <v>69</v>
      </c>
      <c r="C3870" s="39" t="s">
        <v>2818</v>
      </c>
      <c r="D3870" t="s">
        <v>4243</v>
      </c>
      <c r="F3870" s="56"/>
    </row>
    <row r="3871" spans="1:6" ht="15">
      <c r="A3871" s="51">
        <v>2677740</v>
      </c>
      <c r="B3871" t="s">
        <v>1440</v>
      </c>
      <c r="C3871" s="39" t="s">
        <v>2859</v>
      </c>
      <c r="D3871" t="s">
        <v>4247</v>
      </c>
      <c r="F3871" s="56"/>
    </row>
    <row r="3872" spans="1:6" ht="15">
      <c r="A3872" s="51">
        <v>2677741</v>
      </c>
      <c r="B3872" t="s">
        <v>1832</v>
      </c>
      <c r="C3872" s="39" t="s">
        <v>2859</v>
      </c>
      <c r="D3872" t="s">
        <v>4244</v>
      </c>
      <c r="F3872" s="56"/>
    </row>
    <row r="3873" spans="1:6" ht="15">
      <c r="A3873" s="51">
        <v>2677742</v>
      </c>
      <c r="B3873" t="s">
        <v>2860</v>
      </c>
      <c r="C3873" s="39" t="s">
        <v>2301</v>
      </c>
      <c r="D3873" t="s">
        <v>468</v>
      </c>
      <c r="F3873" s="56"/>
    </row>
    <row r="3874" spans="1:6" ht="15">
      <c r="A3874" s="51">
        <v>2677743</v>
      </c>
      <c r="B3874" t="s">
        <v>2861</v>
      </c>
      <c r="C3874" s="39" t="s">
        <v>2301</v>
      </c>
      <c r="D3874" t="s">
        <v>469</v>
      </c>
      <c r="F3874" s="56"/>
    </row>
    <row r="3875" spans="1:6" ht="15">
      <c r="A3875" s="51">
        <v>2677744</v>
      </c>
      <c r="B3875" t="s">
        <v>2862</v>
      </c>
      <c r="C3875" s="39" t="s">
        <v>2301</v>
      </c>
      <c r="D3875" t="s">
        <v>471</v>
      </c>
      <c r="F3875" s="56"/>
    </row>
    <row r="3876" spans="1:6" ht="15">
      <c r="A3876" s="51">
        <v>2753714</v>
      </c>
      <c r="B3876" t="s">
        <v>2863</v>
      </c>
      <c r="C3876" s="39" t="s">
        <v>1444</v>
      </c>
      <c r="D3876">
        <v>8</v>
      </c>
      <c r="F3876" s="56"/>
    </row>
    <row r="3877" spans="1:6" ht="15">
      <c r="A3877" s="51">
        <v>2753715</v>
      </c>
      <c r="B3877" t="s">
        <v>868</v>
      </c>
      <c r="C3877" s="39" t="s">
        <v>1281</v>
      </c>
      <c r="D3877">
        <v>8</v>
      </c>
      <c r="F3877" s="56"/>
    </row>
    <row r="3878" spans="1:6" ht="15">
      <c r="A3878" s="51">
        <v>2753716</v>
      </c>
      <c r="B3878" t="s">
        <v>870</v>
      </c>
      <c r="C3878" s="39" t="s">
        <v>1281</v>
      </c>
      <c r="D3878">
        <v>8</v>
      </c>
      <c r="F3878" s="56"/>
    </row>
    <row r="3879" spans="1:6" ht="15">
      <c r="A3879" s="51">
        <v>2677745</v>
      </c>
      <c r="B3879" t="s">
        <v>2864</v>
      </c>
      <c r="C3879" s="39" t="s">
        <v>2034</v>
      </c>
      <c r="D3879">
        <v>8</v>
      </c>
      <c r="F3879" s="56"/>
    </row>
    <row r="3880" spans="1:6" ht="15">
      <c r="A3880" s="51">
        <v>2677746</v>
      </c>
      <c r="B3880" t="s">
        <v>2221</v>
      </c>
      <c r="C3880" s="39" t="s">
        <v>132</v>
      </c>
      <c r="D3880" t="s">
        <v>471</v>
      </c>
      <c r="F3880" s="56"/>
    </row>
    <row r="3881" spans="1:6" ht="15">
      <c r="A3881" s="51">
        <v>2677747</v>
      </c>
      <c r="B3881" t="s">
        <v>1568</v>
      </c>
      <c r="C3881" s="39" t="s">
        <v>132</v>
      </c>
      <c r="D3881">
        <v>7</v>
      </c>
      <c r="F3881" s="56"/>
    </row>
    <row r="3882" spans="1:6" ht="15">
      <c r="A3882" s="51">
        <v>2677748</v>
      </c>
      <c r="B3882" t="s">
        <v>1569</v>
      </c>
      <c r="C3882" s="39" t="s">
        <v>132</v>
      </c>
      <c r="D3882">
        <v>8</v>
      </c>
      <c r="F3882" s="56"/>
    </row>
    <row r="3883" spans="1:6" ht="15">
      <c r="A3883" s="51">
        <v>2677749</v>
      </c>
      <c r="B3883" t="s">
        <v>2865</v>
      </c>
      <c r="C3883" s="39" t="s">
        <v>2298</v>
      </c>
      <c r="D3883" t="s">
        <v>4246</v>
      </c>
      <c r="F3883" s="56"/>
    </row>
    <row r="3884" spans="1:6" ht="15">
      <c r="A3884" s="51">
        <v>2677750</v>
      </c>
      <c r="B3884" t="s">
        <v>2866</v>
      </c>
      <c r="C3884" s="39" t="s">
        <v>2298</v>
      </c>
      <c r="D3884" t="s">
        <v>4244</v>
      </c>
      <c r="F3884" s="56"/>
    </row>
    <row r="3885" spans="1:6" ht="15">
      <c r="A3885" s="51">
        <v>2677751</v>
      </c>
      <c r="B3885" t="s">
        <v>2867</v>
      </c>
      <c r="C3885" s="39" t="s">
        <v>2298</v>
      </c>
      <c r="D3885" t="s">
        <v>4243</v>
      </c>
      <c r="F3885" s="56"/>
    </row>
    <row r="3886" spans="1:6" ht="15">
      <c r="A3886" s="51">
        <v>2677752</v>
      </c>
      <c r="B3886" t="s">
        <v>2033</v>
      </c>
      <c r="C3886" s="39" t="s">
        <v>2034</v>
      </c>
      <c r="D3886" t="s">
        <v>1595</v>
      </c>
      <c r="F3886" s="56"/>
    </row>
    <row r="3887" spans="1:6" ht="15">
      <c r="A3887" s="51">
        <v>2677753</v>
      </c>
      <c r="B3887" t="s">
        <v>1454</v>
      </c>
      <c r="C3887" s="39" t="s">
        <v>2034</v>
      </c>
      <c r="D3887" t="s">
        <v>469</v>
      </c>
      <c r="F3887" s="56"/>
    </row>
    <row r="3888" spans="1:6" ht="15">
      <c r="A3888" s="51">
        <v>292565</v>
      </c>
      <c r="B3888" t="s">
        <v>150</v>
      </c>
      <c r="C3888" s="39" t="s">
        <v>151</v>
      </c>
      <c r="D3888" t="s">
        <v>1595</v>
      </c>
      <c r="F3888" s="56"/>
    </row>
    <row r="3889" spans="1:6" ht="15">
      <c r="A3889" s="51">
        <v>2677754</v>
      </c>
      <c r="B3889" t="s">
        <v>2868</v>
      </c>
      <c r="C3889" s="39" t="s">
        <v>2869</v>
      </c>
      <c r="D3889">
        <v>9</v>
      </c>
      <c r="F3889" s="56"/>
    </row>
    <row r="3890" spans="1:6" ht="15">
      <c r="A3890" s="51">
        <v>2677755</v>
      </c>
      <c r="B3890" t="s">
        <v>2870</v>
      </c>
      <c r="C3890" s="39" t="s">
        <v>2869</v>
      </c>
      <c r="D3890">
        <v>9</v>
      </c>
      <c r="F3890" s="56"/>
    </row>
    <row r="3891" spans="1:6" ht="15">
      <c r="A3891" s="51">
        <v>2677756</v>
      </c>
      <c r="B3891" t="s">
        <v>2871</v>
      </c>
      <c r="C3891" s="39" t="s">
        <v>2034</v>
      </c>
      <c r="D3891">
        <v>8</v>
      </c>
      <c r="F3891" s="56"/>
    </row>
    <row r="3892" spans="1:6" ht="15">
      <c r="A3892" s="51">
        <v>2677757</v>
      </c>
      <c r="B3892" t="s">
        <v>2872</v>
      </c>
      <c r="C3892" s="39" t="s">
        <v>2034</v>
      </c>
      <c r="D3892">
        <v>8</v>
      </c>
      <c r="F3892" s="56"/>
    </row>
    <row r="3893" spans="1:6" ht="15">
      <c r="A3893" s="51">
        <v>2753720</v>
      </c>
      <c r="B3893" t="s">
        <v>2873</v>
      </c>
      <c r="C3893" s="39" t="s">
        <v>2874</v>
      </c>
      <c r="D3893">
        <v>8</v>
      </c>
      <c r="F3893" s="56"/>
    </row>
    <row r="3894" spans="1:6" ht="15">
      <c r="A3894" s="51">
        <v>2753721</v>
      </c>
      <c r="B3894" t="s">
        <v>2222</v>
      </c>
      <c r="C3894" s="39" t="s">
        <v>1457</v>
      </c>
      <c r="D3894" t="s">
        <v>4247</v>
      </c>
      <c r="F3894" s="56"/>
    </row>
    <row r="3895" spans="1:6" ht="15">
      <c r="A3895" s="51">
        <v>2753717</v>
      </c>
      <c r="B3895" t="s">
        <v>2223</v>
      </c>
      <c r="C3895" s="39" t="s">
        <v>2032</v>
      </c>
      <c r="D3895" t="s">
        <v>4243</v>
      </c>
      <c r="F3895" s="56"/>
    </row>
    <row r="3896" spans="1:6" ht="15">
      <c r="A3896" s="51">
        <v>2753718</v>
      </c>
      <c r="B3896" t="s">
        <v>2224</v>
      </c>
      <c r="C3896" s="39" t="s">
        <v>2032</v>
      </c>
      <c r="D3896" t="s">
        <v>4243</v>
      </c>
      <c r="F3896" s="56"/>
    </row>
    <row r="3897" spans="1:6" ht="15">
      <c r="A3897" s="51">
        <v>2753719</v>
      </c>
      <c r="B3897" t="s">
        <v>2875</v>
      </c>
      <c r="C3897" s="39" t="s">
        <v>2876</v>
      </c>
      <c r="D3897">
        <v>8</v>
      </c>
      <c r="F3897" s="56"/>
    </row>
    <row r="3898" spans="1:6" ht="15">
      <c r="A3898" s="51">
        <v>2677760</v>
      </c>
      <c r="B3898" t="s">
        <v>2225</v>
      </c>
      <c r="C3898" s="39" t="s">
        <v>2039</v>
      </c>
      <c r="D3898" t="s">
        <v>4248</v>
      </c>
      <c r="F3898" s="56"/>
    </row>
    <row r="3899" spans="1:6" ht="15">
      <c r="A3899" s="51">
        <v>2677761</v>
      </c>
      <c r="B3899" t="s">
        <v>206</v>
      </c>
      <c r="C3899" s="39" t="s">
        <v>2039</v>
      </c>
      <c r="D3899" t="s">
        <v>4248</v>
      </c>
      <c r="F3899" s="56"/>
    </row>
    <row r="3900" spans="1:6" ht="15">
      <c r="A3900" s="51">
        <v>2753722</v>
      </c>
      <c r="B3900" t="s">
        <v>2877</v>
      </c>
      <c r="C3900" s="39" t="s">
        <v>2878</v>
      </c>
      <c r="D3900">
        <v>8</v>
      </c>
      <c r="F3900" s="56"/>
    </row>
    <row r="3901" spans="1:6" ht="15">
      <c r="A3901" s="51">
        <v>2677762</v>
      </c>
      <c r="B3901" t="s">
        <v>2229</v>
      </c>
      <c r="C3901" s="39" t="s">
        <v>224</v>
      </c>
      <c r="D3901">
        <v>7</v>
      </c>
      <c r="F3901" s="56"/>
    </row>
    <row r="3902" spans="1:6" ht="15">
      <c r="A3902" s="51">
        <v>2677763</v>
      </c>
      <c r="B3902" t="s">
        <v>1843</v>
      </c>
      <c r="C3902" s="39" t="s">
        <v>224</v>
      </c>
      <c r="D3902">
        <v>7</v>
      </c>
      <c r="F3902" s="56"/>
    </row>
    <row r="3903" spans="1:6" ht="15">
      <c r="A3903" s="51">
        <v>2753723</v>
      </c>
      <c r="B3903" t="s">
        <v>1679</v>
      </c>
      <c r="C3903" s="39" t="s">
        <v>228</v>
      </c>
      <c r="D3903">
        <v>9</v>
      </c>
      <c r="F3903" s="56"/>
    </row>
    <row r="3904" spans="1:6" ht="15">
      <c r="A3904" s="51">
        <v>2677764</v>
      </c>
      <c r="B3904" t="s">
        <v>2879</v>
      </c>
      <c r="C3904" s="39" t="s">
        <v>1474</v>
      </c>
      <c r="D3904" t="s">
        <v>4244</v>
      </c>
      <c r="F3904" s="56"/>
    </row>
    <row r="3905" spans="1:6" ht="15">
      <c r="A3905" s="51">
        <v>2677765</v>
      </c>
      <c r="B3905" t="s">
        <v>2230</v>
      </c>
      <c r="C3905" s="39" t="s">
        <v>1474</v>
      </c>
      <c r="D3905" t="s">
        <v>4244</v>
      </c>
      <c r="F3905" s="56"/>
    </row>
    <row r="3906" spans="1:6" ht="15">
      <c r="A3906" s="51">
        <v>2677766</v>
      </c>
      <c r="B3906" t="s">
        <v>2880</v>
      </c>
      <c r="C3906" s="39" t="s">
        <v>1474</v>
      </c>
      <c r="D3906" t="s">
        <v>4243</v>
      </c>
      <c r="F3906" s="56"/>
    </row>
    <row r="3907" spans="1:6" ht="15">
      <c r="A3907" s="51">
        <v>2677767</v>
      </c>
      <c r="B3907" t="s">
        <v>2881</v>
      </c>
      <c r="C3907" s="39" t="s">
        <v>1474</v>
      </c>
      <c r="D3907">
        <v>8</v>
      </c>
      <c r="F3907" s="56"/>
    </row>
    <row r="3908" spans="1:6" ht="15">
      <c r="A3908" s="51">
        <v>2677768</v>
      </c>
      <c r="B3908" t="s">
        <v>2882</v>
      </c>
      <c r="C3908" s="39" t="s">
        <v>2883</v>
      </c>
      <c r="D3908">
        <v>8</v>
      </c>
      <c r="F3908" s="56"/>
    </row>
    <row r="3909" spans="1:6" ht="15">
      <c r="A3909" s="51">
        <v>2677769</v>
      </c>
      <c r="B3909" t="s">
        <v>1467</v>
      </c>
      <c r="C3909" s="39" t="s">
        <v>2884</v>
      </c>
      <c r="D3909" t="s">
        <v>4247</v>
      </c>
      <c r="F3909" s="56"/>
    </row>
    <row r="3910" spans="1:6" ht="15">
      <c r="A3910" s="51">
        <v>2677770</v>
      </c>
      <c r="B3910" t="s">
        <v>2885</v>
      </c>
      <c r="C3910" s="39" t="s">
        <v>2884</v>
      </c>
      <c r="D3910" t="s">
        <v>4243</v>
      </c>
      <c r="F3910" s="56"/>
    </row>
    <row r="3911" spans="1:6" ht="15">
      <c r="A3911" s="51">
        <v>2677771</v>
      </c>
      <c r="B3911" t="s">
        <v>2886</v>
      </c>
      <c r="C3911" s="39" t="s">
        <v>2884</v>
      </c>
      <c r="D3911">
        <v>7</v>
      </c>
      <c r="F3911" s="56"/>
    </row>
    <row r="3912" spans="1:6" ht="15">
      <c r="A3912" s="51">
        <v>2677772</v>
      </c>
      <c r="B3912" t="s">
        <v>2887</v>
      </c>
      <c r="C3912" s="39" t="s">
        <v>2884</v>
      </c>
      <c r="D3912">
        <v>8</v>
      </c>
      <c r="F3912" s="56"/>
    </row>
    <row r="3913" spans="1:6" ht="15">
      <c r="A3913" s="51">
        <v>2677773</v>
      </c>
      <c r="B3913" t="s">
        <v>2044</v>
      </c>
      <c r="C3913" s="39" t="s">
        <v>2884</v>
      </c>
      <c r="D3913">
        <v>8</v>
      </c>
      <c r="F3913" s="56"/>
    </row>
    <row r="3914" spans="1:6" ht="15">
      <c r="A3914" s="51">
        <v>2677774</v>
      </c>
      <c r="B3914" t="s">
        <v>1100</v>
      </c>
      <c r="C3914" s="39" t="s">
        <v>2053</v>
      </c>
      <c r="D3914" t="s">
        <v>4246</v>
      </c>
      <c r="F3914" s="56"/>
    </row>
    <row r="3915" spans="1:6" ht="15">
      <c r="A3915" s="51">
        <v>2677775</v>
      </c>
      <c r="B3915" t="s">
        <v>1259</v>
      </c>
      <c r="C3915" s="39" t="s">
        <v>166</v>
      </c>
      <c r="D3915" t="s">
        <v>4245</v>
      </c>
      <c r="F3915" s="56"/>
    </row>
    <row r="3916" spans="1:6" ht="15">
      <c r="A3916" s="51">
        <v>2677776</v>
      </c>
      <c r="B3916" t="s">
        <v>2488</v>
      </c>
      <c r="C3916" s="39" t="s">
        <v>166</v>
      </c>
      <c r="D3916" t="s">
        <v>4244</v>
      </c>
      <c r="F3916" s="56"/>
    </row>
    <row r="3917" spans="1:6" ht="15">
      <c r="A3917" s="51">
        <v>2677777</v>
      </c>
      <c r="B3917" t="s">
        <v>2888</v>
      </c>
      <c r="C3917" s="39" t="s">
        <v>166</v>
      </c>
      <c r="D3917" t="s">
        <v>4243</v>
      </c>
      <c r="F3917" s="56"/>
    </row>
    <row r="3918" spans="1:6" ht="15">
      <c r="A3918" s="51">
        <v>2677778</v>
      </c>
      <c r="B3918" t="s">
        <v>2491</v>
      </c>
      <c r="C3918" s="39" t="s">
        <v>2293</v>
      </c>
      <c r="D3918">
        <v>8</v>
      </c>
      <c r="F3918" s="56"/>
    </row>
    <row r="3919" spans="1:6" ht="15">
      <c r="A3919" s="51">
        <v>2753724</v>
      </c>
      <c r="B3919" t="s">
        <v>2052</v>
      </c>
      <c r="C3919" s="39" t="s">
        <v>2889</v>
      </c>
      <c r="D3919" t="s">
        <v>4243</v>
      </c>
      <c r="F3919" s="56"/>
    </row>
    <row r="3920" spans="1:6" ht="15">
      <c r="A3920" s="51">
        <v>2753725</v>
      </c>
      <c r="B3920" t="s">
        <v>1768</v>
      </c>
      <c r="C3920" s="39" t="s">
        <v>2890</v>
      </c>
      <c r="D3920">
        <v>9</v>
      </c>
      <c r="F3920" s="56"/>
    </row>
    <row r="3921" spans="1:6" ht="15">
      <c r="A3921" s="51">
        <v>2753726</v>
      </c>
      <c r="B3921" t="s">
        <v>2059</v>
      </c>
      <c r="C3921" s="39" t="s">
        <v>2890</v>
      </c>
      <c r="D3921">
        <v>9</v>
      </c>
      <c r="F3921" s="56"/>
    </row>
    <row r="3922" spans="1:6" ht="15">
      <c r="A3922" s="51">
        <v>2677779</v>
      </c>
      <c r="B3922" t="s">
        <v>1197</v>
      </c>
      <c r="C3922" s="39" t="s">
        <v>235</v>
      </c>
      <c r="D3922" t="s">
        <v>4244</v>
      </c>
      <c r="F3922" s="56"/>
    </row>
    <row r="3923" spans="1:6" ht="15">
      <c r="A3923" s="51">
        <v>2677780</v>
      </c>
      <c r="B3923" t="s">
        <v>2062</v>
      </c>
      <c r="C3923" s="39" t="s">
        <v>380</v>
      </c>
      <c r="D3923" t="s">
        <v>4244</v>
      </c>
      <c r="F3923" s="56"/>
    </row>
    <row r="3924" spans="1:6" ht="15">
      <c r="A3924" s="51">
        <v>2677781</v>
      </c>
      <c r="B3924" t="s">
        <v>2237</v>
      </c>
      <c r="C3924" s="39" t="s">
        <v>2238</v>
      </c>
      <c r="D3924">
        <v>8</v>
      </c>
      <c r="F3924" s="56"/>
    </row>
    <row r="3925" spans="1:6" ht="15">
      <c r="A3925" s="51">
        <v>2677782</v>
      </c>
      <c r="B3925" t="s">
        <v>2239</v>
      </c>
      <c r="C3925" s="39" t="s">
        <v>2238</v>
      </c>
      <c r="D3925">
        <v>8</v>
      </c>
      <c r="F3925" s="56"/>
    </row>
    <row r="3926" spans="1:6" ht="15">
      <c r="A3926" s="51">
        <v>2677783</v>
      </c>
      <c r="B3926" t="s">
        <v>2891</v>
      </c>
      <c r="C3926" s="39" t="s">
        <v>2892</v>
      </c>
      <c r="D3926">
        <v>9</v>
      </c>
      <c r="F3926" s="56"/>
    </row>
    <row r="3927" spans="1:6" ht="15">
      <c r="A3927" s="51">
        <v>2677784</v>
      </c>
      <c r="B3927" t="s">
        <v>2893</v>
      </c>
      <c r="C3927" s="39" t="s">
        <v>2894</v>
      </c>
      <c r="D3927">
        <v>9</v>
      </c>
      <c r="F3927" s="56"/>
    </row>
    <row r="3928" spans="1:6" ht="15">
      <c r="A3928" s="51">
        <v>2677785</v>
      </c>
      <c r="B3928" t="s">
        <v>2895</v>
      </c>
      <c r="C3928" s="39" t="s">
        <v>2643</v>
      </c>
      <c r="D3928">
        <v>9</v>
      </c>
      <c r="F3928" s="56"/>
    </row>
    <row r="3929" spans="1:6" ht="15">
      <c r="A3929" s="51">
        <v>2677786</v>
      </c>
      <c r="B3929" t="s">
        <v>2896</v>
      </c>
      <c r="C3929" s="39" t="s">
        <v>1855</v>
      </c>
      <c r="D3929">
        <v>9</v>
      </c>
      <c r="F3929" s="56"/>
    </row>
    <row r="3930" spans="1:6" ht="15">
      <c r="A3930" s="51">
        <v>2677787</v>
      </c>
      <c r="B3930" t="s">
        <v>234</v>
      </c>
      <c r="C3930" s="39" t="s">
        <v>2070</v>
      </c>
      <c r="D3930" t="s">
        <v>4243</v>
      </c>
      <c r="F3930" s="56"/>
    </row>
    <row r="3931" spans="1:6" ht="15">
      <c r="A3931" s="51">
        <v>2753727</v>
      </c>
      <c r="B3931" t="s">
        <v>1853</v>
      </c>
      <c r="C3931" s="39" t="s">
        <v>1482</v>
      </c>
      <c r="D3931" t="s">
        <v>4244</v>
      </c>
      <c r="F3931" s="56"/>
    </row>
    <row r="3932" spans="1:6" ht="15">
      <c r="A3932" s="51">
        <v>2753728</v>
      </c>
      <c r="B3932" t="s">
        <v>2243</v>
      </c>
      <c r="C3932" s="39" t="s">
        <v>1482</v>
      </c>
      <c r="D3932" t="s">
        <v>4244</v>
      </c>
      <c r="F3932" s="56"/>
    </row>
    <row r="3933" spans="1:6" ht="15">
      <c r="A3933" s="51">
        <v>2753729</v>
      </c>
      <c r="B3933" t="s">
        <v>1479</v>
      </c>
      <c r="C3933" s="39" t="s">
        <v>1482</v>
      </c>
      <c r="D3933" t="s">
        <v>4244</v>
      </c>
      <c r="F3933" s="56"/>
    </row>
    <row r="3934" spans="1:6" ht="15">
      <c r="A3934" s="51">
        <v>2677788</v>
      </c>
      <c r="B3934" t="s">
        <v>1856</v>
      </c>
      <c r="C3934" s="39" t="s">
        <v>1121</v>
      </c>
      <c r="D3934">
        <v>8</v>
      </c>
      <c r="F3934" s="56"/>
    </row>
    <row r="3935" spans="1:6" ht="15">
      <c r="A3935" s="51">
        <v>2677789</v>
      </c>
      <c r="B3935" t="s">
        <v>2247</v>
      </c>
      <c r="C3935" s="39" t="s">
        <v>2897</v>
      </c>
      <c r="D3935" t="s">
        <v>4243</v>
      </c>
      <c r="F3935" s="56"/>
    </row>
    <row r="3936" spans="1:6" ht="15">
      <c r="A3936" s="51">
        <v>2677790</v>
      </c>
      <c r="B3936" t="s">
        <v>245</v>
      </c>
      <c r="C3936" s="39" t="s">
        <v>231</v>
      </c>
      <c r="D3936" t="s">
        <v>4244</v>
      </c>
      <c r="F3936" s="56"/>
    </row>
    <row r="3937" spans="1:6" ht="15">
      <c r="A3937" s="51">
        <v>2677791</v>
      </c>
      <c r="B3937" t="s">
        <v>2764</v>
      </c>
      <c r="C3937" s="39" t="s">
        <v>2898</v>
      </c>
      <c r="D3937">
        <v>7</v>
      </c>
      <c r="F3937" s="56"/>
    </row>
    <row r="3938" spans="1:6" ht="15">
      <c r="A3938" s="51">
        <v>2677792</v>
      </c>
      <c r="B3938" t="s">
        <v>2073</v>
      </c>
      <c r="C3938" s="39" t="s">
        <v>2251</v>
      </c>
      <c r="D3938">
        <v>8</v>
      </c>
      <c r="F3938" s="56"/>
    </row>
    <row r="3939" spans="1:6" ht="15">
      <c r="A3939" s="51">
        <v>2677793</v>
      </c>
      <c r="B3939" t="s">
        <v>2252</v>
      </c>
      <c r="C3939" s="39" t="s">
        <v>371</v>
      </c>
      <c r="D3939">
        <v>8</v>
      </c>
      <c r="F3939" s="56"/>
    </row>
    <row r="3940" spans="1:6" ht="15">
      <c r="A3940" s="51">
        <v>2677794</v>
      </c>
      <c r="B3940" t="s">
        <v>2899</v>
      </c>
      <c r="C3940" s="39" t="s">
        <v>2900</v>
      </c>
      <c r="D3940" t="s">
        <v>4243</v>
      </c>
      <c r="F3940" s="56"/>
    </row>
    <row r="3941" spans="1:6" ht="15">
      <c r="A3941" s="51">
        <v>2677795</v>
      </c>
      <c r="B3941" t="s">
        <v>1115</v>
      </c>
      <c r="C3941" s="39" t="s">
        <v>2900</v>
      </c>
      <c r="D3941">
        <v>8</v>
      </c>
      <c r="F3941" s="56"/>
    </row>
    <row r="3942" spans="1:6" ht="15">
      <c r="A3942" s="51">
        <v>2677796</v>
      </c>
      <c r="B3942" t="s">
        <v>2901</v>
      </c>
      <c r="C3942" s="39" t="s">
        <v>1121</v>
      </c>
      <c r="D3942">
        <v>8</v>
      </c>
      <c r="F3942" s="56"/>
    </row>
    <row r="3943" spans="1:6" ht="15">
      <c r="A3943" s="51">
        <v>2677797</v>
      </c>
      <c r="B3943" t="s">
        <v>2254</v>
      </c>
      <c r="C3943" s="39" t="s">
        <v>781</v>
      </c>
      <c r="D3943" t="s">
        <v>4246</v>
      </c>
      <c r="F3943" s="56"/>
    </row>
    <row r="3944" spans="1:6" ht="15">
      <c r="A3944" s="51">
        <v>2677798</v>
      </c>
      <c r="B3944" t="s">
        <v>1774</v>
      </c>
      <c r="C3944" s="39" t="s">
        <v>781</v>
      </c>
      <c r="D3944" t="s">
        <v>4246</v>
      </c>
      <c r="F3944" s="56"/>
    </row>
    <row r="3945" spans="1:6" ht="15">
      <c r="A3945" s="51">
        <v>2677799</v>
      </c>
      <c r="B3945" t="s">
        <v>2902</v>
      </c>
      <c r="C3945" s="39" t="s">
        <v>781</v>
      </c>
      <c r="D3945" t="s">
        <v>4244</v>
      </c>
      <c r="F3945" s="56"/>
    </row>
    <row r="3946" spans="1:6" ht="15">
      <c r="A3946" s="51">
        <v>2677800</v>
      </c>
      <c r="B3946" t="s">
        <v>1205</v>
      </c>
      <c r="C3946" s="39" t="s">
        <v>1504</v>
      </c>
      <c r="D3946" t="s">
        <v>4243</v>
      </c>
      <c r="F3946" s="56"/>
    </row>
    <row r="3947" spans="1:6" ht="15">
      <c r="A3947" s="51">
        <v>2753730</v>
      </c>
      <c r="B3947" t="s">
        <v>2256</v>
      </c>
      <c r="C3947" s="39" t="s">
        <v>2074</v>
      </c>
      <c r="D3947">
        <v>8</v>
      </c>
      <c r="F3947" s="56"/>
    </row>
    <row r="3948" spans="1:6" ht="15">
      <c r="A3948" s="51">
        <v>2677801</v>
      </c>
      <c r="B3948" t="s">
        <v>2261</v>
      </c>
      <c r="C3948" s="39" t="s">
        <v>2903</v>
      </c>
      <c r="D3948">
        <v>8</v>
      </c>
      <c r="F3948" s="56"/>
    </row>
    <row r="3949" spans="1:6" ht="15">
      <c r="A3949" s="51">
        <v>2677802</v>
      </c>
      <c r="B3949" t="s">
        <v>2262</v>
      </c>
      <c r="C3949" s="39" t="s">
        <v>914</v>
      </c>
      <c r="D3949" t="s">
        <v>4244</v>
      </c>
      <c r="F3949" s="56"/>
    </row>
    <row r="3950" spans="1:6" ht="15">
      <c r="A3950" s="51">
        <v>2677803</v>
      </c>
      <c r="B3950" t="s">
        <v>2263</v>
      </c>
      <c r="C3950" s="39" t="s">
        <v>914</v>
      </c>
      <c r="D3950" t="s">
        <v>4244</v>
      </c>
      <c r="F3950" s="56"/>
    </row>
    <row r="3951" spans="1:6" ht="15">
      <c r="A3951" s="51">
        <v>2677804</v>
      </c>
      <c r="B3951" t="s">
        <v>2904</v>
      </c>
      <c r="C3951" s="39" t="s">
        <v>914</v>
      </c>
      <c r="D3951">
        <v>7</v>
      </c>
      <c r="F3951" s="56"/>
    </row>
    <row r="3952" spans="1:6" ht="15">
      <c r="A3952" s="51">
        <v>2753731</v>
      </c>
      <c r="B3952" t="s">
        <v>2082</v>
      </c>
      <c r="C3952" s="39" t="s">
        <v>1308</v>
      </c>
      <c r="D3952">
        <v>8</v>
      </c>
      <c r="F3952" s="56"/>
    </row>
    <row r="3953" spans="1:6" ht="15">
      <c r="A3953" s="51">
        <v>2753732</v>
      </c>
      <c r="B3953" t="s">
        <v>883</v>
      </c>
      <c r="C3953" s="39" t="s">
        <v>1308</v>
      </c>
      <c r="D3953">
        <v>8</v>
      </c>
      <c r="F3953" s="56"/>
    </row>
    <row r="3954" spans="1:6" ht="15">
      <c r="A3954" s="51">
        <v>2753733</v>
      </c>
      <c r="B3954" t="s">
        <v>2083</v>
      </c>
      <c r="C3954" s="39" t="s">
        <v>1308</v>
      </c>
      <c r="D3954">
        <v>8</v>
      </c>
      <c r="F3954" s="56"/>
    </row>
    <row r="3955" spans="1:6" ht="15">
      <c r="A3955" s="51">
        <v>2753699</v>
      </c>
      <c r="B3955" t="s">
        <v>2905</v>
      </c>
      <c r="C3955" s="39" t="s">
        <v>2906</v>
      </c>
      <c r="D3955">
        <v>8</v>
      </c>
      <c r="F3955" s="56"/>
    </row>
    <row r="3956" spans="1:6" ht="15">
      <c r="A3956" s="51">
        <v>2677805</v>
      </c>
      <c r="B3956" t="s">
        <v>1133</v>
      </c>
      <c r="C3956" s="39" t="s">
        <v>2907</v>
      </c>
      <c r="D3956">
        <v>8</v>
      </c>
      <c r="F3956" s="56"/>
    </row>
    <row r="3957" spans="1:6" ht="15">
      <c r="A3957" s="51">
        <v>2677806</v>
      </c>
      <c r="B3957" t="s">
        <v>2269</v>
      </c>
      <c r="C3957" s="39" t="s">
        <v>1594</v>
      </c>
      <c r="D3957" t="s">
        <v>4243</v>
      </c>
      <c r="F3957" s="56"/>
    </row>
    <row r="3958" spans="1:6" ht="15">
      <c r="A3958" s="51">
        <v>2677807</v>
      </c>
      <c r="B3958" t="s">
        <v>457</v>
      </c>
      <c r="C3958" s="39" t="s">
        <v>283</v>
      </c>
      <c r="D3958">
        <v>8</v>
      </c>
      <c r="F3958" s="56"/>
    </row>
    <row r="3959" spans="1:6" ht="15">
      <c r="A3959" s="51">
        <v>2677808</v>
      </c>
      <c r="B3959" t="s">
        <v>2271</v>
      </c>
      <c r="C3959" s="39" t="s">
        <v>2908</v>
      </c>
      <c r="D3959">
        <v>7</v>
      </c>
      <c r="F3959" s="56"/>
    </row>
    <row r="3960" spans="1:6" ht="15">
      <c r="A3960" s="51">
        <v>2677809</v>
      </c>
      <c r="B3960" t="s">
        <v>1514</v>
      </c>
      <c r="C3960" s="39" t="s">
        <v>2908</v>
      </c>
      <c r="D3960">
        <v>7</v>
      </c>
      <c r="F3960" s="56"/>
    </row>
    <row r="3961" spans="1:6" ht="15">
      <c r="A3961" s="51">
        <v>2677810</v>
      </c>
      <c r="B3961" t="s">
        <v>279</v>
      </c>
      <c r="C3961" s="39" t="s">
        <v>2908</v>
      </c>
      <c r="D3961">
        <v>8</v>
      </c>
      <c r="F3961" s="56"/>
    </row>
    <row r="3962" spans="1:6" ht="15">
      <c r="A3962" s="51">
        <v>2677811</v>
      </c>
      <c r="B3962" t="s">
        <v>2272</v>
      </c>
      <c r="C3962" s="39" t="s">
        <v>90</v>
      </c>
      <c r="D3962">
        <v>7</v>
      </c>
      <c r="F3962" s="56"/>
    </row>
    <row r="3963" spans="1:6" ht="15">
      <c r="A3963" s="51">
        <v>2677812</v>
      </c>
      <c r="B3963" t="s">
        <v>2273</v>
      </c>
      <c r="C3963" s="39" t="s">
        <v>2771</v>
      </c>
      <c r="D3963">
        <v>8</v>
      </c>
      <c r="F3963" s="56"/>
    </row>
    <row r="3964" spans="1:6" ht="15">
      <c r="A3964" s="51">
        <v>2677813</v>
      </c>
      <c r="B3964" t="s">
        <v>1697</v>
      </c>
      <c r="C3964" s="39" t="s">
        <v>2279</v>
      </c>
      <c r="D3964">
        <v>9</v>
      </c>
      <c r="F3964" s="56"/>
    </row>
    <row r="3965" spans="1:6" ht="15">
      <c r="A3965" s="51">
        <v>2677816</v>
      </c>
      <c r="B3965" t="s">
        <v>1140</v>
      </c>
      <c r="C3965" s="39" t="s">
        <v>2167</v>
      </c>
      <c r="D3965" t="s">
        <v>4247</v>
      </c>
      <c r="F3965" s="56"/>
    </row>
    <row r="3966" spans="1:6" ht="15">
      <c r="A3966" s="51">
        <v>2677817</v>
      </c>
      <c r="B3966" t="s">
        <v>288</v>
      </c>
      <c r="C3966" s="39" t="s">
        <v>2167</v>
      </c>
      <c r="D3966" t="s">
        <v>4243</v>
      </c>
      <c r="F3966" s="56"/>
    </row>
    <row r="3967" spans="1:6" ht="15">
      <c r="A3967" s="51">
        <v>2677818</v>
      </c>
      <c r="B3967" t="s">
        <v>1700</v>
      </c>
      <c r="C3967" s="39" t="s">
        <v>2167</v>
      </c>
      <c r="D3967">
        <v>7</v>
      </c>
      <c r="F3967" s="56"/>
    </row>
    <row r="3968" spans="1:6" ht="15">
      <c r="A3968" s="51">
        <v>2677820</v>
      </c>
      <c r="B3968" t="s">
        <v>2096</v>
      </c>
      <c r="C3968" s="39" t="s">
        <v>2167</v>
      </c>
      <c r="D3968">
        <v>8</v>
      </c>
      <c r="F3968" s="56"/>
    </row>
    <row r="3969" spans="1:6" ht="15">
      <c r="A3969" s="51">
        <v>2753734</v>
      </c>
      <c r="B3969" t="s">
        <v>2098</v>
      </c>
      <c r="C3969" s="39" t="s">
        <v>1521</v>
      </c>
      <c r="D3969" t="s">
        <v>4243</v>
      </c>
      <c r="F3969" s="56"/>
    </row>
    <row r="3970" spans="1:6" ht="15">
      <c r="A3970" s="51">
        <v>2753700</v>
      </c>
      <c r="B3970" t="s">
        <v>2909</v>
      </c>
      <c r="C3970" s="39" t="s">
        <v>2648</v>
      </c>
      <c r="D3970">
        <v>8</v>
      </c>
      <c r="F3970" s="56"/>
    </row>
    <row r="3971" spans="1:6" ht="15">
      <c r="A3971" s="51">
        <v>3105631</v>
      </c>
      <c r="B3971" t="s">
        <v>466</v>
      </c>
      <c r="C3971" s="39" t="s">
        <v>467</v>
      </c>
      <c r="D3971">
        <v>9</v>
      </c>
      <c r="F3971" s="56"/>
    </row>
    <row r="3972" spans="1:6" ht="15">
      <c r="A3972" s="51">
        <v>3105632</v>
      </c>
      <c r="B3972" t="s">
        <v>1595</v>
      </c>
      <c r="C3972" s="39" t="s">
        <v>373</v>
      </c>
      <c r="D3972" t="s">
        <v>4244</v>
      </c>
      <c r="F3972" s="56"/>
    </row>
    <row r="3973" spans="1:6" ht="15">
      <c r="A3973" s="51">
        <v>3105635</v>
      </c>
      <c r="B3973" t="s">
        <v>468</v>
      </c>
      <c r="C3973" s="39" t="s">
        <v>437</v>
      </c>
      <c r="D3973" t="s">
        <v>4248</v>
      </c>
      <c r="F3973" s="56"/>
    </row>
    <row r="3974" spans="1:6" ht="15">
      <c r="A3974" s="51">
        <v>3105636</v>
      </c>
      <c r="B3974" t="s">
        <v>1596</v>
      </c>
      <c r="C3974" s="39" t="s">
        <v>433</v>
      </c>
      <c r="D3974" t="s">
        <v>4245</v>
      </c>
      <c r="F3974" s="56"/>
    </row>
    <row r="3975" spans="1:6" ht="15">
      <c r="A3975" s="51">
        <v>3100306</v>
      </c>
      <c r="B3975" t="s">
        <v>469</v>
      </c>
      <c r="C3975" s="39" t="s">
        <v>283</v>
      </c>
      <c r="D3975">
        <v>8</v>
      </c>
      <c r="F3975" s="56"/>
    </row>
    <row r="3976" spans="1:6" ht="15">
      <c r="A3976" s="51">
        <v>3105637</v>
      </c>
      <c r="B3976" t="s">
        <v>471</v>
      </c>
      <c r="C3976" s="39" t="s">
        <v>276</v>
      </c>
      <c r="D3976" t="s">
        <v>4244</v>
      </c>
      <c r="F3976" s="56"/>
    </row>
    <row r="3977" spans="1:6" ht="15">
      <c r="A3977" s="51">
        <v>3105638</v>
      </c>
      <c r="B3977" t="s">
        <v>888</v>
      </c>
      <c r="C3977" s="39" t="s">
        <v>2907</v>
      </c>
      <c r="D3977">
        <v>8</v>
      </c>
      <c r="F3977" s="56"/>
    </row>
    <row r="3978" spans="1:6" ht="15">
      <c r="A3978" s="51">
        <v>3105639</v>
      </c>
      <c r="B3978" t="s">
        <v>473</v>
      </c>
      <c r="C3978" s="39" t="s">
        <v>402</v>
      </c>
      <c r="D3978" t="s">
        <v>4245</v>
      </c>
      <c r="F3978" s="56"/>
    </row>
    <row r="3979" spans="1:6" ht="15">
      <c r="A3979" s="51">
        <v>3105640</v>
      </c>
      <c r="B3979" t="s">
        <v>1266</v>
      </c>
      <c r="C3979" s="39" t="s">
        <v>283</v>
      </c>
      <c r="D3979">
        <v>8</v>
      </c>
      <c r="F3979" s="56"/>
    </row>
    <row r="3980" spans="1:6" ht="15">
      <c r="A3980" s="51">
        <v>3105641</v>
      </c>
      <c r="B3980" t="s">
        <v>2910</v>
      </c>
      <c r="C3980" s="39" t="s">
        <v>373</v>
      </c>
      <c r="D3980" t="s">
        <v>4244</v>
      </c>
      <c r="F3980" s="56"/>
    </row>
    <row r="3981" spans="1:6" ht="15">
      <c r="A3981" s="51">
        <v>3105642</v>
      </c>
      <c r="B3981" t="s">
        <v>487</v>
      </c>
      <c r="C3981" s="39" t="s">
        <v>2911</v>
      </c>
      <c r="D3981">
        <v>7</v>
      </c>
      <c r="F3981" s="56"/>
    </row>
    <row r="3982" spans="1:6" ht="15">
      <c r="A3982" s="51">
        <v>3105643</v>
      </c>
      <c r="B3982" t="s">
        <v>493</v>
      </c>
      <c r="C3982" s="39" t="s">
        <v>2912</v>
      </c>
      <c r="D3982" t="s">
        <v>4246</v>
      </c>
      <c r="F3982" s="56"/>
    </row>
    <row r="3983" spans="1:6" ht="15">
      <c r="A3983" s="51">
        <v>3105644</v>
      </c>
      <c r="B3983" t="s">
        <v>494</v>
      </c>
      <c r="C3983" s="39" t="s">
        <v>2912</v>
      </c>
      <c r="D3983" t="s">
        <v>4246</v>
      </c>
      <c r="F3983" s="56"/>
    </row>
    <row r="3984" spans="1:6" ht="15">
      <c r="A3984" s="51">
        <v>3105782</v>
      </c>
      <c r="B3984" t="s">
        <v>892</v>
      </c>
      <c r="C3984" s="39" t="s">
        <v>908</v>
      </c>
      <c r="D3984" t="s">
        <v>4244</v>
      </c>
      <c r="F3984" s="56"/>
    </row>
    <row r="3985" spans="1:6" ht="15">
      <c r="A3985" s="51">
        <v>3105788</v>
      </c>
      <c r="B3985" t="s">
        <v>516</v>
      </c>
      <c r="C3985" s="39" t="s">
        <v>1107</v>
      </c>
      <c r="D3985" t="s">
        <v>4245</v>
      </c>
      <c r="F3985" s="56"/>
    </row>
    <row r="3986" spans="1:6" ht="15">
      <c r="A3986" s="51">
        <v>3105789</v>
      </c>
      <c r="B3986" t="s">
        <v>518</v>
      </c>
      <c r="C3986" s="39" t="s">
        <v>1107</v>
      </c>
      <c r="D3986" t="s">
        <v>4245</v>
      </c>
      <c r="F3986" s="56"/>
    </row>
    <row r="3987" spans="1:6" ht="15">
      <c r="A3987" s="51">
        <v>3105783</v>
      </c>
      <c r="B3987" t="s">
        <v>522</v>
      </c>
      <c r="C3987" s="39" t="s">
        <v>669</v>
      </c>
      <c r="D3987" t="s">
        <v>4246</v>
      </c>
      <c r="F3987" s="56"/>
    </row>
    <row r="3988" spans="1:6" ht="15">
      <c r="A3988" s="51">
        <v>3105784</v>
      </c>
      <c r="B3988" t="s">
        <v>523</v>
      </c>
      <c r="C3988" s="39" t="s">
        <v>669</v>
      </c>
      <c r="D3988" t="s">
        <v>4244</v>
      </c>
      <c r="F3988" s="56"/>
    </row>
    <row r="3989" spans="1:6" ht="15">
      <c r="A3989" s="51">
        <v>3105645</v>
      </c>
      <c r="B3989" t="s">
        <v>2566</v>
      </c>
      <c r="C3989" s="39" t="s">
        <v>1098</v>
      </c>
      <c r="D3989" t="s">
        <v>466</v>
      </c>
      <c r="F3989" s="56"/>
    </row>
    <row r="3990" spans="1:6" ht="15">
      <c r="A3990" s="51">
        <v>3105646</v>
      </c>
      <c r="B3990" t="s">
        <v>2913</v>
      </c>
      <c r="C3990" s="39" t="s">
        <v>1098</v>
      </c>
      <c r="D3990" t="s">
        <v>1595</v>
      </c>
      <c r="F3990" s="56"/>
    </row>
    <row r="3991" spans="1:6" ht="15">
      <c r="A3991" s="51">
        <v>3105647</v>
      </c>
      <c r="B3991" t="s">
        <v>2914</v>
      </c>
      <c r="C3991" s="39" t="s">
        <v>1098</v>
      </c>
      <c r="D3991" t="s">
        <v>469</v>
      </c>
      <c r="F3991" s="56"/>
    </row>
    <row r="3992" spans="1:6" ht="15">
      <c r="A3992" s="51">
        <v>3105648</v>
      </c>
      <c r="B3992" t="s">
        <v>2915</v>
      </c>
      <c r="C3992" s="39" t="s">
        <v>1098</v>
      </c>
      <c r="D3992" t="s">
        <v>471</v>
      </c>
      <c r="F3992" s="56"/>
    </row>
    <row r="3993" spans="1:6" ht="15">
      <c r="A3993" s="51">
        <v>3105649</v>
      </c>
      <c r="B3993" t="s">
        <v>2916</v>
      </c>
      <c r="C3993" s="39" t="s">
        <v>1098</v>
      </c>
      <c r="D3993">
        <v>9</v>
      </c>
      <c r="F3993" s="56"/>
    </row>
    <row r="3994" spans="1:6" ht="15">
      <c r="A3994" s="51">
        <v>3105650</v>
      </c>
      <c r="B3994" t="s">
        <v>2568</v>
      </c>
      <c r="C3994" s="39" t="s">
        <v>157</v>
      </c>
      <c r="D3994" t="s">
        <v>4245</v>
      </c>
      <c r="F3994" s="56"/>
    </row>
    <row r="3995" spans="1:6" ht="15">
      <c r="A3995" s="51">
        <v>3105651</v>
      </c>
      <c r="B3995" t="s">
        <v>2299</v>
      </c>
      <c r="C3995" s="39" t="s">
        <v>157</v>
      </c>
      <c r="D3995" t="s">
        <v>4246</v>
      </c>
      <c r="F3995" s="56"/>
    </row>
    <row r="3996" spans="1:6" ht="15">
      <c r="A3996" s="51">
        <v>3105652</v>
      </c>
      <c r="B3996" t="s">
        <v>2300</v>
      </c>
      <c r="C3996" s="39" t="s">
        <v>157</v>
      </c>
      <c r="D3996" t="s">
        <v>4244</v>
      </c>
      <c r="F3996" s="56"/>
    </row>
    <row r="3997" spans="1:6" ht="15">
      <c r="A3997" s="51">
        <v>3105653</v>
      </c>
      <c r="B3997" t="s">
        <v>2917</v>
      </c>
      <c r="C3997" s="39" t="s">
        <v>2918</v>
      </c>
      <c r="D3997" t="s">
        <v>4243</v>
      </c>
      <c r="F3997" s="56"/>
    </row>
    <row r="3998" spans="1:6" ht="15">
      <c r="A3998" s="51">
        <v>3105654</v>
      </c>
      <c r="B3998" t="s">
        <v>2919</v>
      </c>
      <c r="C3998" s="39" t="s">
        <v>2918</v>
      </c>
      <c r="D3998">
        <v>8</v>
      </c>
      <c r="F3998" s="56"/>
    </row>
    <row r="3999" spans="1:6" ht="15">
      <c r="A3999" s="51">
        <v>3105655</v>
      </c>
      <c r="B3999" t="s">
        <v>524</v>
      </c>
      <c r="C3999" s="39" t="s">
        <v>108</v>
      </c>
      <c r="D3999" t="s">
        <v>4245</v>
      </c>
      <c r="F3999" s="56"/>
    </row>
    <row r="4000" spans="1:6" ht="15">
      <c r="A4000" s="51">
        <v>3105656</v>
      </c>
      <c r="B4000" t="s">
        <v>525</v>
      </c>
      <c r="C4000" s="39" t="s">
        <v>108</v>
      </c>
      <c r="D4000" t="s">
        <v>4245</v>
      </c>
      <c r="F4000" s="56"/>
    </row>
    <row r="4001" spans="1:6" ht="15">
      <c r="A4001" s="51">
        <v>3105657</v>
      </c>
      <c r="B4001" t="s">
        <v>526</v>
      </c>
      <c r="C4001" s="39" t="s">
        <v>108</v>
      </c>
      <c r="D4001" t="s">
        <v>4244</v>
      </c>
      <c r="F4001" s="56"/>
    </row>
    <row r="4002" spans="1:6" ht="15">
      <c r="A4002" s="51">
        <v>3105658</v>
      </c>
      <c r="B4002" t="s">
        <v>527</v>
      </c>
      <c r="C4002" s="39" t="s">
        <v>108</v>
      </c>
      <c r="D4002" t="s">
        <v>4243</v>
      </c>
      <c r="F4002" s="56"/>
    </row>
    <row r="4003" spans="1:6" ht="15">
      <c r="A4003" s="51">
        <v>3105659</v>
      </c>
      <c r="B4003" t="s">
        <v>530</v>
      </c>
      <c r="C4003" s="39" t="s">
        <v>108</v>
      </c>
      <c r="D4003" t="s">
        <v>4245</v>
      </c>
      <c r="F4003" s="56"/>
    </row>
    <row r="4004" spans="1:6" ht="15">
      <c r="A4004" s="51">
        <v>3105660</v>
      </c>
      <c r="B4004" t="s">
        <v>531</v>
      </c>
      <c r="C4004" s="39" t="s">
        <v>108</v>
      </c>
      <c r="D4004" t="s">
        <v>4245</v>
      </c>
      <c r="F4004" s="56"/>
    </row>
    <row r="4005" spans="1:6" ht="15">
      <c r="A4005" s="51">
        <v>3105661</v>
      </c>
      <c r="B4005" t="s">
        <v>532</v>
      </c>
      <c r="C4005" s="39" t="s">
        <v>106</v>
      </c>
      <c r="D4005" t="s">
        <v>4245</v>
      </c>
      <c r="F4005" s="56"/>
    </row>
    <row r="4006" spans="1:6" ht="15">
      <c r="A4006" s="51">
        <v>3105662</v>
      </c>
      <c r="B4006" t="s">
        <v>533</v>
      </c>
      <c r="C4006" s="39" t="s">
        <v>106</v>
      </c>
      <c r="D4006" t="s">
        <v>4245</v>
      </c>
      <c r="F4006" s="56"/>
    </row>
    <row r="4007" spans="1:6" ht="15">
      <c r="A4007" s="51">
        <v>3105663</v>
      </c>
      <c r="B4007" t="s">
        <v>534</v>
      </c>
      <c r="C4007" s="39" t="s">
        <v>1024</v>
      </c>
      <c r="D4007" t="s">
        <v>4243</v>
      </c>
      <c r="F4007" s="56"/>
    </row>
    <row r="4008" spans="1:6" ht="15">
      <c r="A4008" s="51">
        <v>3105664</v>
      </c>
      <c r="B4008" t="s">
        <v>894</v>
      </c>
      <c r="C4008" s="39" t="s">
        <v>896</v>
      </c>
      <c r="D4008">
        <v>8</v>
      </c>
      <c r="F4008" s="56"/>
    </row>
    <row r="4009" spans="1:6" ht="15">
      <c r="A4009" s="51">
        <v>3105665</v>
      </c>
      <c r="B4009" t="s">
        <v>2920</v>
      </c>
      <c r="C4009" s="39" t="s">
        <v>1796</v>
      </c>
      <c r="D4009" t="s">
        <v>4244</v>
      </c>
      <c r="F4009" s="56"/>
    </row>
    <row r="4010" spans="1:6" ht="15">
      <c r="A4010" s="51">
        <v>3105666</v>
      </c>
      <c r="B4010" t="s">
        <v>543</v>
      </c>
      <c r="C4010" s="39" t="s">
        <v>542</v>
      </c>
      <c r="D4010" t="s">
        <v>4246</v>
      </c>
      <c r="F4010" s="56"/>
    </row>
    <row r="4011" spans="1:6" ht="15">
      <c r="A4011" s="51">
        <v>3105667</v>
      </c>
      <c r="B4011" t="s">
        <v>544</v>
      </c>
      <c r="C4011" s="39" t="s">
        <v>542</v>
      </c>
      <c r="D4011" t="s">
        <v>4244</v>
      </c>
      <c r="F4011" s="56"/>
    </row>
    <row r="4012" spans="1:6" ht="15">
      <c r="A4012" s="51">
        <v>3105668</v>
      </c>
      <c r="B4012" t="s">
        <v>545</v>
      </c>
      <c r="C4012" s="39" t="s">
        <v>542</v>
      </c>
      <c r="D4012" t="s">
        <v>4243</v>
      </c>
      <c r="F4012" s="56"/>
    </row>
    <row r="4013" spans="1:6" ht="15">
      <c r="A4013" s="51">
        <v>3105669</v>
      </c>
      <c r="B4013" t="s">
        <v>2921</v>
      </c>
      <c r="C4013" s="39" t="s">
        <v>781</v>
      </c>
      <c r="D4013" t="s">
        <v>4244</v>
      </c>
      <c r="F4013" s="56"/>
    </row>
    <row r="4014" spans="1:6" ht="15">
      <c r="A4014" s="51">
        <v>3105670</v>
      </c>
      <c r="B4014" t="s">
        <v>2922</v>
      </c>
      <c r="C4014" s="39" t="s">
        <v>781</v>
      </c>
      <c r="D4014">
        <v>7</v>
      </c>
      <c r="F4014" s="56"/>
    </row>
    <row r="4015" spans="1:6" ht="15">
      <c r="A4015" s="51">
        <v>3100396</v>
      </c>
      <c r="B4015" t="s">
        <v>551</v>
      </c>
      <c r="C4015" s="39" t="s">
        <v>1052</v>
      </c>
      <c r="D4015" t="s">
        <v>4243</v>
      </c>
      <c r="F4015" s="56"/>
    </row>
    <row r="4016" spans="1:6" ht="15">
      <c r="A4016" s="51">
        <v>3105672</v>
      </c>
      <c r="B4016" t="s">
        <v>552</v>
      </c>
      <c r="C4016" s="39" t="s">
        <v>1080</v>
      </c>
      <c r="D4016" t="s">
        <v>4247</v>
      </c>
      <c r="F4016" s="56"/>
    </row>
    <row r="4017" spans="1:6" ht="15">
      <c r="A4017" s="51">
        <v>3105673</v>
      </c>
      <c r="B4017" t="s">
        <v>553</v>
      </c>
      <c r="C4017" s="39" t="s">
        <v>1080</v>
      </c>
      <c r="D4017" t="s">
        <v>4244</v>
      </c>
      <c r="F4017" s="56"/>
    </row>
    <row r="4018" spans="1:6" ht="15">
      <c r="A4018" s="51">
        <v>3100253</v>
      </c>
      <c r="B4018" t="s">
        <v>2923</v>
      </c>
      <c r="C4018" s="39" t="s">
        <v>1114</v>
      </c>
      <c r="D4018" t="s">
        <v>4244</v>
      </c>
      <c r="F4018" s="56"/>
    </row>
    <row r="4019" spans="1:6" ht="15">
      <c r="A4019" s="51">
        <v>3112844</v>
      </c>
      <c r="B4019" t="s">
        <v>585</v>
      </c>
      <c r="C4019" s="39" t="s">
        <v>1797</v>
      </c>
      <c r="D4019" t="s">
        <v>4244</v>
      </c>
      <c r="F4019" s="56"/>
    </row>
    <row r="4020" spans="1:6" ht="15">
      <c r="A4020" s="51">
        <v>3100252</v>
      </c>
      <c r="B4020" t="s">
        <v>2924</v>
      </c>
      <c r="C4020" s="39" t="s">
        <v>1114</v>
      </c>
      <c r="D4020" t="s">
        <v>4244</v>
      </c>
      <c r="F4020" s="56"/>
    </row>
    <row r="4021" spans="1:6" ht="15">
      <c r="A4021" s="51">
        <v>3105675</v>
      </c>
      <c r="B4021" t="s">
        <v>2925</v>
      </c>
      <c r="C4021" s="39" t="s">
        <v>1114</v>
      </c>
      <c r="D4021">
        <v>8</v>
      </c>
      <c r="F4021" s="56"/>
    </row>
    <row r="4022" spans="1:6" ht="15">
      <c r="A4022" s="51">
        <v>3105676</v>
      </c>
      <c r="B4022" t="s">
        <v>2926</v>
      </c>
      <c r="C4022" s="39" t="s">
        <v>1114</v>
      </c>
      <c r="D4022">
        <v>8</v>
      </c>
      <c r="F4022" s="56"/>
    </row>
    <row r="4023" spans="1:6" ht="15">
      <c r="A4023" s="51">
        <v>3105677</v>
      </c>
      <c r="B4023" t="s">
        <v>557</v>
      </c>
      <c r="C4023" s="39" t="s">
        <v>235</v>
      </c>
      <c r="D4023" t="s">
        <v>4244</v>
      </c>
      <c r="F4023" s="56"/>
    </row>
    <row r="4024" spans="1:6" ht="15">
      <c r="A4024" s="51">
        <v>3105678</v>
      </c>
      <c r="B4024" t="s">
        <v>559</v>
      </c>
      <c r="C4024" s="39" t="s">
        <v>235</v>
      </c>
      <c r="D4024" t="s">
        <v>4244</v>
      </c>
      <c r="F4024" s="56"/>
    </row>
    <row r="4025" spans="1:6" ht="15">
      <c r="A4025" s="51">
        <v>3105679</v>
      </c>
      <c r="B4025" t="s">
        <v>560</v>
      </c>
      <c r="C4025" s="39" t="s">
        <v>561</v>
      </c>
      <c r="D4025" t="s">
        <v>4247</v>
      </c>
      <c r="F4025" s="56"/>
    </row>
    <row r="4026" spans="1:6" ht="15">
      <c r="A4026" s="51">
        <v>3105680</v>
      </c>
      <c r="B4026" t="s">
        <v>562</v>
      </c>
      <c r="C4026" s="39" t="s">
        <v>561</v>
      </c>
      <c r="D4026" t="s">
        <v>4247</v>
      </c>
      <c r="F4026" s="56"/>
    </row>
    <row r="4027" spans="1:6" ht="15">
      <c r="A4027" s="51">
        <v>3112830</v>
      </c>
      <c r="B4027" t="s">
        <v>2308</v>
      </c>
      <c r="C4027" s="39" t="s">
        <v>2927</v>
      </c>
      <c r="D4027" t="s">
        <v>4246</v>
      </c>
      <c r="F4027" s="56"/>
    </row>
    <row r="4028" spans="1:6" ht="15">
      <c r="A4028" s="51">
        <v>3112831</v>
      </c>
      <c r="B4028" t="s">
        <v>2928</v>
      </c>
      <c r="C4028" s="39" t="s">
        <v>349</v>
      </c>
      <c r="D4028" t="s">
        <v>4243</v>
      </c>
      <c r="F4028" s="56"/>
    </row>
    <row r="4029" spans="1:6" ht="15">
      <c r="A4029" s="51">
        <v>3112832</v>
      </c>
      <c r="B4029" t="s">
        <v>2929</v>
      </c>
      <c r="C4029" s="39" t="s">
        <v>349</v>
      </c>
      <c r="D4029">
        <v>7</v>
      </c>
      <c r="F4029" s="56"/>
    </row>
    <row r="4030" spans="1:6" ht="15">
      <c r="A4030" s="51">
        <v>3112833</v>
      </c>
      <c r="B4030" t="s">
        <v>2930</v>
      </c>
      <c r="C4030" s="39" t="s">
        <v>359</v>
      </c>
      <c r="D4030" t="s">
        <v>4246</v>
      </c>
      <c r="F4030" s="56"/>
    </row>
    <row r="4031" spans="1:6" ht="15">
      <c r="A4031" s="51">
        <v>3112834</v>
      </c>
      <c r="B4031" t="s">
        <v>907</v>
      </c>
      <c r="C4031" s="39" t="s">
        <v>1715</v>
      </c>
      <c r="D4031" t="s">
        <v>4245</v>
      </c>
      <c r="F4031" s="56"/>
    </row>
    <row r="4032" spans="1:6" ht="15">
      <c r="A4032" s="51">
        <v>3112835</v>
      </c>
      <c r="B4032" t="s">
        <v>2309</v>
      </c>
      <c r="C4032" s="39" t="s">
        <v>1715</v>
      </c>
      <c r="D4032" t="s">
        <v>4247</v>
      </c>
      <c r="F4032" s="56"/>
    </row>
    <row r="4033" spans="1:6" ht="15">
      <c r="A4033" s="51">
        <v>3112836</v>
      </c>
      <c r="B4033" t="s">
        <v>2931</v>
      </c>
      <c r="C4033" s="39" t="s">
        <v>1715</v>
      </c>
      <c r="D4033" t="s">
        <v>4244</v>
      </c>
      <c r="F4033" s="56"/>
    </row>
    <row r="4034" spans="1:6" ht="15">
      <c r="A4034" s="51">
        <v>3112837</v>
      </c>
      <c r="B4034" t="s">
        <v>909</v>
      </c>
      <c r="C4034" s="39" t="s">
        <v>536</v>
      </c>
      <c r="D4034" t="s">
        <v>4245</v>
      </c>
      <c r="F4034" s="56"/>
    </row>
    <row r="4035" spans="1:6" ht="15">
      <c r="A4035" s="51">
        <v>3112838</v>
      </c>
      <c r="B4035" t="s">
        <v>910</v>
      </c>
      <c r="C4035" s="39" t="s">
        <v>536</v>
      </c>
      <c r="D4035" t="s">
        <v>4246</v>
      </c>
      <c r="F4035" s="56"/>
    </row>
    <row r="4036" spans="1:6" ht="15">
      <c r="A4036" s="51">
        <v>3112839</v>
      </c>
      <c r="B4036" t="s">
        <v>911</v>
      </c>
      <c r="C4036" s="39" t="s">
        <v>536</v>
      </c>
      <c r="D4036" t="s">
        <v>4244</v>
      </c>
      <c r="F4036" s="56"/>
    </row>
    <row r="4037" spans="1:6" ht="15">
      <c r="A4037" s="51">
        <v>3112840</v>
      </c>
      <c r="B4037" t="s">
        <v>2932</v>
      </c>
      <c r="C4037" s="39" t="s">
        <v>536</v>
      </c>
      <c r="D4037">
        <v>7</v>
      </c>
      <c r="F4037" s="56"/>
    </row>
    <row r="4038" spans="1:6" ht="15">
      <c r="A4038" s="51">
        <v>3112841</v>
      </c>
      <c r="B4038" t="s">
        <v>2933</v>
      </c>
      <c r="C4038" s="39" t="s">
        <v>536</v>
      </c>
      <c r="D4038">
        <v>9</v>
      </c>
      <c r="F4038" s="56"/>
    </row>
    <row r="4039" spans="1:6" ht="15">
      <c r="A4039" s="51">
        <v>3112842</v>
      </c>
      <c r="B4039" t="s">
        <v>569</v>
      </c>
      <c r="C4039" s="39" t="s">
        <v>955</v>
      </c>
      <c r="D4039">
        <v>7</v>
      </c>
      <c r="F4039" s="56"/>
    </row>
    <row r="4040" spans="1:6" ht="15">
      <c r="A4040" s="51">
        <v>3105735</v>
      </c>
      <c r="B4040" t="s">
        <v>572</v>
      </c>
      <c r="C4040" s="39" t="s">
        <v>264</v>
      </c>
      <c r="D4040" t="s">
        <v>4244</v>
      </c>
      <c r="F4040" s="56"/>
    </row>
    <row r="4041" spans="1:6" ht="15">
      <c r="A4041" s="51">
        <v>3105736</v>
      </c>
      <c r="B4041" t="s">
        <v>573</v>
      </c>
      <c r="C4041" s="39" t="s">
        <v>264</v>
      </c>
      <c r="D4041" t="s">
        <v>4245</v>
      </c>
      <c r="F4041" s="56"/>
    </row>
    <row r="4042" spans="1:6" ht="15">
      <c r="A4042" s="51">
        <v>3105737</v>
      </c>
      <c r="B4042" t="s">
        <v>2934</v>
      </c>
      <c r="C4042" s="39" t="s">
        <v>264</v>
      </c>
      <c r="D4042" t="s">
        <v>4243</v>
      </c>
      <c r="F4042" s="56"/>
    </row>
    <row r="4043" spans="1:6" ht="15">
      <c r="A4043" s="51">
        <v>3105738</v>
      </c>
      <c r="B4043" t="s">
        <v>2935</v>
      </c>
      <c r="C4043" s="39" t="s">
        <v>264</v>
      </c>
      <c r="D4043" t="s">
        <v>4243</v>
      </c>
      <c r="F4043" s="56"/>
    </row>
    <row r="4044" spans="1:6" ht="15">
      <c r="A4044" s="51">
        <v>3105681</v>
      </c>
      <c r="B4044" t="s">
        <v>912</v>
      </c>
      <c r="C4044" s="39" t="s">
        <v>170</v>
      </c>
      <c r="D4044" t="s">
        <v>4247</v>
      </c>
      <c r="F4044" s="56"/>
    </row>
    <row r="4045" spans="1:6" ht="15">
      <c r="A4045" s="51">
        <v>3105682</v>
      </c>
      <c r="B4045" t="s">
        <v>574</v>
      </c>
      <c r="C4045" s="39" t="s">
        <v>170</v>
      </c>
      <c r="D4045" t="s">
        <v>4243</v>
      </c>
      <c r="F4045" s="56"/>
    </row>
    <row r="4046" spans="1:6" ht="15">
      <c r="A4046" s="51">
        <v>3105683</v>
      </c>
      <c r="B4046" t="s">
        <v>576</v>
      </c>
      <c r="C4046" s="39" t="s">
        <v>170</v>
      </c>
      <c r="D4046">
        <v>7</v>
      </c>
      <c r="F4046" s="56"/>
    </row>
    <row r="4047" spans="1:6" ht="15">
      <c r="A4047" s="51">
        <v>3105684</v>
      </c>
      <c r="B4047" t="s">
        <v>580</v>
      </c>
      <c r="C4047" s="39" t="s">
        <v>1083</v>
      </c>
      <c r="D4047" t="s">
        <v>1595</v>
      </c>
      <c r="F4047" s="56"/>
    </row>
    <row r="4048" spans="1:6" ht="15">
      <c r="A4048" s="51">
        <v>3100284</v>
      </c>
      <c r="B4048" t="s">
        <v>581</v>
      </c>
      <c r="C4048" s="39" t="s">
        <v>1083</v>
      </c>
      <c r="D4048" t="s">
        <v>469</v>
      </c>
      <c r="F4048" s="56"/>
    </row>
    <row r="4049" spans="1:6" ht="15">
      <c r="A4049" s="51">
        <v>3105686</v>
      </c>
      <c r="B4049" t="s">
        <v>582</v>
      </c>
      <c r="C4049" s="39" t="s">
        <v>1083</v>
      </c>
      <c r="D4049" t="s">
        <v>471</v>
      </c>
      <c r="F4049" s="56"/>
    </row>
    <row r="4050" spans="1:6" ht="15">
      <c r="A4050" s="51">
        <v>3105687</v>
      </c>
      <c r="B4050" t="s">
        <v>583</v>
      </c>
      <c r="C4050" s="39" t="s">
        <v>1083</v>
      </c>
      <c r="D4050">
        <v>8</v>
      </c>
      <c r="F4050" s="56"/>
    </row>
    <row r="4051" spans="1:6" ht="15">
      <c r="A4051" s="51">
        <v>3112843</v>
      </c>
      <c r="B4051" t="s">
        <v>1602</v>
      </c>
      <c r="C4051" s="39" t="s">
        <v>1797</v>
      </c>
      <c r="D4051" t="s">
        <v>4246</v>
      </c>
      <c r="F4051" s="56"/>
    </row>
    <row r="4052" spans="1:6" ht="15">
      <c r="A4052" s="51">
        <v>3112845</v>
      </c>
      <c r="B4052" t="s">
        <v>1604</v>
      </c>
      <c r="C4052" s="39" t="s">
        <v>1797</v>
      </c>
      <c r="D4052">
        <v>7</v>
      </c>
      <c r="F4052" s="56"/>
    </row>
    <row r="4053" spans="1:6" ht="15">
      <c r="A4053" s="51">
        <v>3112846</v>
      </c>
      <c r="B4053" t="s">
        <v>2936</v>
      </c>
      <c r="C4053" s="39" t="s">
        <v>331</v>
      </c>
      <c r="D4053" t="s">
        <v>4244</v>
      </c>
      <c r="F4053" s="56"/>
    </row>
    <row r="4054" spans="1:6" ht="15">
      <c r="A4054" s="51">
        <v>3112847</v>
      </c>
      <c r="B4054" t="s">
        <v>2937</v>
      </c>
      <c r="C4054" s="39" t="s">
        <v>331</v>
      </c>
      <c r="D4054" t="s">
        <v>4244</v>
      </c>
      <c r="F4054" s="56"/>
    </row>
    <row r="4055" spans="1:6" ht="15">
      <c r="A4055" s="51">
        <v>3112848</v>
      </c>
      <c r="B4055" t="s">
        <v>915</v>
      </c>
      <c r="C4055" s="39" t="s">
        <v>999</v>
      </c>
      <c r="D4055" t="s">
        <v>468</v>
      </c>
      <c r="F4055" s="56"/>
    </row>
    <row r="4056" spans="1:6" ht="15">
      <c r="A4056" s="51">
        <v>3112849</v>
      </c>
      <c r="B4056" t="s">
        <v>916</v>
      </c>
      <c r="C4056" s="39" t="s">
        <v>999</v>
      </c>
      <c r="D4056" t="s">
        <v>469</v>
      </c>
      <c r="F4056" s="56"/>
    </row>
    <row r="4057" spans="1:6" ht="15">
      <c r="A4057" s="51">
        <v>3112850</v>
      </c>
      <c r="B4057" t="s">
        <v>2589</v>
      </c>
      <c r="C4057" s="39" t="s">
        <v>999</v>
      </c>
      <c r="D4057">
        <v>7</v>
      </c>
      <c r="F4057" s="56"/>
    </row>
    <row r="4058" spans="1:6" ht="15">
      <c r="A4058" s="51">
        <v>3112851</v>
      </c>
      <c r="B4058" t="s">
        <v>2938</v>
      </c>
      <c r="C4058" s="39" t="s">
        <v>914</v>
      </c>
      <c r="D4058" t="s">
        <v>4244</v>
      </c>
      <c r="F4058" s="56"/>
    </row>
    <row r="4059" spans="1:6" ht="15">
      <c r="A4059" s="51">
        <v>3112852</v>
      </c>
      <c r="B4059" t="s">
        <v>917</v>
      </c>
      <c r="C4059" s="39" t="s">
        <v>914</v>
      </c>
      <c r="D4059" t="s">
        <v>4244</v>
      </c>
      <c r="F4059" s="56"/>
    </row>
    <row r="4060" spans="1:6" ht="15">
      <c r="A4060" s="51">
        <v>3105692</v>
      </c>
      <c r="B4060" t="s">
        <v>918</v>
      </c>
      <c r="C4060" s="39" t="s">
        <v>914</v>
      </c>
      <c r="D4060">
        <v>7</v>
      </c>
      <c r="F4060" s="56"/>
    </row>
    <row r="4061" spans="1:6" ht="15">
      <c r="A4061" s="51">
        <v>3100386</v>
      </c>
      <c r="B4061" t="s">
        <v>590</v>
      </c>
      <c r="C4061" s="39" t="s">
        <v>151</v>
      </c>
      <c r="D4061" t="s">
        <v>469</v>
      </c>
      <c r="F4061" s="56"/>
    </row>
    <row r="4062" spans="1:6" ht="15">
      <c r="A4062" s="51">
        <v>3105688</v>
      </c>
      <c r="B4062" t="s">
        <v>2939</v>
      </c>
      <c r="C4062" s="39" t="s">
        <v>177</v>
      </c>
      <c r="D4062" t="s">
        <v>1595</v>
      </c>
      <c r="F4062" s="56"/>
    </row>
    <row r="4063" spans="1:6" ht="15">
      <c r="A4063" s="51">
        <v>3105689</v>
      </c>
      <c r="B4063" t="s">
        <v>593</v>
      </c>
      <c r="C4063" s="39" t="s">
        <v>177</v>
      </c>
      <c r="D4063" t="s">
        <v>468</v>
      </c>
      <c r="F4063" s="56"/>
    </row>
    <row r="4064" spans="1:6" ht="15">
      <c r="A4064" s="51">
        <v>3100394</v>
      </c>
      <c r="B4064" t="s">
        <v>597</v>
      </c>
      <c r="C4064" s="39" t="s">
        <v>1046</v>
      </c>
      <c r="D4064" t="s">
        <v>469</v>
      </c>
      <c r="F4064" s="56"/>
    </row>
    <row r="4065" spans="1:6" ht="15">
      <c r="A4065" s="51">
        <v>3105690</v>
      </c>
      <c r="B4065" t="s">
        <v>2940</v>
      </c>
      <c r="C4065" s="39" t="s">
        <v>1352</v>
      </c>
      <c r="D4065" t="s">
        <v>469</v>
      </c>
      <c r="F4065" s="56"/>
    </row>
    <row r="4066" spans="1:6" ht="15">
      <c r="A4066" s="51">
        <v>3105691</v>
      </c>
      <c r="B4066" t="s">
        <v>602</v>
      </c>
      <c r="C4066" s="39" t="s">
        <v>1352</v>
      </c>
      <c r="D4066" t="s">
        <v>469</v>
      </c>
      <c r="F4066" s="56"/>
    </row>
    <row r="4067" spans="1:6" ht="15">
      <c r="A4067" s="51">
        <v>3105693</v>
      </c>
      <c r="B4067" t="s">
        <v>608</v>
      </c>
      <c r="C4067" s="39" t="s">
        <v>192</v>
      </c>
      <c r="D4067" t="s">
        <v>4247</v>
      </c>
      <c r="F4067" s="56"/>
    </row>
    <row r="4068" spans="1:6" ht="15">
      <c r="A4068" s="51">
        <v>3100300</v>
      </c>
      <c r="B4068" t="s">
        <v>609</v>
      </c>
      <c r="C4068" s="39" t="s">
        <v>192</v>
      </c>
      <c r="D4068">
        <v>7</v>
      </c>
      <c r="F4068" s="56"/>
    </row>
    <row r="4069" spans="1:6" ht="15">
      <c r="A4069" s="51">
        <v>3112854</v>
      </c>
      <c r="B4069" t="s">
        <v>610</v>
      </c>
      <c r="C4069" s="39" t="s">
        <v>192</v>
      </c>
      <c r="D4069">
        <v>7</v>
      </c>
      <c r="F4069" s="56"/>
    </row>
    <row r="4070" spans="1:6" ht="15">
      <c r="A4070" s="51">
        <v>3100258</v>
      </c>
      <c r="B4070" t="s">
        <v>2941</v>
      </c>
      <c r="C4070" s="39" t="s">
        <v>2942</v>
      </c>
      <c r="D4070">
        <v>8</v>
      </c>
      <c r="F4070" s="56"/>
    </row>
    <row r="4071" spans="1:6" ht="15">
      <c r="A4071" s="51">
        <v>3112855</v>
      </c>
      <c r="B4071" t="s">
        <v>923</v>
      </c>
      <c r="C4071" s="39" t="s">
        <v>924</v>
      </c>
      <c r="D4071" t="s">
        <v>4246</v>
      </c>
      <c r="F4071" s="56"/>
    </row>
    <row r="4072" spans="1:6" ht="15">
      <c r="A4072" s="51">
        <v>3112856</v>
      </c>
      <c r="B4072" t="s">
        <v>925</v>
      </c>
      <c r="C4072" s="39" t="s">
        <v>924</v>
      </c>
      <c r="D4072" t="s">
        <v>4243</v>
      </c>
      <c r="F4072" s="56"/>
    </row>
    <row r="4073" spans="1:6" ht="15">
      <c r="A4073" s="51">
        <v>3112857</v>
      </c>
      <c r="B4073" t="s">
        <v>926</v>
      </c>
      <c r="C4073" s="39" t="s">
        <v>924</v>
      </c>
      <c r="D4073">
        <v>7</v>
      </c>
      <c r="F4073" s="56"/>
    </row>
    <row r="4074" spans="1:6" ht="15">
      <c r="A4074" s="51">
        <v>3112858</v>
      </c>
      <c r="B4074" t="s">
        <v>2943</v>
      </c>
      <c r="C4074" s="39" t="s">
        <v>166</v>
      </c>
      <c r="D4074" t="s">
        <v>4245</v>
      </c>
      <c r="F4074" s="56"/>
    </row>
    <row r="4075" spans="1:6" ht="15">
      <c r="A4075" s="51">
        <v>3100402</v>
      </c>
      <c r="B4075" t="s">
        <v>612</v>
      </c>
      <c r="C4075" s="39" t="s">
        <v>166</v>
      </c>
      <c r="D4075" t="s">
        <v>4244</v>
      </c>
      <c r="F4075" s="56"/>
    </row>
    <row r="4076" spans="1:6" ht="15">
      <c r="A4076" s="51">
        <v>3100401</v>
      </c>
      <c r="B4076" t="s">
        <v>613</v>
      </c>
      <c r="C4076" s="39" t="s">
        <v>166</v>
      </c>
      <c r="D4076" t="s">
        <v>4243</v>
      </c>
      <c r="F4076" s="56"/>
    </row>
    <row r="4077" spans="1:6" ht="15">
      <c r="A4077" s="51">
        <v>3112860</v>
      </c>
      <c r="B4077" t="s">
        <v>2944</v>
      </c>
      <c r="C4077" s="39" t="s">
        <v>166</v>
      </c>
      <c r="D4077">
        <v>9</v>
      </c>
      <c r="F4077" s="56"/>
    </row>
    <row r="4078" spans="1:6" ht="15">
      <c r="A4078" s="51">
        <v>3112859</v>
      </c>
      <c r="B4078" t="s">
        <v>2945</v>
      </c>
      <c r="C4078" s="39" t="s">
        <v>120</v>
      </c>
      <c r="D4078" t="s">
        <v>4245</v>
      </c>
      <c r="F4078" s="56"/>
    </row>
    <row r="4079" spans="1:6" ht="15">
      <c r="A4079" s="51">
        <v>3100400</v>
      </c>
      <c r="B4079" t="s">
        <v>2946</v>
      </c>
      <c r="C4079" s="39" t="s">
        <v>120</v>
      </c>
      <c r="D4079" t="s">
        <v>4246</v>
      </c>
      <c r="F4079" s="56"/>
    </row>
    <row r="4080" spans="1:6" ht="15">
      <c r="A4080" s="51">
        <v>3100331</v>
      </c>
      <c r="B4080" t="s">
        <v>2947</v>
      </c>
      <c r="C4080" s="39" t="s">
        <v>120</v>
      </c>
      <c r="D4080" t="s">
        <v>4244</v>
      </c>
      <c r="F4080" s="56"/>
    </row>
    <row r="4081" spans="1:6" ht="15">
      <c r="A4081" s="51">
        <v>3100407</v>
      </c>
      <c r="B4081" t="s">
        <v>2948</v>
      </c>
      <c r="C4081" s="39" t="s">
        <v>183</v>
      </c>
      <c r="D4081">
        <v>7</v>
      </c>
      <c r="F4081" s="56"/>
    </row>
    <row r="4082" spans="1:6" ht="15">
      <c r="A4082" s="51">
        <v>3105694</v>
      </c>
      <c r="B4082" t="s">
        <v>617</v>
      </c>
      <c r="C4082" s="39" t="s">
        <v>1035</v>
      </c>
      <c r="D4082" t="s">
        <v>1595</v>
      </c>
      <c r="F4082" s="56"/>
    </row>
    <row r="4083" spans="1:6" ht="15">
      <c r="A4083" s="51">
        <v>3105695</v>
      </c>
      <c r="B4083" t="s">
        <v>619</v>
      </c>
      <c r="C4083" s="39" t="s">
        <v>1035</v>
      </c>
      <c r="D4083" t="s">
        <v>1595</v>
      </c>
      <c r="F4083" s="56"/>
    </row>
    <row r="4084" spans="1:6" ht="15">
      <c r="A4084" s="51">
        <v>3105696</v>
      </c>
      <c r="B4084" t="s">
        <v>620</v>
      </c>
      <c r="C4084" s="39" t="s">
        <v>1035</v>
      </c>
      <c r="D4084" t="s">
        <v>469</v>
      </c>
      <c r="F4084" s="56"/>
    </row>
    <row r="4085" spans="1:6" ht="15">
      <c r="A4085" s="51">
        <v>3100271</v>
      </c>
      <c r="B4085" t="s">
        <v>621</v>
      </c>
      <c r="C4085" s="39" t="s">
        <v>274</v>
      </c>
      <c r="D4085" t="s">
        <v>4243</v>
      </c>
      <c r="F4085" s="56"/>
    </row>
    <row r="4086" spans="1:6" ht="15">
      <c r="A4086" s="51">
        <v>3100269</v>
      </c>
      <c r="B4086" t="s">
        <v>622</v>
      </c>
      <c r="C4086" s="39" t="s">
        <v>274</v>
      </c>
      <c r="D4086" t="s">
        <v>4243</v>
      </c>
      <c r="F4086" s="56"/>
    </row>
    <row r="4087" spans="1:6" ht="15">
      <c r="A4087" s="51">
        <v>3100272</v>
      </c>
      <c r="B4087" t="s">
        <v>623</v>
      </c>
      <c r="C4087" s="39" t="s">
        <v>274</v>
      </c>
      <c r="D4087">
        <v>7</v>
      </c>
      <c r="F4087" s="56"/>
    </row>
    <row r="4088" spans="1:6" ht="15">
      <c r="A4088" s="51">
        <v>3105698</v>
      </c>
      <c r="B4088" t="s">
        <v>624</v>
      </c>
      <c r="C4088" s="39" t="s">
        <v>274</v>
      </c>
      <c r="D4088">
        <v>8</v>
      </c>
      <c r="F4088" s="56"/>
    </row>
    <row r="4089" spans="1:6" ht="15">
      <c r="A4089" s="51">
        <v>3100373</v>
      </c>
      <c r="B4089" t="s">
        <v>625</v>
      </c>
      <c r="C4089" s="39" t="s">
        <v>626</v>
      </c>
      <c r="D4089" t="s">
        <v>4243</v>
      </c>
      <c r="F4089" s="56"/>
    </row>
    <row r="4090" spans="1:6" ht="15">
      <c r="A4090" s="51">
        <v>3100371</v>
      </c>
      <c r="B4090" t="s">
        <v>627</v>
      </c>
      <c r="C4090" s="39" t="s">
        <v>626</v>
      </c>
      <c r="D4090" t="s">
        <v>4243</v>
      </c>
      <c r="F4090" s="56"/>
    </row>
    <row r="4091" spans="1:6" ht="15">
      <c r="A4091" s="51">
        <v>3100374</v>
      </c>
      <c r="B4091" t="s">
        <v>628</v>
      </c>
      <c r="C4091" s="39" t="s">
        <v>626</v>
      </c>
      <c r="D4091">
        <v>7</v>
      </c>
      <c r="F4091" s="56"/>
    </row>
    <row r="4092" spans="1:6" ht="15">
      <c r="A4092" s="51">
        <v>3112861</v>
      </c>
      <c r="B4092" t="s">
        <v>2949</v>
      </c>
      <c r="C4092" s="39" t="s">
        <v>1803</v>
      </c>
      <c r="D4092" t="s">
        <v>4244</v>
      </c>
      <c r="F4092" s="56"/>
    </row>
    <row r="4093" spans="1:6" ht="15">
      <c r="A4093" s="51">
        <v>3112862</v>
      </c>
      <c r="B4093" t="s">
        <v>2950</v>
      </c>
      <c r="C4093" s="39" t="s">
        <v>1803</v>
      </c>
      <c r="D4093" t="s">
        <v>4243</v>
      </c>
      <c r="F4093" s="56"/>
    </row>
    <row r="4094" spans="1:6" ht="15">
      <c r="A4094" s="51">
        <v>3100337</v>
      </c>
      <c r="B4094" t="s">
        <v>641</v>
      </c>
      <c r="C4094" s="39" t="s">
        <v>651</v>
      </c>
      <c r="D4094">
        <v>7</v>
      </c>
      <c r="F4094" s="56"/>
    </row>
    <row r="4095" spans="1:6" ht="15">
      <c r="A4095" s="51">
        <v>3100336</v>
      </c>
      <c r="B4095" t="s">
        <v>643</v>
      </c>
      <c r="C4095" s="39" t="s">
        <v>651</v>
      </c>
      <c r="D4095">
        <v>7</v>
      </c>
      <c r="F4095" s="56"/>
    </row>
    <row r="4096" spans="1:6" ht="15">
      <c r="A4096" s="51">
        <v>3112863</v>
      </c>
      <c r="B4096" t="s">
        <v>648</v>
      </c>
      <c r="C4096" s="39" t="s">
        <v>1363</v>
      </c>
      <c r="D4096" t="s">
        <v>4245</v>
      </c>
      <c r="F4096" s="56"/>
    </row>
    <row r="4097" spans="1:6" ht="15">
      <c r="A4097" s="51">
        <v>3112864</v>
      </c>
      <c r="B4097" t="s">
        <v>649</v>
      </c>
      <c r="C4097" s="39" t="s">
        <v>1363</v>
      </c>
      <c r="D4097" t="s">
        <v>4245</v>
      </c>
      <c r="F4097" s="56"/>
    </row>
    <row r="4098" spans="1:6" ht="15">
      <c r="A4098" s="51">
        <v>3112865</v>
      </c>
      <c r="B4098" t="s">
        <v>652</v>
      </c>
      <c r="C4098" s="39" t="s">
        <v>1437</v>
      </c>
      <c r="D4098" t="s">
        <v>4245</v>
      </c>
      <c r="F4098" s="56"/>
    </row>
    <row r="4099" spans="1:6" ht="15">
      <c r="A4099" s="51">
        <v>3112866</v>
      </c>
      <c r="B4099" t="s">
        <v>2951</v>
      </c>
      <c r="C4099" s="39" t="s">
        <v>1437</v>
      </c>
      <c r="D4099" t="s">
        <v>4244</v>
      </c>
      <c r="F4099" s="56"/>
    </row>
    <row r="4100" spans="1:6" ht="15">
      <c r="A4100" s="51">
        <v>3112867</v>
      </c>
      <c r="B4100" t="s">
        <v>2952</v>
      </c>
      <c r="C4100" s="39" t="s">
        <v>1437</v>
      </c>
      <c r="D4100" t="s">
        <v>4243</v>
      </c>
      <c r="F4100" s="56"/>
    </row>
    <row r="4101" spans="1:6" ht="15">
      <c r="A4101" s="51">
        <v>3112868</v>
      </c>
      <c r="B4101" t="s">
        <v>2953</v>
      </c>
      <c r="C4101" s="39" t="s">
        <v>1437</v>
      </c>
      <c r="D4101">
        <v>9</v>
      </c>
      <c r="F4101" s="56"/>
    </row>
    <row r="4102" spans="1:6" ht="15">
      <c r="A4102" s="51">
        <v>3112869</v>
      </c>
      <c r="B4102" t="s">
        <v>654</v>
      </c>
      <c r="C4102" s="39" t="s">
        <v>375</v>
      </c>
      <c r="D4102" t="s">
        <v>4243</v>
      </c>
      <c r="F4102" s="56"/>
    </row>
    <row r="4103" spans="1:6" ht="15">
      <c r="A4103" s="51">
        <v>3112870</v>
      </c>
      <c r="B4103" t="s">
        <v>655</v>
      </c>
      <c r="C4103" s="39" t="s">
        <v>375</v>
      </c>
      <c r="D4103">
        <v>7</v>
      </c>
      <c r="F4103" s="56"/>
    </row>
    <row r="4104" spans="1:6" ht="15">
      <c r="A4104" s="51">
        <v>3112871</v>
      </c>
      <c r="B4104" t="s">
        <v>656</v>
      </c>
      <c r="C4104" s="39" t="s">
        <v>375</v>
      </c>
      <c r="D4104">
        <v>8</v>
      </c>
      <c r="F4104" s="56"/>
    </row>
    <row r="4105" spans="1:6" ht="15">
      <c r="A4105" s="51">
        <v>3105699</v>
      </c>
      <c r="B4105" t="s">
        <v>2954</v>
      </c>
      <c r="C4105" s="39" t="s">
        <v>320</v>
      </c>
      <c r="D4105" t="s">
        <v>4243</v>
      </c>
      <c r="F4105" s="56"/>
    </row>
    <row r="4106" spans="1:6" ht="15">
      <c r="A4106" s="51">
        <v>3105700</v>
      </c>
      <c r="B4106" t="s">
        <v>658</v>
      </c>
      <c r="C4106" s="39" t="s">
        <v>320</v>
      </c>
      <c r="D4106" t="s">
        <v>4243</v>
      </c>
      <c r="F4106" s="56"/>
    </row>
    <row r="4107" spans="1:6" ht="15">
      <c r="A4107" s="51">
        <v>3105701</v>
      </c>
      <c r="B4107" t="s">
        <v>665</v>
      </c>
      <c r="C4107" s="39" t="s">
        <v>320</v>
      </c>
      <c r="D4107" t="s">
        <v>4243</v>
      </c>
      <c r="F4107" s="56"/>
    </row>
    <row r="4108" spans="1:6" ht="15">
      <c r="A4108" s="51">
        <v>3105702</v>
      </c>
      <c r="B4108" t="s">
        <v>666</v>
      </c>
      <c r="C4108" s="39" t="s">
        <v>983</v>
      </c>
      <c r="D4108" t="s">
        <v>471</v>
      </c>
      <c r="F4108" s="56"/>
    </row>
    <row r="4109" spans="1:6" ht="15">
      <c r="A4109" s="51">
        <v>3105703</v>
      </c>
      <c r="B4109" t="s">
        <v>667</v>
      </c>
      <c r="C4109" s="39" t="s">
        <v>983</v>
      </c>
      <c r="D4109">
        <v>8</v>
      </c>
      <c r="F4109" s="56"/>
    </row>
    <row r="4110" spans="1:6" ht="15">
      <c r="A4110" s="51">
        <v>3105704</v>
      </c>
      <c r="B4110" t="s">
        <v>2955</v>
      </c>
      <c r="C4110" s="39" t="s">
        <v>983</v>
      </c>
      <c r="D4110">
        <v>8</v>
      </c>
      <c r="F4110" s="56"/>
    </row>
    <row r="4111" spans="1:6" ht="15">
      <c r="A4111" s="51">
        <v>3105705</v>
      </c>
      <c r="B4111" t="s">
        <v>670</v>
      </c>
      <c r="C4111" s="39" t="s">
        <v>390</v>
      </c>
      <c r="D4111" t="s">
        <v>4247</v>
      </c>
      <c r="F4111" s="56"/>
    </row>
    <row r="4112" spans="1:6" ht="15">
      <c r="A4112" s="51">
        <v>3105706</v>
      </c>
      <c r="B4112" t="s">
        <v>671</v>
      </c>
      <c r="C4112" s="39" t="s">
        <v>390</v>
      </c>
      <c r="D4112" t="s">
        <v>4243</v>
      </c>
      <c r="F4112" s="56"/>
    </row>
    <row r="4113" spans="1:6" ht="15">
      <c r="A4113" s="51">
        <v>3100404</v>
      </c>
      <c r="B4113" t="s">
        <v>672</v>
      </c>
      <c r="C4113" s="39" t="s">
        <v>390</v>
      </c>
      <c r="D4113">
        <v>8</v>
      </c>
      <c r="F4113" s="56"/>
    </row>
    <row r="4114" spans="1:6" ht="15">
      <c r="A4114" s="51">
        <v>3105707</v>
      </c>
      <c r="B4114" t="s">
        <v>673</v>
      </c>
      <c r="C4114" s="39" t="s">
        <v>2956</v>
      </c>
      <c r="D4114">
        <v>8</v>
      </c>
      <c r="F4114" s="56"/>
    </row>
    <row r="4115" spans="1:6" ht="15">
      <c r="A4115" s="51">
        <v>3105708</v>
      </c>
      <c r="B4115" t="s">
        <v>674</v>
      </c>
      <c r="C4115" s="39" t="s">
        <v>2956</v>
      </c>
      <c r="D4115">
        <v>8</v>
      </c>
      <c r="F4115" s="56"/>
    </row>
    <row r="4116" spans="1:6" ht="15">
      <c r="A4116" s="51">
        <v>3105709</v>
      </c>
      <c r="B4116" t="s">
        <v>2957</v>
      </c>
      <c r="C4116" s="39" t="s">
        <v>189</v>
      </c>
      <c r="D4116" t="s">
        <v>4247</v>
      </c>
      <c r="F4116" s="56"/>
    </row>
    <row r="4117" spans="1:6" ht="15">
      <c r="A4117" s="51">
        <v>3105710</v>
      </c>
      <c r="B4117" t="s">
        <v>2958</v>
      </c>
      <c r="C4117" s="39" t="s">
        <v>189</v>
      </c>
      <c r="D4117" t="s">
        <v>4243</v>
      </c>
      <c r="F4117" s="56"/>
    </row>
    <row r="4118" spans="1:6" ht="15">
      <c r="A4118" s="51">
        <v>3105711</v>
      </c>
      <c r="B4118" t="s">
        <v>2959</v>
      </c>
      <c r="C4118" s="39" t="s">
        <v>189</v>
      </c>
      <c r="D4118">
        <v>7</v>
      </c>
      <c r="F4118" s="56"/>
    </row>
    <row r="4119" spans="1:6" ht="15">
      <c r="A4119" s="51">
        <v>3100260</v>
      </c>
      <c r="B4119" t="s">
        <v>2960</v>
      </c>
      <c r="C4119" s="39" t="s">
        <v>326</v>
      </c>
      <c r="D4119">
        <v>9</v>
      </c>
      <c r="F4119" s="56"/>
    </row>
    <row r="4120" spans="1:6" ht="15">
      <c r="A4120" s="51">
        <v>3105712</v>
      </c>
      <c r="B4120" t="s">
        <v>679</v>
      </c>
      <c r="C4120" s="39" t="s">
        <v>603</v>
      </c>
      <c r="D4120" t="s">
        <v>4243</v>
      </c>
      <c r="F4120" s="56"/>
    </row>
    <row r="4121" spans="1:6" ht="15">
      <c r="A4121" s="51">
        <v>3105713</v>
      </c>
      <c r="B4121" t="s">
        <v>680</v>
      </c>
      <c r="C4121" s="39" t="s">
        <v>603</v>
      </c>
      <c r="D4121">
        <v>7</v>
      </c>
      <c r="F4121" s="56"/>
    </row>
    <row r="4122" spans="1:6" ht="15">
      <c r="A4122" s="51">
        <v>3105714</v>
      </c>
      <c r="B4122" t="s">
        <v>933</v>
      </c>
      <c r="C4122" s="39" t="s">
        <v>664</v>
      </c>
      <c r="D4122" t="s">
        <v>4243</v>
      </c>
      <c r="F4122" s="56"/>
    </row>
    <row r="4123" spans="1:6" ht="15">
      <c r="A4123" s="51">
        <v>3105715</v>
      </c>
      <c r="B4123" t="s">
        <v>681</v>
      </c>
      <c r="C4123" s="39" t="s">
        <v>664</v>
      </c>
      <c r="D4123" t="s">
        <v>4243</v>
      </c>
      <c r="F4123" s="56"/>
    </row>
    <row r="4124" spans="1:6" ht="15">
      <c r="A4124" s="51">
        <v>3105716</v>
      </c>
      <c r="B4124" t="s">
        <v>687</v>
      </c>
      <c r="C4124" s="39" t="s">
        <v>249</v>
      </c>
      <c r="D4124" t="s">
        <v>4243</v>
      </c>
      <c r="F4124" s="56"/>
    </row>
    <row r="4125" spans="1:6" ht="15">
      <c r="A4125" s="51">
        <v>3105717</v>
      </c>
      <c r="B4125" t="s">
        <v>2961</v>
      </c>
      <c r="C4125" s="39" t="s">
        <v>249</v>
      </c>
      <c r="D4125">
        <v>7</v>
      </c>
      <c r="F4125" s="56"/>
    </row>
    <row r="4126" spans="1:6" ht="15">
      <c r="A4126" s="51">
        <v>3105718</v>
      </c>
      <c r="B4126" t="s">
        <v>2962</v>
      </c>
      <c r="C4126" s="39" t="s">
        <v>249</v>
      </c>
      <c r="D4126">
        <v>8</v>
      </c>
      <c r="F4126" s="56"/>
    </row>
    <row r="4127" spans="1:6" ht="15">
      <c r="A4127" s="51">
        <v>3105721</v>
      </c>
      <c r="B4127" t="s">
        <v>935</v>
      </c>
      <c r="C4127" s="39" t="s">
        <v>2963</v>
      </c>
      <c r="D4127" t="s">
        <v>4243</v>
      </c>
      <c r="F4127" s="56"/>
    </row>
    <row r="4128" spans="1:6" ht="15">
      <c r="A4128" s="51">
        <v>3105719</v>
      </c>
      <c r="B4128" t="s">
        <v>697</v>
      </c>
      <c r="C4128" s="39" t="s">
        <v>2964</v>
      </c>
      <c r="D4128" t="s">
        <v>4243</v>
      </c>
      <c r="F4128" s="56"/>
    </row>
    <row r="4129" spans="1:6" ht="15">
      <c r="A4129" s="51">
        <v>3105722</v>
      </c>
      <c r="B4129" t="s">
        <v>2965</v>
      </c>
      <c r="C4129" s="39" t="s">
        <v>2966</v>
      </c>
      <c r="D4129" t="s">
        <v>4249</v>
      </c>
      <c r="F4129" s="56"/>
    </row>
    <row r="4130" spans="1:6" ht="15">
      <c r="A4130" s="51">
        <v>3105723</v>
      </c>
      <c r="B4130" t="s">
        <v>707</v>
      </c>
      <c r="C4130" s="39" t="s">
        <v>647</v>
      </c>
      <c r="D4130" t="s">
        <v>4243</v>
      </c>
      <c r="F4130" s="56"/>
    </row>
    <row r="4131" spans="1:6" ht="15">
      <c r="A4131" s="51">
        <v>3105724</v>
      </c>
      <c r="B4131" t="s">
        <v>709</v>
      </c>
      <c r="C4131" s="39" t="s">
        <v>647</v>
      </c>
      <c r="D4131">
        <v>7</v>
      </c>
      <c r="F4131" s="56"/>
    </row>
    <row r="4132" spans="1:6" ht="15">
      <c r="A4132" s="51">
        <v>3105725</v>
      </c>
      <c r="B4132" t="s">
        <v>724</v>
      </c>
      <c r="C4132" s="39" t="s">
        <v>258</v>
      </c>
      <c r="D4132">
        <v>9</v>
      </c>
      <c r="F4132" s="56"/>
    </row>
    <row r="4133" spans="1:6" ht="15">
      <c r="A4133" s="51">
        <v>3105726</v>
      </c>
      <c r="B4133" t="s">
        <v>725</v>
      </c>
      <c r="C4133" s="39" t="s">
        <v>258</v>
      </c>
      <c r="D4133">
        <v>9</v>
      </c>
      <c r="F4133" s="56"/>
    </row>
    <row r="4134" spans="1:6" ht="15">
      <c r="A4134" s="51">
        <v>3105727</v>
      </c>
      <c r="B4134" t="s">
        <v>1611</v>
      </c>
      <c r="C4134" s="39" t="s">
        <v>521</v>
      </c>
      <c r="D4134" t="s">
        <v>4248</v>
      </c>
      <c r="F4134" s="56"/>
    </row>
    <row r="4135" spans="1:6" ht="15">
      <c r="A4135" s="51">
        <v>3105785</v>
      </c>
      <c r="B4135" t="s">
        <v>749</v>
      </c>
      <c r="C4135" s="39" t="s">
        <v>521</v>
      </c>
      <c r="D4135" t="s">
        <v>4245</v>
      </c>
      <c r="F4135" s="56"/>
    </row>
    <row r="4136" spans="1:6" ht="15">
      <c r="A4136" s="51">
        <v>3105728</v>
      </c>
      <c r="B4136" t="s">
        <v>768</v>
      </c>
      <c r="C4136" s="39" t="s">
        <v>2967</v>
      </c>
      <c r="D4136" t="s">
        <v>4247</v>
      </c>
      <c r="F4136" s="56"/>
    </row>
    <row r="4137" spans="1:6" ht="15">
      <c r="A4137" s="51">
        <v>3105729</v>
      </c>
      <c r="B4137" t="s">
        <v>770</v>
      </c>
      <c r="C4137" s="39" t="s">
        <v>2967</v>
      </c>
      <c r="D4137" t="s">
        <v>4243</v>
      </c>
      <c r="F4137" s="56"/>
    </row>
    <row r="4138" spans="1:6" ht="15">
      <c r="A4138" s="51">
        <v>3105730</v>
      </c>
      <c r="B4138" t="s">
        <v>771</v>
      </c>
      <c r="C4138" s="39" t="s">
        <v>2967</v>
      </c>
      <c r="D4138">
        <v>7</v>
      </c>
      <c r="F4138" s="56"/>
    </row>
    <row r="4139" spans="1:6" ht="15">
      <c r="A4139" s="51">
        <v>3105731</v>
      </c>
      <c r="B4139" t="s">
        <v>2968</v>
      </c>
      <c r="C4139" s="39" t="s">
        <v>2967</v>
      </c>
      <c r="D4139">
        <v>8</v>
      </c>
      <c r="F4139" s="56"/>
    </row>
    <row r="4140" spans="1:6" ht="15">
      <c r="A4140" s="51">
        <v>3105732</v>
      </c>
      <c r="B4140" t="s">
        <v>2969</v>
      </c>
      <c r="C4140" s="39" t="s">
        <v>2967</v>
      </c>
      <c r="D4140">
        <v>8</v>
      </c>
      <c r="F4140" s="56"/>
    </row>
    <row r="4141" spans="1:6" ht="15">
      <c r="A4141" s="51">
        <v>3105733</v>
      </c>
      <c r="B4141" t="s">
        <v>2970</v>
      </c>
      <c r="C4141" s="39" t="s">
        <v>2971</v>
      </c>
      <c r="D4141">
        <v>9</v>
      </c>
      <c r="F4141" s="56"/>
    </row>
    <row r="4142" spans="1:6" ht="15">
      <c r="A4142" s="51">
        <v>3100296</v>
      </c>
      <c r="B4142" t="s">
        <v>2329</v>
      </c>
      <c r="C4142" s="39" t="s">
        <v>2972</v>
      </c>
      <c r="D4142" t="s">
        <v>4244</v>
      </c>
      <c r="F4142" s="56"/>
    </row>
    <row r="4143" spans="1:6" ht="15">
      <c r="A4143" s="51">
        <v>3100292</v>
      </c>
      <c r="B4143" t="s">
        <v>2330</v>
      </c>
      <c r="C4143" s="39" t="s">
        <v>2973</v>
      </c>
      <c r="D4143" t="s">
        <v>4244</v>
      </c>
      <c r="F4143" s="56"/>
    </row>
    <row r="4144" spans="1:6" ht="15">
      <c r="A4144" s="51">
        <v>3100295</v>
      </c>
      <c r="B4144" t="s">
        <v>2974</v>
      </c>
      <c r="C4144" s="39" t="s">
        <v>2975</v>
      </c>
      <c r="D4144" t="s">
        <v>4247</v>
      </c>
      <c r="F4144" s="56"/>
    </row>
    <row r="4145" spans="1:6" ht="15">
      <c r="A4145" s="51">
        <v>3100378</v>
      </c>
      <c r="B4145" t="s">
        <v>2331</v>
      </c>
      <c r="C4145" s="39" t="s">
        <v>2976</v>
      </c>
      <c r="D4145" t="s">
        <v>4243</v>
      </c>
      <c r="F4145" s="56"/>
    </row>
    <row r="4146" spans="1:6" ht="15">
      <c r="A4146" s="51">
        <v>3105734</v>
      </c>
      <c r="B4146" t="s">
        <v>2977</v>
      </c>
      <c r="C4146" s="39" t="s">
        <v>2978</v>
      </c>
      <c r="D4146" t="s">
        <v>4246</v>
      </c>
      <c r="F4146" s="56"/>
    </row>
    <row r="4147" spans="1:6" ht="15">
      <c r="A4147" s="51">
        <v>3105739</v>
      </c>
      <c r="B4147" t="s">
        <v>782</v>
      </c>
      <c r="C4147" s="39" t="s">
        <v>264</v>
      </c>
      <c r="D4147" t="s">
        <v>4244</v>
      </c>
      <c r="F4147" s="56"/>
    </row>
    <row r="4148" spans="1:6" ht="15">
      <c r="A4148" s="51">
        <v>3105740</v>
      </c>
      <c r="B4148" t="s">
        <v>2979</v>
      </c>
      <c r="C4148" s="39" t="s">
        <v>264</v>
      </c>
      <c r="D4148" t="s">
        <v>4245</v>
      </c>
      <c r="F4148" s="56"/>
    </row>
    <row r="4149" spans="1:6" ht="15">
      <c r="A4149" s="51">
        <v>3105741</v>
      </c>
      <c r="B4149" t="s">
        <v>2980</v>
      </c>
      <c r="C4149" s="39" t="s">
        <v>264</v>
      </c>
      <c r="D4149" t="s">
        <v>4243</v>
      </c>
      <c r="F4149" s="56"/>
    </row>
    <row r="4150" spans="1:6" ht="15">
      <c r="A4150" s="51">
        <v>3105742</v>
      </c>
      <c r="B4150" t="s">
        <v>2981</v>
      </c>
      <c r="C4150" s="39" t="s">
        <v>264</v>
      </c>
      <c r="D4150" t="s">
        <v>4243</v>
      </c>
      <c r="F4150" s="56"/>
    </row>
    <row r="4151" spans="1:6" ht="15">
      <c r="A4151" s="51">
        <v>3105743</v>
      </c>
      <c r="B4151" t="s">
        <v>2982</v>
      </c>
      <c r="C4151" s="39" t="s">
        <v>2983</v>
      </c>
      <c r="D4151" t="s">
        <v>4243</v>
      </c>
      <c r="F4151" s="56"/>
    </row>
    <row r="4152" spans="1:6" ht="15">
      <c r="A4152" s="51">
        <v>3105744</v>
      </c>
      <c r="B4152" t="s">
        <v>2334</v>
      </c>
      <c r="C4152" s="39" t="s">
        <v>2984</v>
      </c>
      <c r="D4152" t="s">
        <v>4244</v>
      </c>
      <c r="F4152" s="56"/>
    </row>
    <row r="4153" spans="1:6" ht="15">
      <c r="A4153" s="51">
        <v>3105745</v>
      </c>
      <c r="B4153" t="s">
        <v>2985</v>
      </c>
      <c r="C4153" s="39" t="s">
        <v>2986</v>
      </c>
      <c r="D4153">
        <v>7</v>
      </c>
      <c r="F4153" s="56"/>
    </row>
    <row r="4154" spans="1:6" ht="15">
      <c r="A4154" s="51">
        <v>3105746</v>
      </c>
      <c r="B4154" t="s">
        <v>2987</v>
      </c>
      <c r="C4154" s="39" t="s">
        <v>2988</v>
      </c>
      <c r="D4154" t="s">
        <v>1596</v>
      </c>
      <c r="F4154" s="56"/>
    </row>
    <row r="4155" spans="1:6" ht="15">
      <c r="A4155" s="51">
        <v>3105747</v>
      </c>
      <c r="B4155" t="s">
        <v>2989</v>
      </c>
      <c r="C4155" s="39" t="s">
        <v>2988</v>
      </c>
      <c r="D4155" t="s">
        <v>1596</v>
      </c>
      <c r="F4155" s="56"/>
    </row>
    <row r="4156" spans="1:6" ht="15">
      <c r="A4156" s="51">
        <v>3105748</v>
      </c>
      <c r="B4156" t="s">
        <v>2990</v>
      </c>
      <c r="C4156" s="39" t="s">
        <v>2991</v>
      </c>
      <c r="D4156" t="s">
        <v>469</v>
      </c>
      <c r="F4156" s="56"/>
    </row>
    <row r="4157" spans="1:6" ht="15">
      <c r="A4157" s="51">
        <v>3105749</v>
      </c>
      <c r="B4157" t="s">
        <v>2992</v>
      </c>
      <c r="C4157" s="39" t="s">
        <v>291</v>
      </c>
      <c r="D4157" t="s">
        <v>4244</v>
      </c>
      <c r="F4157" s="56"/>
    </row>
    <row r="4158" spans="1:6" ht="15">
      <c r="A4158" s="51">
        <v>3105750</v>
      </c>
      <c r="B4158" t="s">
        <v>1615</v>
      </c>
      <c r="C4158" s="39" t="s">
        <v>291</v>
      </c>
      <c r="D4158" t="s">
        <v>4244</v>
      </c>
      <c r="F4158" s="56"/>
    </row>
    <row r="4159" spans="1:6" ht="15">
      <c r="A4159" s="51">
        <v>3105751</v>
      </c>
      <c r="B4159" t="s">
        <v>1616</v>
      </c>
      <c r="C4159" s="39" t="s">
        <v>291</v>
      </c>
      <c r="D4159">
        <v>7</v>
      </c>
      <c r="F4159" s="56"/>
    </row>
    <row r="4160" spans="1:6" ht="15">
      <c r="A4160" s="51">
        <v>3105752</v>
      </c>
      <c r="B4160" t="s">
        <v>1617</v>
      </c>
      <c r="C4160" s="39" t="s">
        <v>291</v>
      </c>
      <c r="D4160">
        <v>8</v>
      </c>
      <c r="F4160" s="56"/>
    </row>
    <row r="4161" spans="1:6" ht="15">
      <c r="A4161" s="51">
        <v>3105753</v>
      </c>
      <c r="B4161" t="s">
        <v>2993</v>
      </c>
      <c r="C4161" s="39" t="s">
        <v>2994</v>
      </c>
      <c r="D4161" t="s">
        <v>4247</v>
      </c>
      <c r="F4161" s="56"/>
    </row>
    <row r="4162" spans="1:6" ht="15">
      <c r="A4162" s="51">
        <v>3100352</v>
      </c>
      <c r="B4162" t="s">
        <v>2995</v>
      </c>
      <c r="C4162" s="39" t="s">
        <v>2994</v>
      </c>
      <c r="D4162" t="s">
        <v>4243</v>
      </c>
      <c r="F4162" s="56"/>
    </row>
    <row r="4163" spans="1:6" ht="15">
      <c r="A4163" s="51">
        <v>3105754</v>
      </c>
      <c r="B4163" t="s">
        <v>2996</v>
      </c>
      <c r="C4163" s="39" t="s">
        <v>2994</v>
      </c>
      <c r="D4163">
        <v>7</v>
      </c>
      <c r="F4163" s="56"/>
    </row>
    <row r="4164" spans="1:6" ht="15">
      <c r="A4164" s="51">
        <v>3105786</v>
      </c>
      <c r="B4164" t="s">
        <v>783</v>
      </c>
      <c r="C4164" s="39" t="s">
        <v>2997</v>
      </c>
      <c r="D4164" t="s">
        <v>468</v>
      </c>
      <c r="F4164" s="56"/>
    </row>
    <row r="4165" spans="1:6" ht="15">
      <c r="A4165" s="51">
        <v>3105787</v>
      </c>
      <c r="B4165" t="s">
        <v>784</v>
      </c>
      <c r="C4165" s="39" t="s">
        <v>2997</v>
      </c>
      <c r="D4165" t="s">
        <v>468</v>
      </c>
      <c r="F4165" s="56"/>
    </row>
    <row r="4166" spans="1:6" ht="15">
      <c r="A4166" s="51">
        <v>3105755</v>
      </c>
      <c r="B4166" t="s">
        <v>2998</v>
      </c>
      <c r="C4166" s="39" t="s">
        <v>210</v>
      </c>
      <c r="D4166">
        <v>7</v>
      </c>
      <c r="F4166" s="56"/>
    </row>
    <row r="4167" spans="1:6" ht="15">
      <c r="A4167" s="51">
        <v>3105756</v>
      </c>
      <c r="B4167" t="s">
        <v>2999</v>
      </c>
      <c r="C4167" s="39" t="s">
        <v>210</v>
      </c>
      <c r="D4167">
        <v>7</v>
      </c>
      <c r="F4167" s="56"/>
    </row>
    <row r="4168" spans="1:6" ht="15">
      <c r="A4168" s="51">
        <v>3105757</v>
      </c>
      <c r="B4168" t="s">
        <v>3000</v>
      </c>
      <c r="C4168" s="39" t="s">
        <v>210</v>
      </c>
      <c r="D4168">
        <v>8</v>
      </c>
      <c r="F4168" s="56"/>
    </row>
    <row r="4169" spans="1:6" ht="15">
      <c r="A4169" s="51">
        <v>3105758</v>
      </c>
      <c r="B4169" t="s">
        <v>3001</v>
      </c>
      <c r="C4169" s="39" t="s">
        <v>210</v>
      </c>
      <c r="D4169">
        <v>8</v>
      </c>
      <c r="F4169" s="56"/>
    </row>
    <row r="4170" spans="1:6" ht="15">
      <c r="A4170" s="51">
        <v>3105759</v>
      </c>
      <c r="B4170" t="s">
        <v>3002</v>
      </c>
      <c r="C4170" s="39" t="s">
        <v>205</v>
      </c>
      <c r="D4170">
        <v>7</v>
      </c>
      <c r="F4170" s="56"/>
    </row>
    <row r="4171" spans="1:6" ht="15">
      <c r="A4171" s="51">
        <v>3105760</v>
      </c>
      <c r="B4171" t="s">
        <v>3003</v>
      </c>
      <c r="C4171" s="39" t="s">
        <v>205</v>
      </c>
      <c r="D4171">
        <v>7</v>
      </c>
      <c r="F4171" s="56"/>
    </row>
    <row r="4172" spans="1:6" ht="15">
      <c r="A4172" s="51">
        <v>3105761</v>
      </c>
      <c r="B4172" t="s">
        <v>3004</v>
      </c>
      <c r="C4172" s="39" t="s">
        <v>488</v>
      </c>
      <c r="D4172">
        <v>7</v>
      </c>
      <c r="F4172" s="56"/>
    </row>
    <row r="4173" spans="1:6" ht="15">
      <c r="A4173" s="51">
        <v>3105762</v>
      </c>
      <c r="B4173" t="s">
        <v>3005</v>
      </c>
      <c r="C4173" s="39" t="s">
        <v>488</v>
      </c>
      <c r="D4173">
        <v>8</v>
      </c>
      <c r="F4173" s="56"/>
    </row>
    <row r="4174" spans="1:6" ht="15">
      <c r="A4174" s="51">
        <v>3105763</v>
      </c>
      <c r="B4174" t="s">
        <v>3006</v>
      </c>
      <c r="C4174" s="39" t="s">
        <v>488</v>
      </c>
      <c r="D4174">
        <v>8</v>
      </c>
      <c r="F4174" s="56"/>
    </row>
    <row r="4175" spans="1:6" ht="15">
      <c r="A4175" s="51">
        <v>3105764</v>
      </c>
      <c r="B4175" t="s">
        <v>3007</v>
      </c>
      <c r="C4175" s="39" t="s">
        <v>630</v>
      </c>
      <c r="D4175" t="s">
        <v>4244</v>
      </c>
      <c r="F4175" s="56"/>
    </row>
    <row r="4176" spans="1:6" ht="15">
      <c r="A4176" s="51">
        <v>3105765</v>
      </c>
      <c r="B4176" t="s">
        <v>3008</v>
      </c>
      <c r="C4176" s="39" t="s">
        <v>630</v>
      </c>
      <c r="D4176">
        <v>7</v>
      </c>
      <c r="F4176" s="56"/>
    </row>
    <row r="4177" spans="1:6" ht="15">
      <c r="A4177" s="51">
        <v>3105766</v>
      </c>
      <c r="B4177" t="s">
        <v>3009</v>
      </c>
      <c r="C4177" s="39" t="s">
        <v>633</v>
      </c>
      <c r="D4177">
        <v>8</v>
      </c>
      <c r="F4177" s="56"/>
    </row>
    <row r="4178" spans="1:6" ht="15">
      <c r="A4178" s="51">
        <v>3105767</v>
      </c>
      <c r="B4178" t="s">
        <v>3010</v>
      </c>
      <c r="C4178" s="39" t="s">
        <v>633</v>
      </c>
      <c r="D4178">
        <v>8</v>
      </c>
      <c r="F4178" s="56"/>
    </row>
    <row r="4179" spans="1:6" ht="15">
      <c r="A4179" s="51">
        <v>3105768</v>
      </c>
      <c r="B4179" t="s">
        <v>3011</v>
      </c>
      <c r="C4179" s="39" t="s">
        <v>633</v>
      </c>
      <c r="D4179">
        <v>8</v>
      </c>
      <c r="F4179" s="56"/>
    </row>
    <row r="4180" spans="1:6" ht="15">
      <c r="A4180" s="51">
        <v>3105769</v>
      </c>
      <c r="B4180" t="s">
        <v>809</v>
      </c>
      <c r="C4180" s="39" t="s">
        <v>258</v>
      </c>
      <c r="D4180">
        <v>9</v>
      </c>
      <c r="F4180" s="56"/>
    </row>
    <row r="4181" spans="1:6" ht="15">
      <c r="A4181" s="51">
        <v>3105770</v>
      </c>
      <c r="B4181" t="s">
        <v>2357</v>
      </c>
      <c r="C4181" s="39" t="s">
        <v>312</v>
      </c>
      <c r="D4181">
        <v>7</v>
      </c>
      <c r="F4181" s="56"/>
    </row>
    <row r="4182" spans="1:6" ht="15">
      <c r="A4182" s="51">
        <v>3105771</v>
      </c>
      <c r="B4182" t="s">
        <v>1270</v>
      </c>
      <c r="C4182" s="39" t="s">
        <v>2298</v>
      </c>
      <c r="D4182" t="s">
        <v>4246</v>
      </c>
      <c r="F4182" s="56"/>
    </row>
    <row r="4183" spans="1:6" ht="15">
      <c r="A4183" s="51">
        <v>3105772</v>
      </c>
      <c r="B4183" t="s">
        <v>3012</v>
      </c>
      <c r="C4183" s="39" t="s">
        <v>1114</v>
      </c>
      <c r="D4183" t="s">
        <v>4246</v>
      </c>
      <c r="F4183" s="56"/>
    </row>
    <row r="4184" spans="1:6" ht="15">
      <c r="A4184" s="51">
        <v>3105773</v>
      </c>
      <c r="B4184" t="s">
        <v>3013</v>
      </c>
      <c r="C4184" s="39" t="s">
        <v>1114</v>
      </c>
      <c r="D4184" t="s">
        <v>4246</v>
      </c>
      <c r="F4184" s="56"/>
    </row>
    <row r="4185" spans="1:6" ht="15">
      <c r="A4185" s="51">
        <v>3100248</v>
      </c>
      <c r="B4185" t="s">
        <v>3014</v>
      </c>
      <c r="C4185" s="39" t="s">
        <v>1114</v>
      </c>
      <c r="D4185" t="s">
        <v>4244</v>
      </c>
      <c r="F4185" s="56"/>
    </row>
    <row r="4186" spans="1:6" ht="15">
      <c r="A4186" s="51">
        <v>3105775</v>
      </c>
      <c r="B4186" t="s">
        <v>3015</v>
      </c>
      <c r="C4186" s="39" t="s">
        <v>1083</v>
      </c>
      <c r="D4186" t="s">
        <v>1595</v>
      </c>
      <c r="F4186" s="56"/>
    </row>
    <row r="4187" spans="1:6" ht="15">
      <c r="A4187" s="51">
        <v>3100289</v>
      </c>
      <c r="B4187" t="s">
        <v>3016</v>
      </c>
      <c r="C4187" s="39" t="s">
        <v>1083</v>
      </c>
      <c r="D4187" t="s">
        <v>469</v>
      </c>
      <c r="F4187" s="56"/>
    </row>
    <row r="4188" spans="1:6" ht="15">
      <c r="A4188" s="51">
        <v>3105777</v>
      </c>
      <c r="B4188" t="s">
        <v>3017</v>
      </c>
      <c r="C4188" s="39" t="s">
        <v>1083</v>
      </c>
      <c r="D4188">
        <v>7</v>
      </c>
      <c r="F4188" s="56"/>
    </row>
    <row r="4189" spans="1:6" ht="15">
      <c r="A4189" s="51">
        <v>3105778</v>
      </c>
      <c r="B4189" t="s">
        <v>3018</v>
      </c>
      <c r="C4189" s="39" t="s">
        <v>3019</v>
      </c>
      <c r="D4189" t="s">
        <v>4244</v>
      </c>
      <c r="F4189" s="56"/>
    </row>
    <row r="4190" spans="1:6" ht="15">
      <c r="A4190" s="51">
        <v>3105779</v>
      </c>
      <c r="B4190" t="s">
        <v>3020</v>
      </c>
      <c r="C4190" s="39" t="s">
        <v>3019</v>
      </c>
      <c r="D4190">
        <v>7</v>
      </c>
      <c r="F4190" s="56"/>
    </row>
    <row r="4191" spans="1:6" ht="15">
      <c r="A4191" s="51">
        <v>3105780</v>
      </c>
      <c r="B4191" t="s">
        <v>3021</v>
      </c>
      <c r="C4191" s="39" t="s">
        <v>3019</v>
      </c>
      <c r="D4191">
        <v>8</v>
      </c>
      <c r="F4191" s="56"/>
    </row>
    <row r="4192" spans="1:6" ht="15">
      <c r="A4192" s="51">
        <v>3100382</v>
      </c>
      <c r="B4192" t="s">
        <v>3022</v>
      </c>
      <c r="C4192" s="39" t="s">
        <v>1035</v>
      </c>
      <c r="D4192" t="s">
        <v>1595</v>
      </c>
      <c r="F4192" s="56"/>
    </row>
    <row r="4193" spans="1:6" ht="15">
      <c r="A4193" s="51">
        <v>3100294</v>
      </c>
      <c r="B4193" t="s">
        <v>3023</v>
      </c>
      <c r="C4193" s="39" t="s">
        <v>3024</v>
      </c>
      <c r="D4193" t="s">
        <v>4247</v>
      </c>
      <c r="F4193" s="56"/>
    </row>
    <row r="4194" spans="1:6" ht="15">
      <c r="A4194" s="51">
        <v>3100293</v>
      </c>
      <c r="B4194" t="s">
        <v>3025</v>
      </c>
      <c r="C4194" s="39" t="s">
        <v>3026</v>
      </c>
      <c r="D4194" t="s">
        <v>4244</v>
      </c>
      <c r="F4194" s="56"/>
    </row>
    <row r="4195" spans="1:6" ht="15">
      <c r="A4195" s="51">
        <v>292510</v>
      </c>
      <c r="B4195" t="s">
        <v>87</v>
      </c>
      <c r="C4195" s="39" t="s">
        <v>88</v>
      </c>
      <c r="D4195">
        <v>8</v>
      </c>
      <c r="F4195" s="56"/>
    </row>
    <row r="4196" spans="1:6" ht="15">
      <c r="A4196" s="51">
        <v>292511</v>
      </c>
      <c r="B4196" t="s">
        <v>3027</v>
      </c>
      <c r="C4196" s="39" t="s">
        <v>835</v>
      </c>
      <c r="D4196">
        <v>9</v>
      </c>
      <c r="F4196" s="56"/>
    </row>
    <row r="4197" spans="1:6" ht="15">
      <c r="A4197" s="51">
        <v>292512</v>
      </c>
      <c r="B4197" t="s">
        <v>3028</v>
      </c>
      <c r="C4197" s="39" t="s">
        <v>320</v>
      </c>
      <c r="D4197" t="s">
        <v>4243</v>
      </c>
      <c r="F4197" s="56"/>
    </row>
    <row r="4198" spans="1:6" ht="15">
      <c r="A4198" s="51">
        <v>292513</v>
      </c>
      <c r="B4198" t="s">
        <v>1786</v>
      </c>
      <c r="C4198" s="39" t="s">
        <v>1352</v>
      </c>
      <c r="D4198" t="s">
        <v>469</v>
      </c>
      <c r="F4198" s="56"/>
    </row>
    <row r="4199" spans="1:6" ht="15">
      <c r="A4199" s="51">
        <v>292514</v>
      </c>
      <c r="B4199" t="s">
        <v>1787</v>
      </c>
      <c r="C4199" s="39" t="s">
        <v>1352</v>
      </c>
      <c r="D4199" t="s">
        <v>469</v>
      </c>
      <c r="F4199" s="56"/>
    </row>
    <row r="4200" spans="1:6" ht="15">
      <c r="A4200" s="51">
        <v>292515</v>
      </c>
      <c r="B4200" t="s">
        <v>975</v>
      </c>
      <c r="C4200" s="39" t="s">
        <v>536</v>
      </c>
      <c r="D4200" t="s">
        <v>4246</v>
      </c>
      <c r="F4200" s="56"/>
    </row>
    <row r="4201" spans="1:6" ht="15">
      <c r="A4201" s="51">
        <v>292516</v>
      </c>
      <c r="B4201" t="s">
        <v>323</v>
      </c>
      <c r="C4201" s="39" t="s">
        <v>536</v>
      </c>
      <c r="D4201" t="s">
        <v>4244</v>
      </c>
      <c r="F4201" s="56"/>
    </row>
    <row r="4202" spans="1:6" ht="15">
      <c r="A4202" s="51">
        <v>292517</v>
      </c>
      <c r="B4202" t="s">
        <v>836</v>
      </c>
      <c r="C4202" s="39" t="s">
        <v>536</v>
      </c>
      <c r="D4202" t="s">
        <v>4243</v>
      </c>
      <c r="F4202" s="56"/>
    </row>
    <row r="4203" spans="1:6" ht="15">
      <c r="A4203" s="51">
        <v>292518</v>
      </c>
      <c r="B4203" t="s">
        <v>325</v>
      </c>
      <c r="C4203" s="39" t="s">
        <v>324</v>
      </c>
      <c r="D4203" t="s">
        <v>4243</v>
      </c>
      <c r="F4203" s="56"/>
    </row>
    <row r="4204" spans="1:6" ht="15">
      <c r="A4204" s="51">
        <v>292519</v>
      </c>
      <c r="B4204" t="s">
        <v>1232</v>
      </c>
      <c r="C4204" s="39" t="s">
        <v>324</v>
      </c>
      <c r="D4204">
        <v>7</v>
      </c>
      <c r="F4204" s="56"/>
    </row>
    <row r="4205" spans="1:6" ht="15">
      <c r="A4205" s="51">
        <v>292520</v>
      </c>
      <c r="B4205" t="s">
        <v>3029</v>
      </c>
      <c r="C4205" s="39" t="s">
        <v>2513</v>
      </c>
      <c r="D4205">
        <v>9</v>
      </c>
      <c r="F4205" s="56"/>
    </row>
    <row r="4206" spans="1:6" ht="15">
      <c r="A4206" s="51">
        <v>292521</v>
      </c>
      <c r="B4206" t="s">
        <v>2457</v>
      </c>
      <c r="C4206" s="39" t="s">
        <v>983</v>
      </c>
      <c r="D4206" t="s">
        <v>1596</v>
      </c>
      <c r="F4206" s="56"/>
    </row>
    <row r="4207" spans="1:6" ht="15">
      <c r="A4207" s="51">
        <v>292522</v>
      </c>
      <c r="B4207" t="s">
        <v>979</v>
      </c>
      <c r="C4207" s="39" t="s">
        <v>983</v>
      </c>
      <c r="D4207" t="s">
        <v>471</v>
      </c>
      <c r="F4207" s="56"/>
    </row>
    <row r="4208" spans="1:6" ht="15">
      <c r="A4208" s="51">
        <v>292523</v>
      </c>
      <c r="B4208" t="s">
        <v>980</v>
      </c>
      <c r="C4208" s="39" t="s">
        <v>983</v>
      </c>
      <c r="D4208">
        <v>7</v>
      </c>
      <c r="F4208" s="56"/>
    </row>
    <row r="4209" spans="1:6" ht="15">
      <c r="A4209" s="51">
        <v>292524</v>
      </c>
      <c r="B4209" t="s">
        <v>1233</v>
      </c>
      <c r="C4209" s="39" t="s">
        <v>92</v>
      </c>
      <c r="D4209" t="s">
        <v>4246</v>
      </c>
      <c r="F4209" s="56"/>
    </row>
    <row r="4210" spans="1:6" ht="15">
      <c r="A4210" s="51">
        <v>292525</v>
      </c>
      <c r="B4210" t="s">
        <v>1234</v>
      </c>
      <c r="C4210" s="39" t="s">
        <v>92</v>
      </c>
      <c r="D4210" t="s">
        <v>4244</v>
      </c>
      <c r="F4210" s="56"/>
    </row>
    <row r="4211" spans="1:6" ht="15">
      <c r="A4211" s="51">
        <v>292526</v>
      </c>
      <c r="B4211" t="s">
        <v>1235</v>
      </c>
      <c r="C4211" s="39" t="s">
        <v>92</v>
      </c>
      <c r="D4211" t="s">
        <v>4243</v>
      </c>
      <c r="F4211" s="56"/>
    </row>
    <row r="4212" spans="1:6" ht="15">
      <c r="A4212" s="51">
        <v>292527</v>
      </c>
      <c r="B4212" t="s">
        <v>3030</v>
      </c>
      <c r="C4212" s="39" t="s">
        <v>92</v>
      </c>
      <c r="D4212">
        <v>9</v>
      </c>
      <c r="F4212" s="56"/>
    </row>
    <row r="4213" spans="1:6" ht="15">
      <c r="A4213" s="51">
        <v>292529</v>
      </c>
      <c r="B4213" t="s">
        <v>838</v>
      </c>
      <c r="C4213" s="39" t="s">
        <v>997</v>
      </c>
      <c r="D4213" t="s">
        <v>468</v>
      </c>
      <c r="F4213" s="56"/>
    </row>
    <row r="4214" spans="1:6" ht="15">
      <c r="A4214" s="51">
        <v>292531</v>
      </c>
      <c r="B4214" t="s">
        <v>101</v>
      </c>
      <c r="C4214" s="39" t="s">
        <v>99</v>
      </c>
      <c r="D4214">
        <v>7</v>
      </c>
      <c r="F4214" s="56"/>
    </row>
    <row r="4215" spans="1:6" ht="15">
      <c r="A4215" s="51">
        <v>292532</v>
      </c>
      <c r="B4215" t="s">
        <v>103</v>
      </c>
      <c r="C4215" s="39" t="s">
        <v>104</v>
      </c>
      <c r="D4215" t="s">
        <v>4243</v>
      </c>
      <c r="F4215" s="56"/>
    </row>
    <row r="4216" spans="1:6" ht="15">
      <c r="A4216" s="51">
        <v>292533</v>
      </c>
      <c r="B4216" t="s">
        <v>107</v>
      </c>
      <c r="C4216" s="39" t="s">
        <v>999</v>
      </c>
      <c r="D4216" t="s">
        <v>468</v>
      </c>
      <c r="F4216" s="56"/>
    </row>
    <row r="4217" spans="1:6" ht="15">
      <c r="A4217" s="51">
        <v>292534</v>
      </c>
      <c r="B4217" t="s">
        <v>1152</v>
      </c>
      <c r="C4217" s="39" t="s">
        <v>999</v>
      </c>
      <c r="D4217" t="s">
        <v>469</v>
      </c>
      <c r="F4217" s="56"/>
    </row>
    <row r="4218" spans="1:6" ht="15">
      <c r="A4218" s="51">
        <v>292535</v>
      </c>
      <c r="B4218" t="s">
        <v>3031</v>
      </c>
      <c r="C4218" s="39" t="s">
        <v>999</v>
      </c>
      <c r="D4218" t="s">
        <v>471</v>
      </c>
      <c r="F4218" s="56"/>
    </row>
    <row r="4219" spans="1:6" ht="15">
      <c r="A4219" s="51">
        <v>292536</v>
      </c>
      <c r="B4219" t="s">
        <v>1153</v>
      </c>
      <c r="C4219" s="39" t="s">
        <v>999</v>
      </c>
      <c r="D4219" t="s">
        <v>471</v>
      </c>
      <c r="F4219" s="56"/>
    </row>
    <row r="4220" spans="1:6" ht="15">
      <c r="A4220" s="51">
        <v>292538</v>
      </c>
      <c r="B4220" t="s">
        <v>341</v>
      </c>
      <c r="C4220" s="39" t="s">
        <v>108</v>
      </c>
      <c r="D4220" t="s">
        <v>4245</v>
      </c>
      <c r="F4220" s="56"/>
    </row>
    <row r="4221" spans="1:6" ht="15">
      <c r="A4221" s="51">
        <v>292539</v>
      </c>
      <c r="B4221" t="s">
        <v>1798</v>
      </c>
      <c r="C4221" s="39" t="s">
        <v>651</v>
      </c>
      <c r="D4221">
        <v>7</v>
      </c>
      <c r="F4221" s="56"/>
    </row>
    <row r="4222" spans="1:6" ht="15">
      <c r="A4222" s="51">
        <v>292540</v>
      </c>
      <c r="B4222" t="s">
        <v>1242</v>
      </c>
      <c r="C4222" s="39" t="s">
        <v>542</v>
      </c>
      <c r="D4222" t="s">
        <v>4245</v>
      </c>
      <c r="F4222" s="56"/>
    </row>
    <row r="4223" spans="1:6" ht="15">
      <c r="A4223" s="51">
        <v>292541</v>
      </c>
      <c r="B4223" t="s">
        <v>344</v>
      </c>
      <c r="C4223" s="39" t="s">
        <v>542</v>
      </c>
      <c r="D4223" t="s">
        <v>4246</v>
      </c>
      <c r="F4223" s="56"/>
    </row>
    <row r="4224" spans="1:6" ht="15">
      <c r="A4224" s="51">
        <v>292542</v>
      </c>
      <c r="B4224" t="s">
        <v>1155</v>
      </c>
      <c r="C4224" s="39" t="s">
        <v>542</v>
      </c>
      <c r="D4224" t="s">
        <v>4244</v>
      </c>
      <c r="F4224" s="56"/>
    </row>
    <row r="4225" spans="1:6" ht="15">
      <c r="A4225" s="51">
        <v>292543</v>
      </c>
      <c r="B4225" t="s">
        <v>1156</v>
      </c>
      <c r="C4225" s="39" t="s">
        <v>542</v>
      </c>
      <c r="D4225" t="s">
        <v>4243</v>
      </c>
      <c r="F4225" s="56"/>
    </row>
    <row r="4226" spans="1:6" ht="15">
      <c r="A4226" s="51">
        <v>292544</v>
      </c>
      <c r="B4226" t="s">
        <v>345</v>
      </c>
      <c r="C4226" s="39" t="s">
        <v>349</v>
      </c>
      <c r="D4226" t="s">
        <v>4247</v>
      </c>
      <c r="F4226" s="56"/>
    </row>
    <row r="4227" spans="1:6" ht="15">
      <c r="A4227" s="51">
        <v>292545</v>
      </c>
      <c r="B4227" t="s">
        <v>347</v>
      </c>
      <c r="C4227" s="39" t="s">
        <v>349</v>
      </c>
      <c r="D4227" t="s">
        <v>4247</v>
      </c>
      <c r="F4227" s="56"/>
    </row>
    <row r="4228" spans="1:6" ht="15">
      <c r="A4228" s="51">
        <v>292546</v>
      </c>
      <c r="B4228" t="s">
        <v>350</v>
      </c>
      <c r="C4228" s="39" t="s">
        <v>120</v>
      </c>
      <c r="D4228" t="s">
        <v>4246</v>
      </c>
      <c r="F4228" s="56"/>
    </row>
    <row r="4229" spans="1:6" ht="15">
      <c r="A4229" s="51">
        <v>292547</v>
      </c>
      <c r="B4229" t="s">
        <v>351</v>
      </c>
      <c r="C4229" s="39" t="s">
        <v>120</v>
      </c>
      <c r="D4229" t="s">
        <v>4244</v>
      </c>
      <c r="F4229" s="56"/>
    </row>
    <row r="4230" spans="1:6" ht="15">
      <c r="A4230" s="51">
        <v>292548</v>
      </c>
      <c r="B4230" t="s">
        <v>129</v>
      </c>
      <c r="C4230" s="39" t="s">
        <v>130</v>
      </c>
      <c r="D4230" t="s">
        <v>4243</v>
      </c>
      <c r="F4230" s="56"/>
    </row>
    <row r="4231" spans="1:6" ht="15">
      <c r="A4231" s="51">
        <v>292549</v>
      </c>
      <c r="B4231" t="s">
        <v>358</v>
      </c>
      <c r="C4231" s="39" t="s">
        <v>2812</v>
      </c>
      <c r="D4231" t="s">
        <v>4246</v>
      </c>
      <c r="F4231" s="56"/>
    </row>
    <row r="4232" spans="1:6" ht="15">
      <c r="A4232" s="51">
        <v>292550</v>
      </c>
      <c r="B4232" t="s">
        <v>360</v>
      </c>
      <c r="C4232" s="39" t="s">
        <v>2812</v>
      </c>
      <c r="D4232" t="s">
        <v>4246</v>
      </c>
      <c r="F4232" s="56"/>
    </row>
    <row r="4233" spans="1:6" ht="15">
      <c r="A4233" s="51">
        <v>292551</v>
      </c>
      <c r="B4233" t="s">
        <v>1533</v>
      </c>
      <c r="C4233" s="39" t="s">
        <v>362</v>
      </c>
      <c r="D4233" t="s">
        <v>4247</v>
      </c>
      <c r="F4233" s="56"/>
    </row>
    <row r="4234" spans="1:6" ht="15">
      <c r="A4234" s="51">
        <v>292552</v>
      </c>
      <c r="B4234" t="s">
        <v>131</v>
      </c>
      <c r="C4234" s="39" t="s">
        <v>132</v>
      </c>
      <c r="D4234" t="s">
        <v>471</v>
      </c>
      <c r="F4234" s="56"/>
    </row>
    <row r="4235" spans="1:6" ht="15">
      <c r="A4235" s="51">
        <v>292553</v>
      </c>
      <c r="B4235" t="s">
        <v>3032</v>
      </c>
      <c r="C4235" s="39" t="s">
        <v>368</v>
      </c>
      <c r="D4235">
        <v>8</v>
      </c>
      <c r="F4235" s="56"/>
    </row>
    <row r="4236" spans="1:6" ht="15">
      <c r="A4236" s="51">
        <v>292554</v>
      </c>
      <c r="B4236" t="s">
        <v>3033</v>
      </c>
      <c r="C4236" s="39" t="s">
        <v>134</v>
      </c>
      <c r="D4236">
        <v>9</v>
      </c>
      <c r="F4236" s="56"/>
    </row>
    <row r="4237" spans="1:6" ht="15">
      <c r="A4237" s="51">
        <v>292555</v>
      </c>
      <c r="B4237" t="s">
        <v>139</v>
      </c>
      <c r="C4237" s="39" t="s">
        <v>140</v>
      </c>
      <c r="D4237">
        <v>7</v>
      </c>
      <c r="F4237" s="56"/>
    </row>
    <row r="4238" spans="1:6" ht="15">
      <c r="A4238" s="51">
        <v>292556</v>
      </c>
      <c r="B4238" t="s">
        <v>1023</v>
      </c>
      <c r="C4238" s="39" t="s">
        <v>1024</v>
      </c>
      <c r="D4238" t="s">
        <v>4243</v>
      </c>
      <c r="F4238" s="56"/>
    </row>
    <row r="4239" spans="1:6" ht="15">
      <c r="A4239" s="51">
        <v>292557</v>
      </c>
      <c r="B4239" t="s">
        <v>1027</v>
      </c>
      <c r="C4239" s="39" t="s">
        <v>1028</v>
      </c>
      <c r="D4239" t="s">
        <v>4245</v>
      </c>
      <c r="F4239" s="56"/>
    </row>
    <row r="4240" spans="1:6" ht="15">
      <c r="A4240" s="51">
        <v>292558</v>
      </c>
      <c r="B4240" t="s">
        <v>1029</v>
      </c>
      <c r="C4240" s="39" t="s">
        <v>1028</v>
      </c>
      <c r="D4240" t="s">
        <v>4246</v>
      </c>
      <c r="F4240" s="56"/>
    </row>
    <row r="4241" spans="1:6" ht="15">
      <c r="A4241" s="51">
        <v>292560</v>
      </c>
      <c r="B4241" t="s">
        <v>372</v>
      </c>
      <c r="C4241" s="39" t="s">
        <v>896</v>
      </c>
      <c r="D4241">
        <v>8</v>
      </c>
      <c r="F4241" s="56"/>
    </row>
    <row r="4242" spans="1:6" ht="15">
      <c r="A4242" s="51">
        <v>292561</v>
      </c>
      <c r="B4242" t="s">
        <v>143</v>
      </c>
      <c r="C4242" s="39" t="s">
        <v>373</v>
      </c>
      <c r="D4242" t="s">
        <v>4248</v>
      </c>
      <c r="F4242" s="56"/>
    </row>
    <row r="4243" spans="1:6" ht="15">
      <c r="A4243" s="51">
        <v>292562</v>
      </c>
      <c r="B4243" t="s">
        <v>149</v>
      </c>
      <c r="C4243" s="39" t="s">
        <v>148</v>
      </c>
      <c r="D4243" t="s">
        <v>4246</v>
      </c>
      <c r="F4243" s="56"/>
    </row>
    <row r="4244" spans="1:6" ht="15">
      <c r="A4244" s="51">
        <v>292563</v>
      </c>
      <c r="B4244" t="s">
        <v>1034</v>
      </c>
      <c r="C4244" s="39" t="s">
        <v>1035</v>
      </c>
      <c r="D4244" t="s">
        <v>1595</v>
      </c>
      <c r="F4244" s="56"/>
    </row>
    <row r="4245" spans="1:6" ht="15">
      <c r="A4245" s="51">
        <v>292564</v>
      </c>
      <c r="B4245" t="s">
        <v>1036</v>
      </c>
      <c r="C4245" s="39" t="s">
        <v>1035</v>
      </c>
      <c r="D4245" t="s">
        <v>1595</v>
      </c>
      <c r="F4245" s="56"/>
    </row>
    <row r="4246" spans="1:6" ht="15">
      <c r="A4246" s="51">
        <v>292566</v>
      </c>
      <c r="B4246" t="s">
        <v>152</v>
      </c>
      <c r="C4246" s="39" t="s">
        <v>151</v>
      </c>
      <c r="D4246" t="s">
        <v>469</v>
      </c>
      <c r="F4246" s="56"/>
    </row>
    <row r="4247" spans="1:6" ht="15">
      <c r="A4247" s="51">
        <v>292567</v>
      </c>
      <c r="B4247" t="s">
        <v>153</v>
      </c>
      <c r="C4247" s="39" t="s">
        <v>151</v>
      </c>
      <c r="D4247" t="s">
        <v>471</v>
      </c>
      <c r="F4247" s="56"/>
    </row>
    <row r="4248" spans="1:6" ht="15">
      <c r="A4248" s="51">
        <v>292568</v>
      </c>
      <c r="B4248" t="s">
        <v>3034</v>
      </c>
      <c r="C4248" s="39" t="s">
        <v>151</v>
      </c>
      <c r="D4248">
        <v>9</v>
      </c>
      <c r="F4248" s="56"/>
    </row>
    <row r="4249" spans="1:6" ht="15">
      <c r="A4249" s="51">
        <v>292569</v>
      </c>
      <c r="B4249" t="s">
        <v>3035</v>
      </c>
      <c r="C4249" s="39" t="s">
        <v>3036</v>
      </c>
      <c r="D4249">
        <v>9</v>
      </c>
      <c r="F4249" s="56"/>
    </row>
    <row r="4250" spans="1:6" ht="15">
      <c r="A4250" s="51">
        <v>292570</v>
      </c>
      <c r="B4250" t="s">
        <v>1038</v>
      </c>
      <c r="C4250" s="39" t="s">
        <v>157</v>
      </c>
      <c r="D4250" t="s">
        <v>4245</v>
      </c>
      <c r="F4250" s="56"/>
    </row>
    <row r="4251" spans="1:6" ht="15">
      <c r="A4251" s="51">
        <v>292571</v>
      </c>
      <c r="B4251" t="s">
        <v>1039</v>
      </c>
      <c r="C4251" s="39" t="s">
        <v>157</v>
      </c>
      <c r="D4251" t="s">
        <v>4245</v>
      </c>
      <c r="F4251" s="56"/>
    </row>
    <row r="4252" spans="1:6" ht="15">
      <c r="A4252" s="51">
        <v>292572</v>
      </c>
      <c r="B4252" t="s">
        <v>3037</v>
      </c>
      <c r="C4252" s="39" t="s">
        <v>157</v>
      </c>
      <c r="D4252" t="s">
        <v>4245</v>
      </c>
      <c r="F4252" s="56"/>
    </row>
    <row r="4253" spans="1:6" ht="15">
      <c r="A4253" s="51">
        <v>292573</v>
      </c>
      <c r="B4253" t="s">
        <v>3038</v>
      </c>
      <c r="C4253" s="39" t="s">
        <v>157</v>
      </c>
      <c r="D4253" t="s">
        <v>4245</v>
      </c>
      <c r="F4253" s="56"/>
    </row>
    <row r="4254" spans="1:6" ht="15">
      <c r="A4254" s="51">
        <v>292574</v>
      </c>
      <c r="B4254" t="s">
        <v>3039</v>
      </c>
      <c r="C4254" s="39" t="s">
        <v>157</v>
      </c>
      <c r="D4254" t="s">
        <v>4244</v>
      </c>
      <c r="F4254" s="56"/>
    </row>
    <row r="4255" spans="1:6" ht="15">
      <c r="A4255" s="51">
        <v>292575</v>
      </c>
      <c r="B4255" t="s">
        <v>3040</v>
      </c>
      <c r="C4255" s="39" t="s">
        <v>157</v>
      </c>
      <c r="D4255" t="s">
        <v>4243</v>
      </c>
      <c r="F4255" s="56"/>
    </row>
    <row r="4256" spans="1:6" ht="15">
      <c r="A4256" s="51">
        <v>292576</v>
      </c>
      <c r="B4256" t="s">
        <v>160</v>
      </c>
      <c r="C4256" s="39" t="s">
        <v>2630</v>
      </c>
      <c r="D4256" t="s">
        <v>4247</v>
      </c>
      <c r="F4256" s="56"/>
    </row>
    <row r="4257" spans="1:6" ht="15">
      <c r="A4257" s="51">
        <v>292577</v>
      </c>
      <c r="B4257" t="s">
        <v>1221</v>
      </c>
      <c r="C4257" s="39" t="s">
        <v>2630</v>
      </c>
      <c r="D4257" t="s">
        <v>4244</v>
      </c>
      <c r="F4257" s="56"/>
    </row>
    <row r="4258" spans="1:6" ht="15">
      <c r="A4258" s="51">
        <v>292578</v>
      </c>
      <c r="B4258" t="s">
        <v>3041</v>
      </c>
      <c r="C4258" s="39" t="s">
        <v>2630</v>
      </c>
      <c r="D4258">
        <v>8</v>
      </c>
      <c r="F4258" s="56"/>
    </row>
    <row r="4259" spans="1:6" ht="15">
      <c r="A4259" s="51">
        <v>292579</v>
      </c>
      <c r="B4259" t="s">
        <v>3042</v>
      </c>
      <c r="C4259" s="39" t="s">
        <v>2630</v>
      </c>
      <c r="D4259">
        <v>9</v>
      </c>
      <c r="F4259" s="56"/>
    </row>
    <row r="4260" spans="1:6" ht="15">
      <c r="A4260" s="51">
        <v>292580</v>
      </c>
      <c r="B4260" t="s">
        <v>2631</v>
      </c>
      <c r="C4260" s="39" t="s">
        <v>1052</v>
      </c>
      <c r="D4260" t="s">
        <v>4243</v>
      </c>
      <c r="F4260" s="56"/>
    </row>
    <row r="4261" spans="1:6" ht="15">
      <c r="A4261" s="51">
        <v>292581</v>
      </c>
      <c r="B4261" t="s">
        <v>3043</v>
      </c>
      <c r="C4261" s="39" t="s">
        <v>955</v>
      </c>
      <c r="D4261">
        <v>7</v>
      </c>
      <c r="F4261" s="56"/>
    </row>
    <row r="4262" spans="1:6" ht="15">
      <c r="A4262" s="51">
        <v>292582</v>
      </c>
      <c r="B4262" t="s">
        <v>1064</v>
      </c>
      <c r="C4262" s="39" t="s">
        <v>166</v>
      </c>
      <c r="D4262" t="s">
        <v>4245</v>
      </c>
      <c r="F4262" s="56"/>
    </row>
    <row r="4263" spans="1:6" ht="15">
      <c r="A4263" s="51">
        <v>292583</v>
      </c>
      <c r="B4263" t="s">
        <v>1065</v>
      </c>
      <c r="C4263" s="39" t="s">
        <v>166</v>
      </c>
      <c r="D4263" t="s">
        <v>4244</v>
      </c>
      <c r="F4263" s="56"/>
    </row>
    <row r="4264" spans="1:6" ht="15">
      <c r="A4264" s="51">
        <v>292584</v>
      </c>
      <c r="B4264" t="s">
        <v>3044</v>
      </c>
      <c r="C4264" s="39" t="s">
        <v>166</v>
      </c>
      <c r="D4264" t="s">
        <v>4243</v>
      </c>
      <c r="F4264" s="56"/>
    </row>
    <row r="4265" spans="1:6" ht="15">
      <c r="A4265" s="51">
        <v>292585</v>
      </c>
      <c r="B4265" t="s">
        <v>1066</v>
      </c>
      <c r="C4265" s="39" t="s">
        <v>177</v>
      </c>
      <c r="D4265" t="s">
        <v>1595</v>
      </c>
      <c r="F4265" s="56"/>
    </row>
    <row r="4266" spans="1:6" ht="15">
      <c r="A4266" s="51">
        <v>292586</v>
      </c>
      <c r="B4266" t="s">
        <v>1067</v>
      </c>
      <c r="C4266" s="39" t="s">
        <v>177</v>
      </c>
      <c r="D4266" t="s">
        <v>468</v>
      </c>
      <c r="F4266" s="56"/>
    </row>
    <row r="4267" spans="1:6" ht="15">
      <c r="A4267" s="51">
        <v>292587</v>
      </c>
      <c r="B4267" t="s">
        <v>3045</v>
      </c>
      <c r="C4267" s="39" t="s">
        <v>177</v>
      </c>
      <c r="D4267" t="s">
        <v>469</v>
      </c>
      <c r="F4267" s="56"/>
    </row>
    <row r="4268" spans="1:6" ht="15">
      <c r="A4268" s="51">
        <v>292588</v>
      </c>
      <c r="B4268" t="s">
        <v>3046</v>
      </c>
      <c r="C4268" s="39" t="s">
        <v>177</v>
      </c>
      <c r="D4268">
        <v>8</v>
      </c>
      <c r="F4268" s="56"/>
    </row>
    <row r="4269" spans="1:6" ht="15">
      <c r="A4269" s="51">
        <v>292589</v>
      </c>
      <c r="B4269" t="s">
        <v>2019</v>
      </c>
      <c r="C4269" s="39" t="s">
        <v>2633</v>
      </c>
      <c r="D4269" t="s">
        <v>4244</v>
      </c>
      <c r="F4269" s="56"/>
    </row>
    <row r="4270" spans="1:6" ht="15">
      <c r="A4270" s="51">
        <v>292590</v>
      </c>
      <c r="B4270" t="s">
        <v>3047</v>
      </c>
      <c r="C4270" s="39" t="s">
        <v>2633</v>
      </c>
      <c r="D4270" t="s">
        <v>4244</v>
      </c>
      <c r="F4270" s="56"/>
    </row>
    <row r="4271" spans="1:6" ht="15">
      <c r="A4271" s="51">
        <v>292591</v>
      </c>
      <c r="B4271" t="s">
        <v>1068</v>
      </c>
      <c r="C4271" s="39" t="s">
        <v>390</v>
      </c>
      <c r="D4271" t="s">
        <v>4247</v>
      </c>
      <c r="F4271" s="56"/>
    </row>
    <row r="4272" spans="1:6" ht="15">
      <c r="A4272" s="51">
        <v>292592</v>
      </c>
      <c r="B4272" t="s">
        <v>1069</v>
      </c>
      <c r="C4272" s="39" t="s">
        <v>390</v>
      </c>
      <c r="D4272" t="s">
        <v>4243</v>
      </c>
      <c r="F4272" s="56"/>
    </row>
    <row r="4273" spans="1:6" ht="15">
      <c r="A4273" s="51">
        <v>292593</v>
      </c>
      <c r="B4273" t="s">
        <v>3048</v>
      </c>
      <c r="C4273" s="39" t="s">
        <v>390</v>
      </c>
      <c r="D4273">
        <v>7</v>
      </c>
      <c r="F4273" s="56"/>
    </row>
    <row r="4274" spans="1:6" ht="15">
      <c r="A4274" s="51">
        <v>292594</v>
      </c>
      <c r="B4274" t="s">
        <v>3049</v>
      </c>
      <c r="C4274" s="39" t="s">
        <v>180</v>
      </c>
      <c r="D4274">
        <v>9</v>
      </c>
      <c r="F4274" s="56"/>
    </row>
    <row r="4275" spans="1:6" ht="15">
      <c r="A4275" s="51">
        <v>292595</v>
      </c>
      <c r="B4275" t="s">
        <v>182</v>
      </c>
      <c r="C4275" s="39" t="s">
        <v>183</v>
      </c>
      <c r="D4275">
        <v>7</v>
      </c>
      <c r="F4275" s="56"/>
    </row>
    <row r="4276" spans="1:6" ht="15">
      <c r="A4276" s="51">
        <v>292596</v>
      </c>
      <c r="B4276" t="s">
        <v>186</v>
      </c>
      <c r="C4276" s="39" t="s">
        <v>192</v>
      </c>
      <c r="D4276" t="s">
        <v>4247</v>
      </c>
      <c r="F4276" s="56"/>
    </row>
    <row r="4277" spans="1:6" ht="15">
      <c r="A4277" s="51">
        <v>292597</v>
      </c>
      <c r="B4277" t="s">
        <v>187</v>
      </c>
      <c r="C4277" s="39" t="s">
        <v>192</v>
      </c>
      <c r="D4277" t="s">
        <v>4243</v>
      </c>
      <c r="F4277" s="56"/>
    </row>
    <row r="4278" spans="1:6" ht="15">
      <c r="A4278" s="51">
        <v>292598</v>
      </c>
      <c r="B4278" t="s">
        <v>1250</v>
      </c>
      <c r="C4278" s="39" t="s">
        <v>192</v>
      </c>
      <c r="D4278">
        <v>7</v>
      </c>
      <c r="F4278" s="56"/>
    </row>
    <row r="4279" spans="1:6" ht="15">
      <c r="A4279" s="51">
        <v>292599</v>
      </c>
      <c r="B4279" t="s">
        <v>3050</v>
      </c>
      <c r="C4279" s="39" t="s">
        <v>192</v>
      </c>
      <c r="D4279">
        <v>8</v>
      </c>
      <c r="F4279" s="56"/>
    </row>
    <row r="4280" spans="1:6" ht="15">
      <c r="A4280" s="51">
        <v>292601</v>
      </c>
      <c r="B4280" t="s">
        <v>3051</v>
      </c>
      <c r="C4280" s="39" t="s">
        <v>3052</v>
      </c>
      <c r="D4280" t="s">
        <v>4243</v>
      </c>
      <c r="F4280" s="56"/>
    </row>
    <row r="4281" spans="1:6" ht="15">
      <c r="A4281" s="51">
        <v>292602</v>
      </c>
      <c r="B4281" t="s">
        <v>1073</v>
      </c>
      <c r="C4281" s="39" t="s">
        <v>402</v>
      </c>
      <c r="D4281" t="s">
        <v>4245</v>
      </c>
      <c r="F4281" s="56"/>
    </row>
    <row r="4282" spans="1:6" ht="15">
      <c r="B4282" t="s">
        <v>872</v>
      </c>
      <c r="C4282" s="39" t="s">
        <v>3053</v>
      </c>
      <c r="D4282">
        <v>7</v>
      </c>
      <c r="F4282" s="56"/>
    </row>
    <row r="4283" spans="1:6" ht="15">
      <c r="A4283" s="51">
        <v>292603</v>
      </c>
      <c r="B4283" t="s">
        <v>3054</v>
      </c>
      <c r="C4283" s="39" t="s">
        <v>908</v>
      </c>
      <c r="D4283" t="s">
        <v>4244</v>
      </c>
      <c r="F4283" s="56"/>
    </row>
    <row r="4284" spans="1:6" ht="15">
      <c r="A4284" s="51">
        <v>292604</v>
      </c>
      <c r="B4284" t="s">
        <v>1076</v>
      </c>
      <c r="C4284" s="39" t="s">
        <v>2032</v>
      </c>
      <c r="D4284" t="s">
        <v>4243</v>
      </c>
      <c r="F4284" s="56"/>
    </row>
    <row r="4285" spans="1:6" ht="15">
      <c r="A4285" s="51">
        <v>292605</v>
      </c>
      <c r="B4285" t="s">
        <v>1191</v>
      </c>
      <c r="C4285" s="39" t="s">
        <v>561</v>
      </c>
      <c r="D4285" t="s">
        <v>4247</v>
      </c>
      <c r="F4285" s="56"/>
    </row>
    <row r="4286" spans="1:6" ht="15">
      <c r="A4286" s="51">
        <v>292606</v>
      </c>
      <c r="B4286" t="s">
        <v>1192</v>
      </c>
      <c r="C4286" s="39" t="s">
        <v>561</v>
      </c>
      <c r="D4286" t="s">
        <v>4247</v>
      </c>
      <c r="F4286" s="56"/>
    </row>
    <row r="4287" spans="1:6" ht="15">
      <c r="A4287" s="51">
        <v>292607</v>
      </c>
      <c r="B4287" t="s">
        <v>1840</v>
      </c>
      <c r="C4287" s="39" t="s">
        <v>1080</v>
      </c>
      <c r="D4287" t="s">
        <v>4244</v>
      </c>
      <c r="F4287" s="56"/>
    </row>
    <row r="4288" spans="1:6" ht="15">
      <c r="A4288" s="51">
        <v>292608</v>
      </c>
      <c r="B4288" t="s">
        <v>1085</v>
      </c>
      <c r="C4288" s="39" t="s">
        <v>1083</v>
      </c>
      <c r="D4288" t="s">
        <v>1595</v>
      </c>
      <c r="F4288" s="56"/>
    </row>
    <row r="4289" spans="1:6" ht="15">
      <c r="A4289" s="51">
        <v>292609</v>
      </c>
      <c r="B4289" t="s">
        <v>1086</v>
      </c>
      <c r="C4289" s="39" t="s">
        <v>1083</v>
      </c>
      <c r="D4289" t="s">
        <v>469</v>
      </c>
      <c r="F4289" s="56"/>
    </row>
    <row r="4290" spans="1:6" ht="15">
      <c r="A4290" s="51">
        <v>292610</v>
      </c>
      <c r="B4290" t="s">
        <v>1094</v>
      </c>
      <c r="C4290" s="39" t="s">
        <v>1095</v>
      </c>
      <c r="D4290" t="s">
        <v>469</v>
      </c>
      <c r="F4290" s="56"/>
    </row>
    <row r="4291" spans="1:6" ht="15">
      <c r="A4291" s="51">
        <v>292611</v>
      </c>
      <c r="B4291" t="s">
        <v>1096</v>
      </c>
      <c r="C4291" s="39" t="s">
        <v>1095</v>
      </c>
      <c r="D4291" t="s">
        <v>469</v>
      </c>
      <c r="F4291" s="56"/>
    </row>
    <row r="4292" spans="1:6" ht="15">
      <c r="A4292" s="51">
        <v>292612</v>
      </c>
      <c r="B4292" t="s">
        <v>3055</v>
      </c>
      <c r="C4292" s="39" t="s">
        <v>3056</v>
      </c>
      <c r="D4292" t="s">
        <v>4243</v>
      </c>
      <c r="F4292" s="56"/>
    </row>
    <row r="4293" spans="1:6" ht="15">
      <c r="A4293" s="51">
        <v>292613</v>
      </c>
      <c r="B4293" t="s">
        <v>1100</v>
      </c>
      <c r="C4293" s="39" t="s">
        <v>1098</v>
      </c>
      <c r="D4293" t="s">
        <v>466</v>
      </c>
      <c r="F4293" s="56"/>
    </row>
    <row r="4294" spans="1:6" ht="15">
      <c r="A4294" s="51">
        <v>292614</v>
      </c>
      <c r="B4294" t="s">
        <v>1101</v>
      </c>
      <c r="C4294" s="39" t="s">
        <v>1098</v>
      </c>
      <c r="D4294" t="s">
        <v>1595</v>
      </c>
      <c r="F4294" s="56"/>
    </row>
    <row r="4295" spans="1:6" ht="15">
      <c r="A4295" s="51">
        <v>292615</v>
      </c>
      <c r="B4295" t="s">
        <v>1102</v>
      </c>
      <c r="C4295" s="39" t="s">
        <v>1098</v>
      </c>
      <c r="D4295" t="s">
        <v>469</v>
      </c>
      <c r="F4295" s="56"/>
    </row>
    <row r="4296" spans="1:6" ht="15">
      <c r="A4296" s="51">
        <v>292616</v>
      </c>
      <c r="B4296" t="s">
        <v>3057</v>
      </c>
      <c r="C4296" s="39" t="s">
        <v>1098</v>
      </c>
      <c r="D4296" t="s">
        <v>471</v>
      </c>
      <c r="F4296" s="56"/>
    </row>
    <row r="4297" spans="1:6" ht="15">
      <c r="A4297" s="51">
        <v>292617</v>
      </c>
      <c r="B4297" t="s">
        <v>1259</v>
      </c>
      <c r="C4297" s="39" t="s">
        <v>1098</v>
      </c>
      <c r="D4297" t="s">
        <v>1595</v>
      </c>
      <c r="F4297" s="56"/>
    </row>
    <row r="4298" spans="1:6" ht="15">
      <c r="A4298" s="51">
        <v>292618</v>
      </c>
      <c r="B4298" t="s">
        <v>3058</v>
      </c>
      <c r="C4298" s="39" t="s">
        <v>2490</v>
      </c>
      <c r="D4298" t="s">
        <v>469</v>
      </c>
      <c r="F4298" s="56"/>
    </row>
    <row r="4299" spans="1:6" ht="15">
      <c r="A4299" s="51">
        <v>292619</v>
      </c>
      <c r="B4299" t="s">
        <v>3059</v>
      </c>
      <c r="C4299" s="39" t="s">
        <v>2490</v>
      </c>
      <c r="D4299" t="s">
        <v>471</v>
      </c>
      <c r="F4299" s="56"/>
    </row>
    <row r="4300" spans="1:6" ht="15">
      <c r="A4300" s="51">
        <v>292620</v>
      </c>
      <c r="B4300" t="s">
        <v>3060</v>
      </c>
      <c r="C4300" s="39" t="s">
        <v>2490</v>
      </c>
      <c r="D4300">
        <v>9</v>
      </c>
      <c r="F4300" s="56"/>
    </row>
    <row r="4301" spans="1:6" ht="15">
      <c r="A4301" s="51">
        <v>292621</v>
      </c>
      <c r="B4301" t="s">
        <v>3061</v>
      </c>
      <c r="C4301" s="39" t="s">
        <v>2637</v>
      </c>
      <c r="D4301">
        <v>9</v>
      </c>
      <c r="F4301" s="56"/>
    </row>
    <row r="4302" spans="1:6" ht="15">
      <c r="A4302" s="51">
        <v>292622</v>
      </c>
      <c r="B4302" t="s">
        <v>3062</v>
      </c>
      <c r="C4302" s="39" t="s">
        <v>2637</v>
      </c>
      <c r="D4302">
        <v>9</v>
      </c>
      <c r="F4302" s="56"/>
    </row>
    <row r="4303" spans="1:6" ht="15">
      <c r="A4303" s="51">
        <v>292623</v>
      </c>
      <c r="B4303" t="s">
        <v>3063</v>
      </c>
      <c r="C4303" s="39" t="s">
        <v>1107</v>
      </c>
      <c r="D4303" t="s">
        <v>4245</v>
      </c>
      <c r="F4303" s="56"/>
    </row>
    <row r="4304" spans="1:6" ht="15">
      <c r="A4304" s="51">
        <v>292624</v>
      </c>
      <c r="B4304" t="s">
        <v>2639</v>
      </c>
      <c r="C4304" s="39" t="s">
        <v>1107</v>
      </c>
      <c r="D4304" t="s">
        <v>4245</v>
      </c>
      <c r="F4304" s="56"/>
    </row>
    <row r="4305" spans="1:6" ht="15">
      <c r="A4305" s="51">
        <v>292626</v>
      </c>
      <c r="B4305" t="s">
        <v>230</v>
      </c>
      <c r="C4305" s="39" t="s">
        <v>231</v>
      </c>
      <c r="D4305" t="s">
        <v>4244</v>
      </c>
      <c r="F4305" s="56"/>
    </row>
    <row r="4306" spans="1:6" ht="15">
      <c r="A4306" s="51">
        <v>292627</v>
      </c>
      <c r="B4306" t="s">
        <v>245</v>
      </c>
      <c r="C4306" s="39" t="s">
        <v>1114</v>
      </c>
      <c r="D4306" t="s">
        <v>4246</v>
      </c>
      <c r="F4306" s="56"/>
    </row>
    <row r="4307" spans="1:6" ht="15">
      <c r="A4307" s="51">
        <v>292628</v>
      </c>
      <c r="B4307" t="s">
        <v>3064</v>
      </c>
      <c r="C4307" s="39" t="s">
        <v>1114</v>
      </c>
      <c r="D4307" t="s">
        <v>4244</v>
      </c>
      <c r="F4307" s="56"/>
    </row>
    <row r="4308" spans="1:6" ht="15">
      <c r="A4308" s="51">
        <v>292629</v>
      </c>
      <c r="B4308" t="s">
        <v>3065</v>
      </c>
      <c r="C4308" s="39" t="s">
        <v>1114</v>
      </c>
      <c r="D4308">
        <v>8</v>
      </c>
      <c r="F4308" s="56"/>
    </row>
    <row r="4309" spans="1:6" ht="15">
      <c r="A4309" s="51">
        <v>292630</v>
      </c>
      <c r="B4309" t="s">
        <v>3066</v>
      </c>
      <c r="C4309" s="39" t="s">
        <v>3067</v>
      </c>
      <c r="D4309">
        <v>9</v>
      </c>
      <c r="F4309" s="56"/>
    </row>
    <row r="4310" spans="1:6" ht="15">
      <c r="A4310" s="51">
        <v>292631</v>
      </c>
      <c r="B4310" t="s">
        <v>2899</v>
      </c>
      <c r="C4310" s="39" t="s">
        <v>1583</v>
      </c>
      <c r="D4310" t="s">
        <v>4245</v>
      </c>
      <c r="F4310" s="56"/>
    </row>
    <row r="4311" spans="1:6" ht="15">
      <c r="A4311" s="51">
        <v>292632</v>
      </c>
      <c r="B4311" t="s">
        <v>3068</v>
      </c>
      <c r="C4311" s="39" t="s">
        <v>1583</v>
      </c>
      <c r="D4311" t="s">
        <v>4244</v>
      </c>
      <c r="F4311" s="56"/>
    </row>
    <row r="4312" spans="1:6" ht="15">
      <c r="A4312" s="51">
        <v>292633</v>
      </c>
      <c r="B4312" t="s">
        <v>3069</v>
      </c>
      <c r="C4312" s="39" t="s">
        <v>1583</v>
      </c>
      <c r="D4312" t="s">
        <v>4243</v>
      </c>
      <c r="F4312" s="56"/>
    </row>
    <row r="4313" spans="1:6" ht="15">
      <c r="A4313" s="51">
        <v>292634</v>
      </c>
      <c r="B4313" t="s">
        <v>1202</v>
      </c>
      <c r="C4313" s="39" t="s">
        <v>3070</v>
      </c>
      <c r="D4313" t="s">
        <v>4246</v>
      </c>
      <c r="F4313" s="56"/>
    </row>
    <row r="4314" spans="1:6" ht="15">
      <c r="A4314" s="51">
        <v>292635</v>
      </c>
      <c r="B4314" t="s">
        <v>1115</v>
      </c>
      <c r="C4314" s="39" t="s">
        <v>3070</v>
      </c>
      <c r="D4314" t="s">
        <v>4244</v>
      </c>
      <c r="F4314" s="56"/>
    </row>
    <row r="4315" spans="1:6" ht="15">
      <c r="A4315" s="51">
        <v>292636</v>
      </c>
      <c r="B4315" t="s">
        <v>1116</v>
      </c>
      <c r="C4315" s="39" t="s">
        <v>3070</v>
      </c>
      <c r="D4315" t="s">
        <v>4243</v>
      </c>
      <c r="F4315" s="56"/>
    </row>
    <row r="4316" spans="1:6" ht="15">
      <c r="A4316" s="51">
        <v>292637</v>
      </c>
      <c r="B4316" t="s">
        <v>1206</v>
      </c>
      <c r="C4316" s="39" t="s">
        <v>1504</v>
      </c>
      <c r="D4316" t="s">
        <v>4243</v>
      </c>
      <c r="F4316" s="56"/>
    </row>
    <row r="4317" spans="1:6" ht="15">
      <c r="A4317" s="51">
        <v>292638</v>
      </c>
      <c r="B4317" t="s">
        <v>432</v>
      </c>
      <c r="C4317" s="39" t="s">
        <v>433</v>
      </c>
      <c r="D4317" t="s">
        <v>4245</v>
      </c>
      <c r="F4317" s="56"/>
    </row>
    <row r="4318" spans="1:6" ht="15">
      <c r="A4318" s="51">
        <v>292639</v>
      </c>
      <c r="B4318" t="s">
        <v>438</v>
      </c>
      <c r="C4318" s="39" t="s">
        <v>884</v>
      </c>
      <c r="D4318">
        <v>7</v>
      </c>
      <c r="F4318" s="56"/>
    </row>
    <row r="4319" spans="1:6" ht="15">
      <c r="A4319" s="51">
        <v>292640</v>
      </c>
      <c r="B4319" t="s">
        <v>273</v>
      </c>
      <c r="C4319" s="39" t="s">
        <v>274</v>
      </c>
      <c r="D4319" t="s">
        <v>4243</v>
      </c>
      <c r="F4319" s="56"/>
    </row>
    <row r="4320" spans="1:6" ht="15">
      <c r="A4320" s="51">
        <v>292641</v>
      </c>
      <c r="B4320" t="s">
        <v>74</v>
      </c>
      <c r="C4320" s="39" t="s">
        <v>274</v>
      </c>
      <c r="D4320" t="s">
        <v>4243</v>
      </c>
      <c r="F4320" s="56"/>
    </row>
    <row r="4321" spans="1:6" ht="15">
      <c r="A4321" s="51">
        <v>292642</v>
      </c>
      <c r="B4321" t="s">
        <v>75</v>
      </c>
      <c r="C4321" s="39" t="s">
        <v>274</v>
      </c>
      <c r="D4321">
        <v>7</v>
      </c>
      <c r="F4321" s="56"/>
    </row>
    <row r="4322" spans="1:6" ht="15">
      <c r="A4322" s="51">
        <v>292643</v>
      </c>
      <c r="B4322" t="s">
        <v>455</v>
      </c>
      <c r="C4322" s="39" t="s">
        <v>2907</v>
      </c>
      <c r="D4322">
        <v>8</v>
      </c>
      <c r="F4322" s="56"/>
    </row>
    <row r="4323" spans="1:6" ht="15">
      <c r="A4323" s="51">
        <v>292644</v>
      </c>
      <c r="B4323" t="s">
        <v>277</v>
      </c>
      <c r="C4323" s="39" t="s">
        <v>1134</v>
      </c>
      <c r="D4323" t="s">
        <v>4248</v>
      </c>
      <c r="F4323" s="56"/>
    </row>
    <row r="4324" spans="1:6" ht="15">
      <c r="A4324" s="51">
        <v>292645</v>
      </c>
      <c r="B4324" t="s">
        <v>279</v>
      </c>
      <c r="C4324" s="39" t="s">
        <v>1134</v>
      </c>
      <c r="D4324" t="s">
        <v>4245</v>
      </c>
      <c r="F4324" s="56"/>
    </row>
    <row r="4325" spans="1:6" ht="15">
      <c r="A4325" s="51">
        <v>292646</v>
      </c>
      <c r="B4325" t="s">
        <v>280</v>
      </c>
      <c r="C4325" s="39" t="s">
        <v>1134</v>
      </c>
      <c r="D4325" t="s">
        <v>4247</v>
      </c>
      <c r="F4325" s="56"/>
    </row>
    <row r="4326" spans="1:6" ht="15">
      <c r="A4326" s="51">
        <v>292647</v>
      </c>
      <c r="B4326" t="s">
        <v>281</v>
      </c>
      <c r="C4326" s="39" t="s">
        <v>1134</v>
      </c>
      <c r="D4326" t="s">
        <v>4243</v>
      </c>
      <c r="F4326" s="56"/>
    </row>
    <row r="4327" spans="1:6" ht="15">
      <c r="A4327" s="51">
        <v>292648</v>
      </c>
      <c r="B4327" t="s">
        <v>2770</v>
      </c>
      <c r="C4327" s="39" t="s">
        <v>2270</v>
      </c>
      <c r="D4327" t="s">
        <v>4243</v>
      </c>
      <c r="F4327" s="56"/>
    </row>
    <row r="4328" spans="1:6" ht="15">
      <c r="A4328" s="51">
        <v>292649</v>
      </c>
      <c r="B4328" t="s">
        <v>2510</v>
      </c>
      <c r="C4328" s="39" t="s">
        <v>1137</v>
      </c>
      <c r="D4328">
        <v>7</v>
      </c>
      <c r="F4328" s="56"/>
    </row>
    <row r="4329" spans="1:6" ht="15">
      <c r="A4329" s="51">
        <v>292650</v>
      </c>
      <c r="B4329" t="s">
        <v>1139</v>
      </c>
      <c r="C4329" s="39" t="s">
        <v>278</v>
      </c>
      <c r="D4329" t="s">
        <v>468</v>
      </c>
      <c r="F4329" s="56"/>
    </row>
    <row r="4330" spans="1:6" ht="15">
      <c r="A4330" s="51">
        <v>292651</v>
      </c>
      <c r="B4330" t="s">
        <v>1140</v>
      </c>
      <c r="C4330" s="39" t="s">
        <v>278</v>
      </c>
      <c r="D4330" t="s">
        <v>468</v>
      </c>
      <c r="F4330" s="56"/>
    </row>
    <row r="4331" spans="1:6" ht="15">
      <c r="A4331" s="51">
        <v>292652</v>
      </c>
      <c r="B4331" t="s">
        <v>288</v>
      </c>
      <c r="C4331" s="39" t="s">
        <v>278</v>
      </c>
      <c r="D4331" t="s">
        <v>469</v>
      </c>
      <c r="F4331" s="56"/>
    </row>
    <row r="4332" spans="1:6" ht="15">
      <c r="A4332" s="51">
        <v>292653</v>
      </c>
      <c r="B4332" t="s">
        <v>1516</v>
      </c>
      <c r="C4332" s="39" t="s">
        <v>283</v>
      </c>
      <c r="D4332">
        <v>8</v>
      </c>
      <c r="F4332" s="56"/>
    </row>
    <row r="4333" spans="1:6" ht="15">
      <c r="A4333" s="51">
        <v>292655</v>
      </c>
      <c r="B4333" t="s">
        <v>3071</v>
      </c>
      <c r="C4333" s="39" t="s">
        <v>3072</v>
      </c>
      <c r="D4333" t="s">
        <v>1595</v>
      </c>
      <c r="F4333" s="56"/>
    </row>
    <row r="4334" spans="1:6" ht="15">
      <c r="A4334" s="51">
        <v>292656</v>
      </c>
      <c r="B4334" t="s">
        <v>3073</v>
      </c>
      <c r="C4334" s="39" t="s">
        <v>3074</v>
      </c>
      <c r="D4334" t="s">
        <v>4243</v>
      </c>
      <c r="F4334" s="56"/>
    </row>
    <row r="4335" spans="1:6" ht="15">
      <c r="A4335" s="51">
        <v>292657</v>
      </c>
      <c r="B4335" t="s">
        <v>969</v>
      </c>
      <c r="C4335" s="39" t="s">
        <v>835</v>
      </c>
      <c r="D4335">
        <v>9</v>
      </c>
      <c r="F4335" s="56"/>
    </row>
    <row r="4336" spans="1:6" ht="15">
      <c r="A4336" s="51">
        <v>292658</v>
      </c>
      <c r="B4336" t="s">
        <v>319</v>
      </c>
      <c r="C4336" s="39" t="s">
        <v>971</v>
      </c>
      <c r="D4336" t="s">
        <v>4246</v>
      </c>
      <c r="F4336" s="56"/>
    </row>
    <row r="4337" spans="1:6" ht="15">
      <c r="A4337" s="51">
        <v>292659</v>
      </c>
      <c r="B4337" t="s">
        <v>321</v>
      </c>
      <c r="C4337" s="39" t="s">
        <v>971</v>
      </c>
      <c r="D4337" t="s">
        <v>4246</v>
      </c>
      <c r="F4337" s="56"/>
    </row>
    <row r="4338" spans="1:6" ht="15">
      <c r="A4338" s="51">
        <v>292660</v>
      </c>
      <c r="B4338" t="s">
        <v>1787</v>
      </c>
      <c r="C4338" s="39" t="s">
        <v>971</v>
      </c>
      <c r="D4338" t="s">
        <v>4246</v>
      </c>
      <c r="F4338" s="56"/>
    </row>
    <row r="4339" spans="1:6" ht="15">
      <c r="A4339" s="51">
        <v>292661</v>
      </c>
      <c r="B4339" t="s">
        <v>2796</v>
      </c>
      <c r="C4339" s="39" t="s">
        <v>971</v>
      </c>
      <c r="D4339" t="s">
        <v>4244</v>
      </c>
      <c r="F4339" s="56"/>
    </row>
    <row r="4340" spans="1:6" ht="15">
      <c r="A4340" s="51">
        <v>292662</v>
      </c>
      <c r="B4340" t="s">
        <v>1788</v>
      </c>
      <c r="C4340" s="39" t="s">
        <v>1352</v>
      </c>
      <c r="D4340" t="s">
        <v>469</v>
      </c>
      <c r="F4340" s="56"/>
    </row>
    <row r="4341" spans="1:6" ht="15">
      <c r="A4341" s="51">
        <v>292663</v>
      </c>
      <c r="B4341" t="s">
        <v>975</v>
      </c>
      <c r="C4341" s="39" t="s">
        <v>536</v>
      </c>
      <c r="D4341" t="s">
        <v>4246</v>
      </c>
      <c r="F4341" s="56"/>
    </row>
    <row r="4342" spans="1:6" ht="15">
      <c r="A4342" s="51">
        <v>292664</v>
      </c>
      <c r="B4342" t="s">
        <v>323</v>
      </c>
      <c r="C4342" s="39" t="s">
        <v>536</v>
      </c>
      <c r="D4342" t="s">
        <v>4247</v>
      </c>
      <c r="F4342" s="56"/>
    </row>
    <row r="4343" spans="1:6" ht="15">
      <c r="A4343" s="51">
        <v>292665</v>
      </c>
      <c r="B4343" t="s">
        <v>836</v>
      </c>
      <c r="C4343" s="39" t="s">
        <v>536</v>
      </c>
      <c r="D4343" t="s">
        <v>4243</v>
      </c>
      <c r="F4343" s="56"/>
    </row>
    <row r="4344" spans="1:6" ht="15">
      <c r="A4344" s="51">
        <v>292666</v>
      </c>
      <c r="B4344" t="s">
        <v>1232</v>
      </c>
      <c r="C4344" s="39" t="s">
        <v>2454</v>
      </c>
      <c r="D4344" t="s">
        <v>4247</v>
      </c>
      <c r="F4344" s="56"/>
    </row>
    <row r="4345" spans="1:6" ht="15">
      <c r="A4345" s="51">
        <v>292667</v>
      </c>
      <c r="B4345" t="s">
        <v>2453</v>
      </c>
      <c r="C4345" s="39" t="s">
        <v>2454</v>
      </c>
      <c r="D4345" t="s">
        <v>4243</v>
      </c>
      <c r="F4345" s="56"/>
    </row>
    <row r="4346" spans="1:6" ht="15">
      <c r="A4346" s="51">
        <v>292668</v>
      </c>
      <c r="B4346" t="s">
        <v>3075</v>
      </c>
      <c r="C4346" s="39" t="s">
        <v>3076</v>
      </c>
      <c r="D4346">
        <v>9</v>
      </c>
      <c r="F4346" s="56"/>
    </row>
    <row r="4347" spans="1:6" ht="15">
      <c r="A4347" s="51">
        <v>292669</v>
      </c>
      <c r="B4347" t="s">
        <v>1353</v>
      </c>
      <c r="C4347" s="39" t="s">
        <v>312</v>
      </c>
      <c r="D4347" t="s">
        <v>471</v>
      </c>
      <c r="F4347" s="56"/>
    </row>
    <row r="4348" spans="1:6" ht="15">
      <c r="A4348" s="51">
        <v>292670</v>
      </c>
      <c r="B4348" t="s">
        <v>1145</v>
      </c>
      <c r="C4348" s="39" t="s">
        <v>1796</v>
      </c>
      <c r="D4348" t="s">
        <v>4244</v>
      </c>
      <c r="F4348" s="56"/>
    </row>
    <row r="4349" spans="1:6" ht="15">
      <c r="A4349" s="51">
        <v>292671</v>
      </c>
      <c r="B4349" t="s">
        <v>338</v>
      </c>
      <c r="C4349" s="39" t="s">
        <v>99</v>
      </c>
      <c r="D4349">
        <v>7</v>
      </c>
      <c r="F4349" s="56"/>
    </row>
    <row r="4350" spans="1:6" ht="15">
      <c r="A4350" s="51">
        <v>292672</v>
      </c>
      <c r="B4350" t="s">
        <v>339</v>
      </c>
      <c r="C4350" s="39" t="s">
        <v>1797</v>
      </c>
      <c r="D4350" t="s">
        <v>4245</v>
      </c>
      <c r="F4350" s="56"/>
    </row>
    <row r="4351" spans="1:6" ht="15">
      <c r="A4351" s="51">
        <v>292673</v>
      </c>
      <c r="B4351" t="s">
        <v>340</v>
      </c>
      <c r="C4351" s="39" t="s">
        <v>1797</v>
      </c>
      <c r="D4351" t="s">
        <v>4246</v>
      </c>
      <c r="F4351" s="56"/>
    </row>
    <row r="4352" spans="1:6" ht="15">
      <c r="A4352" s="51">
        <v>292674</v>
      </c>
      <c r="B4352" t="s">
        <v>1366</v>
      </c>
      <c r="C4352" s="39" t="s">
        <v>999</v>
      </c>
      <c r="D4352" t="s">
        <v>468</v>
      </c>
      <c r="F4352" s="56"/>
    </row>
    <row r="4353" spans="1:6" ht="15">
      <c r="A4353" s="51">
        <v>292675</v>
      </c>
      <c r="B4353" t="s">
        <v>341</v>
      </c>
      <c r="C4353" s="39" t="s">
        <v>999</v>
      </c>
      <c r="D4353" t="s">
        <v>468</v>
      </c>
      <c r="F4353" s="56"/>
    </row>
    <row r="4354" spans="1:6" ht="15">
      <c r="A4354" s="51">
        <v>292676</v>
      </c>
      <c r="B4354" t="s">
        <v>109</v>
      </c>
      <c r="C4354" s="39" t="s">
        <v>547</v>
      </c>
      <c r="D4354" t="s">
        <v>4244</v>
      </c>
      <c r="F4354" s="56"/>
    </row>
    <row r="4355" spans="1:6" ht="15">
      <c r="A4355" s="51">
        <v>292677</v>
      </c>
      <c r="B4355" t="s">
        <v>111</v>
      </c>
      <c r="C4355" s="39" t="s">
        <v>547</v>
      </c>
      <c r="D4355" t="s">
        <v>4244</v>
      </c>
      <c r="F4355" s="56"/>
    </row>
    <row r="4356" spans="1:6" ht="15">
      <c r="A4356" s="51">
        <v>292678</v>
      </c>
      <c r="B4356" t="s">
        <v>1242</v>
      </c>
      <c r="C4356" s="39" t="s">
        <v>346</v>
      </c>
      <c r="D4356" t="s">
        <v>4246</v>
      </c>
      <c r="F4356" s="56"/>
    </row>
    <row r="4357" spans="1:6" ht="15">
      <c r="A4357" s="51">
        <v>292679</v>
      </c>
      <c r="B4357" t="s">
        <v>344</v>
      </c>
      <c r="C4357" s="39" t="s">
        <v>346</v>
      </c>
      <c r="D4357" t="s">
        <v>4246</v>
      </c>
      <c r="F4357" s="56"/>
    </row>
    <row r="4358" spans="1:6" ht="15">
      <c r="A4358" s="51">
        <v>292680</v>
      </c>
      <c r="B4358" t="s">
        <v>1155</v>
      </c>
      <c r="C4358" s="39" t="s">
        <v>346</v>
      </c>
      <c r="D4358" t="s">
        <v>4244</v>
      </c>
      <c r="F4358" s="56"/>
    </row>
    <row r="4359" spans="1:6" ht="15">
      <c r="A4359" s="51">
        <v>292681</v>
      </c>
      <c r="B4359" t="s">
        <v>345</v>
      </c>
      <c r="C4359" s="39" t="s">
        <v>542</v>
      </c>
      <c r="D4359" t="s">
        <v>4245</v>
      </c>
      <c r="F4359" s="56"/>
    </row>
    <row r="4360" spans="1:6" ht="15">
      <c r="A4360" s="51">
        <v>292682</v>
      </c>
      <c r="B4360" t="s">
        <v>347</v>
      </c>
      <c r="C4360" s="39" t="s">
        <v>542</v>
      </c>
      <c r="D4360" t="s">
        <v>4246</v>
      </c>
      <c r="F4360" s="56"/>
    </row>
    <row r="4361" spans="1:6" ht="15">
      <c r="A4361" s="51">
        <v>292683</v>
      </c>
      <c r="B4361" t="s">
        <v>1371</v>
      </c>
      <c r="C4361" s="39" t="s">
        <v>542</v>
      </c>
      <c r="D4361" t="s">
        <v>4247</v>
      </c>
      <c r="F4361" s="56"/>
    </row>
    <row r="4362" spans="1:6" ht="15">
      <c r="A4362" s="51">
        <v>292684</v>
      </c>
      <c r="B4362" t="s">
        <v>2188</v>
      </c>
      <c r="C4362" s="39" t="s">
        <v>542</v>
      </c>
      <c r="D4362" t="s">
        <v>4245</v>
      </c>
      <c r="F4362" s="56"/>
    </row>
    <row r="4363" spans="1:6" ht="15">
      <c r="A4363" s="51">
        <v>292685</v>
      </c>
      <c r="B4363" t="s">
        <v>1005</v>
      </c>
      <c r="C4363" s="39" t="s">
        <v>542</v>
      </c>
      <c r="D4363" t="s">
        <v>4246</v>
      </c>
      <c r="F4363" s="56"/>
    </row>
    <row r="4364" spans="1:6" ht="15">
      <c r="A4364" s="51">
        <v>292686</v>
      </c>
      <c r="B4364" t="s">
        <v>350</v>
      </c>
      <c r="C4364" s="39" t="s">
        <v>349</v>
      </c>
      <c r="D4364" t="s">
        <v>4247</v>
      </c>
      <c r="F4364" s="56"/>
    </row>
    <row r="4365" spans="1:6" ht="15">
      <c r="A4365" s="51">
        <v>292687</v>
      </c>
      <c r="B4365" t="s">
        <v>351</v>
      </c>
      <c r="C4365" s="39" t="s">
        <v>349</v>
      </c>
      <c r="D4365" t="s">
        <v>4243</v>
      </c>
      <c r="F4365" s="56"/>
    </row>
    <row r="4366" spans="1:6" ht="15">
      <c r="A4366" s="51">
        <v>292688</v>
      </c>
      <c r="B4366" t="s">
        <v>3077</v>
      </c>
      <c r="C4366" s="39" t="s">
        <v>349</v>
      </c>
      <c r="D4366">
        <v>7</v>
      </c>
      <c r="F4366" s="56"/>
    </row>
    <row r="4367" spans="1:6" ht="15">
      <c r="A4367" s="51">
        <v>292689</v>
      </c>
      <c r="B4367" t="s">
        <v>2611</v>
      </c>
      <c r="C4367" s="39" t="s">
        <v>355</v>
      </c>
      <c r="D4367" t="s">
        <v>4247</v>
      </c>
      <c r="F4367" s="56"/>
    </row>
    <row r="4368" spans="1:6" ht="15">
      <c r="A4368" s="51">
        <v>292690</v>
      </c>
      <c r="B4368" t="s">
        <v>852</v>
      </c>
      <c r="C4368" s="39" t="s">
        <v>851</v>
      </c>
      <c r="D4368">
        <v>9</v>
      </c>
      <c r="F4368" s="56"/>
    </row>
    <row r="4369" spans="1:6" ht="15">
      <c r="A4369" s="51">
        <v>292691</v>
      </c>
      <c r="B4369" t="s">
        <v>1010</v>
      </c>
      <c r="C4369" s="39" t="s">
        <v>781</v>
      </c>
      <c r="D4369" t="s">
        <v>4245</v>
      </c>
      <c r="F4369" s="56"/>
    </row>
    <row r="4370" spans="1:6" ht="15">
      <c r="A4370" s="51">
        <v>292692</v>
      </c>
      <c r="B4370" t="s">
        <v>1011</v>
      </c>
      <c r="C4370" s="39" t="s">
        <v>781</v>
      </c>
      <c r="D4370" t="s">
        <v>4244</v>
      </c>
      <c r="F4370" s="56"/>
    </row>
    <row r="4371" spans="1:6" ht="15">
      <c r="A4371" s="51">
        <v>292693</v>
      </c>
      <c r="B4371" t="s">
        <v>1012</v>
      </c>
      <c r="C4371" s="39" t="s">
        <v>781</v>
      </c>
      <c r="D4371" t="s">
        <v>4243</v>
      </c>
      <c r="F4371" s="56"/>
    </row>
    <row r="4372" spans="1:6" ht="15">
      <c r="A4372" s="51">
        <v>292694</v>
      </c>
      <c r="B4372" t="s">
        <v>129</v>
      </c>
      <c r="C4372" s="39" t="s">
        <v>130</v>
      </c>
      <c r="D4372" t="s">
        <v>4243</v>
      </c>
      <c r="F4372" s="56"/>
    </row>
    <row r="4373" spans="1:6" ht="15">
      <c r="A4373" s="51">
        <v>1531642</v>
      </c>
      <c r="B4373" t="s">
        <v>3078</v>
      </c>
      <c r="C4373" s="39" t="s">
        <v>1360</v>
      </c>
      <c r="D4373">
        <v>8</v>
      </c>
      <c r="F4373" s="56"/>
    </row>
    <row r="4374" spans="1:6" ht="15">
      <c r="A4374" s="51">
        <v>292695</v>
      </c>
      <c r="B4374" t="s">
        <v>1014</v>
      </c>
      <c r="C4374" s="39" t="s">
        <v>433</v>
      </c>
      <c r="D4374" t="s">
        <v>4245</v>
      </c>
      <c r="F4374" s="56"/>
    </row>
    <row r="4375" spans="1:6" ht="15">
      <c r="A4375" s="51">
        <v>292696</v>
      </c>
      <c r="B4375" t="s">
        <v>358</v>
      </c>
      <c r="C4375" s="39" t="s">
        <v>362</v>
      </c>
      <c r="D4375" t="s">
        <v>4247</v>
      </c>
      <c r="F4375" s="56"/>
    </row>
    <row r="4376" spans="1:6" ht="15">
      <c r="A4376" s="51">
        <v>292697</v>
      </c>
      <c r="B4376" t="s">
        <v>360</v>
      </c>
      <c r="C4376" s="39" t="s">
        <v>362</v>
      </c>
      <c r="D4376" t="s">
        <v>4247</v>
      </c>
      <c r="F4376" s="56"/>
    </row>
    <row r="4377" spans="1:6" ht="15">
      <c r="A4377" s="51">
        <v>292698</v>
      </c>
      <c r="B4377" t="s">
        <v>1025</v>
      </c>
      <c r="C4377" s="39" t="s">
        <v>1026</v>
      </c>
      <c r="D4377" t="s">
        <v>4249</v>
      </c>
      <c r="F4377" s="56"/>
    </row>
    <row r="4378" spans="1:6" ht="15">
      <c r="A4378" s="51">
        <v>292699</v>
      </c>
      <c r="B4378" t="s">
        <v>1027</v>
      </c>
      <c r="C4378" s="39" t="s">
        <v>1028</v>
      </c>
      <c r="D4378" t="s">
        <v>4245</v>
      </c>
      <c r="F4378" s="56"/>
    </row>
    <row r="4379" spans="1:6" ht="15">
      <c r="A4379" s="51">
        <v>292700</v>
      </c>
      <c r="B4379" t="s">
        <v>1029</v>
      </c>
      <c r="C4379" s="39" t="s">
        <v>1028</v>
      </c>
      <c r="D4379" t="s">
        <v>4246</v>
      </c>
      <c r="F4379" s="56"/>
    </row>
    <row r="4380" spans="1:6" ht="15">
      <c r="A4380" s="51">
        <v>292701</v>
      </c>
      <c r="B4380" t="s">
        <v>1175</v>
      </c>
      <c r="C4380" s="39" t="s">
        <v>373</v>
      </c>
      <c r="D4380" t="s">
        <v>4248</v>
      </c>
      <c r="F4380" s="56"/>
    </row>
    <row r="4381" spans="1:6" ht="15">
      <c r="A4381" s="51">
        <v>292702</v>
      </c>
      <c r="B4381" t="s">
        <v>372</v>
      </c>
      <c r="C4381" s="39" t="s">
        <v>896</v>
      </c>
      <c r="D4381">
        <v>8</v>
      </c>
      <c r="F4381" s="56"/>
    </row>
    <row r="4382" spans="1:6" ht="15">
      <c r="A4382" s="51">
        <v>292703</v>
      </c>
      <c r="B4382" t="s">
        <v>2718</v>
      </c>
      <c r="C4382" s="39" t="s">
        <v>373</v>
      </c>
      <c r="D4382" t="s">
        <v>4248</v>
      </c>
      <c r="F4382" s="56"/>
    </row>
    <row r="4383" spans="1:6" ht="15">
      <c r="A4383" s="51">
        <v>292704</v>
      </c>
      <c r="B4383" t="s">
        <v>2842</v>
      </c>
      <c r="C4383" s="39" t="s">
        <v>1035</v>
      </c>
      <c r="D4383" t="s">
        <v>1595</v>
      </c>
      <c r="F4383" s="56"/>
    </row>
    <row r="4384" spans="1:6" ht="15">
      <c r="A4384" s="51">
        <v>292705</v>
      </c>
      <c r="B4384" t="s">
        <v>2843</v>
      </c>
      <c r="C4384" s="39" t="s">
        <v>1035</v>
      </c>
      <c r="D4384" t="s">
        <v>1595</v>
      </c>
      <c r="F4384" s="56"/>
    </row>
    <row r="4385" spans="1:6" ht="15">
      <c r="A4385" s="51">
        <v>292706</v>
      </c>
      <c r="B4385" t="s">
        <v>1034</v>
      </c>
      <c r="C4385" s="39" t="s">
        <v>1035</v>
      </c>
      <c r="D4385" t="s">
        <v>1595</v>
      </c>
      <c r="F4385" s="56"/>
    </row>
    <row r="4386" spans="1:6" ht="15">
      <c r="A4386" s="51">
        <v>292707</v>
      </c>
      <c r="B4386" t="s">
        <v>1036</v>
      </c>
      <c r="C4386" s="39" t="s">
        <v>1035</v>
      </c>
      <c r="D4386" t="s">
        <v>1595</v>
      </c>
      <c r="F4386" s="56"/>
    </row>
    <row r="4387" spans="1:6" ht="15">
      <c r="A4387" s="51">
        <v>292708</v>
      </c>
      <c r="B4387" t="s">
        <v>2618</v>
      </c>
      <c r="C4387" s="39" t="s">
        <v>3079</v>
      </c>
      <c r="D4387" t="s">
        <v>468</v>
      </c>
      <c r="F4387" s="56"/>
    </row>
    <row r="4388" spans="1:6" ht="15">
      <c r="A4388" s="51">
        <v>292709</v>
      </c>
      <c r="B4388" t="s">
        <v>2007</v>
      </c>
      <c r="C4388" s="39" t="s">
        <v>3079</v>
      </c>
      <c r="D4388" t="s">
        <v>468</v>
      </c>
      <c r="F4388" s="56"/>
    </row>
    <row r="4389" spans="1:6" ht="15">
      <c r="A4389" s="51">
        <v>292710</v>
      </c>
      <c r="B4389" t="s">
        <v>150</v>
      </c>
      <c r="C4389" s="39" t="s">
        <v>151</v>
      </c>
      <c r="D4389" t="s">
        <v>1595</v>
      </c>
      <c r="F4389" s="56"/>
    </row>
    <row r="4390" spans="1:6" ht="15">
      <c r="A4390" s="51">
        <v>292711</v>
      </c>
      <c r="B4390" t="s">
        <v>152</v>
      </c>
      <c r="C4390" s="39" t="s">
        <v>151</v>
      </c>
      <c r="D4390" t="s">
        <v>469</v>
      </c>
      <c r="F4390" s="56"/>
    </row>
    <row r="4391" spans="1:6" ht="15">
      <c r="A4391" s="51">
        <v>292712</v>
      </c>
      <c r="B4391" t="s">
        <v>376</v>
      </c>
      <c r="C4391" s="39" t="s">
        <v>151</v>
      </c>
      <c r="D4391" t="s">
        <v>1595</v>
      </c>
      <c r="F4391" s="56"/>
    </row>
    <row r="4392" spans="1:6" ht="15">
      <c r="A4392" s="51">
        <v>292713</v>
      </c>
      <c r="B4392" t="s">
        <v>377</v>
      </c>
      <c r="C4392" s="39" t="s">
        <v>151</v>
      </c>
      <c r="D4392" t="s">
        <v>468</v>
      </c>
      <c r="F4392" s="56"/>
    </row>
    <row r="4393" spans="1:6" ht="15">
      <c r="A4393" s="51">
        <v>292714</v>
      </c>
      <c r="B4393" t="s">
        <v>379</v>
      </c>
      <c r="C4393" s="39" t="s">
        <v>380</v>
      </c>
      <c r="D4393" t="s">
        <v>4246</v>
      </c>
      <c r="F4393" s="56"/>
    </row>
    <row r="4394" spans="1:6" ht="15">
      <c r="A4394" s="51">
        <v>292715</v>
      </c>
      <c r="B4394" t="s">
        <v>3080</v>
      </c>
      <c r="C4394" s="39" t="s">
        <v>1042</v>
      </c>
      <c r="D4394" t="s">
        <v>4247</v>
      </c>
      <c r="F4394" s="56"/>
    </row>
    <row r="4395" spans="1:6" ht="15">
      <c r="A4395" s="51">
        <v>292716</v>
      </c>
      <c r="B4395" t="s">
        <v>160</v>
      </c>
      <c r="C4395" s="39" t="s">
        <v>2630</v>
      </c>
      <c r="D4395" t="s">
        <v>4247</v>
      </c>
      <c r="F4395" s="56"/>
    </row>
    <row r="4396" spans="1:6" ht="15">
      <c r="A4396" s="51">
        <v>292717</v>
      </c>
      <c r="B4396" t="s">
        <v>1049</v>
      </c>
      <c r="C4396" s="39" t="s">
        <v>1050</v>
      </c>
      <c r="D4396">
        <v>9</v>
      </c>
      <c r="F4396" s="56"/>
    </row>
    <row r="4397" spans="1:6" ht="15">
      <c r="A4397" s="51">
        <v>292718</v>
      </c>
      <c r="B4397" t="s">
        <v>1053</v>
      </c>
      <c r="C4397" s="39" t="s">
        <v>1052</v>
      </c>
      <c r="D4397" t="s">
        <v>4243</v>
      </c>
      <c r="F4397" s="56"/>
    </row>
    <row r="4398" spans="1:6" ht="15">
      <c r="A4398" s="51">
        <v>292719</v>
      </c>
      <c r="B4398" t="s">
        <v>2631</v>
      </c>
      <c r="C4398" s="39" t="s">
        <v>1052</v>
      </c>
      <c r="D4398" t="s">
        <v>4243</v>
      </c>
      <c r="F4398" s="56"/>
    </row>
    <row r="4399" spans="1:6" ht="15">
      <c r="A4399" s="51">
        <v>292720</v>
      </c>
      <c r="B4399" t="s">
        <v>3043</v>
      </c>
      <c r="C4399" s="39" t="s">
        <v>955</v>
      </c>
      <c r="D4399">
        <v>7</v>
      </c>
      <c r="F4399" s="56"/>
    </row>
    <row r="4400" spans="1:6" ht="15">
      <c r="A4400" s="51">
        <v>292721</v>
      </c>
      <c r="B4400" t="s">
        <v>2018</v>
      </c>
      <c r="C4400" s="39" t="s">
        <v>177</v>
      </c>
      <c r="D4400" t="s">
        <v>1595</v>
      </c>
      <c r="F4400" s="56"/>
    </row>
    <row r="4401" spans="1:6" ht="15">
      <c r="A4401" s="51">
        <v>292722</v>
      </c>
      <c r="B4401" t="s">
        <v>1063</v>
      </c>
      <c r="C4401" s="39" t="s">
        <v>177</v>
      </c>
      <c r="D4401" t="s">
        <v>468</v>
      </c>
      <c r="F4401" s="56"/>
    </row>
    <row r="4402" spans="1:6" ht="15">
      <c r="A4402" s="51">
        <v>292723</v>
      </c>
      <c r="B4402" t="s">
        <v>179</v>
      </c>
      <c r="C4402" s="39" t="s">
        <v>3081</v>
      </c>
      <c r="D4402" t="s">
        <v>468</v>
      </c>
      <c r="F4402" s="56"/>
    </row>
    <row r="4403" spans="1:6" ht="15">
      <c r="A4403" s="51">
        <v>292724</v>
      </c>
      <c r="B4403" t="s">
        <v>3082</v>
      </c>
      <c r="C4403" s="39" t="s">
        <v>2633</v>
      </c>
      <c r="D4403" t="s">
        <v>4244</v>
      </c>
      <c r="F4403" s="56"/>
    </row>
    <row r="4404" spans="1:6" ht="15">
      <c r="A4404" s="51">
        <v>292725</v>
      </c>
      <c r="B4404" t="s">
        <v>182</v>
      </c>
      <c r="C4404" s="39" t="s">
        <v>183</v>
      </c>
      <c r="D4404">
        <v>7</v>
      </c>
      <c r="F4404" s="56"/>
    </row>
    <row r="4405" spans="1:6" ht="15">
      <c r="A4405" s="51">
        <v>292726</v>
      </c>
      <c r="B4405" t="s">
        <v>393</v>
      </c>
      <c r="C4405" s="39" t="s">
        <v>394</v>
      </c>
      <c r="D4405">
        <v>7</v>
      </c>
      <c r="F4405" s="56"/>
    </row>
    <row r="4406" spans="1:6" ht="15">
      <c r="A4406" s="51">
        <v>292727</v>
      </c>
      <c r="B4406" t="s">
        <v>1070</v>
      </c>
      <c r="C4406" s="39" t="s">
        <v>862</v>
      </c>
      <c r="D4406">
        <v>9</v>
      </c>
      <c r="F4406" s="56"/>
    </row>
    <row r="4407" spans="1:6" ht="15">
      <c r="A4407" s="51">
        <v>292728</v>
      </c>
      <c r="B4407" t="s">
        <v>2023</v>
      </c>
      <c r="C4407" s="39" t="s">
        <v>1437</v>
      </c>
      <c r="D4407" t="s">
        <v>4248</v>
      </c>
      <c r="F4407" s="56"/>
    </row>
    <row r="4408" spans="1:6" ht="15">
      <c r="A4408" s="51">
        <v>292729</v>
      </c>
      <c r="B4408" t="s">
        <v>1186</v>
      </c>
      <c r="C4408" s="39" t="s">
        <v>1437</v>
      </c>
      <c r="D4408" t="s">
        <v>4245</v>
      </c>
      <c r="F4408" s="56"/>
    </row>
    <row r="4409" spans="1:6" ht="15">
      <c r="A4409" s="51">
        <v>292730</v>
      </c>
      <c r="B4409" t="s">
        <v>1187</v>
      </c>
      <c r="C4409" s="39" t="s">
        <v>1437</v>
      </c>
      <c r="D4409" t="s">
        <v>4244</v>
      </c>
      <c r="F4409" s="56"/>
    </row>
    <row r="4410" spans="1:6" ht="15">
      <c r="A4410" s="51">
        <v>292731</v>
      </c>
      <c r="B4410" t="s">
        <v>69</v>
      </c>
      <c r="C4410" s="39" t="s">
        <v>1437</v>
      </c>
      <c r="D4410">
        <v>8</v>
      </c>
      <c r="F4410" s="56"/>
    </row>
    <row r="4411" spans="1:6" ht="15">
      <c r="A4411" s="51">
        <v>292732</v>
      </c>
      <c r="B4411" t="s">
        <v>861</v>
      </c>
      <c r="C4411" s="39" t="s">
        <v>1442</v>
      </c>
      <c r="D4411" t="s">
        <v>4244</v>
      </c>
      <c r="F4411" s="56"/>
    </row>
    <row r="4412" spans="1:6" ht="15">
      <c r="A4412" s="51">
        <v>292733</v>
      </c>
      <c r="B4412" t="s">
        <v>1190</v>
      </c>
      <c r="C4412" s="39" t="s">
        <v>908</v>
      </c>
      <c r="D4412" t="s">
        <v>4244</v>
      </c>
      <c r="F4412" s="56"/>
    </row>
    <row r="4413" spans="1:6" ht="15">
      <c r="A4413" s="51">
        <v>292734</v>
      </c>
      <c r="B4413" t="s">
        <v>1073</v>
      </c>
      <c r="C4413" s="39" t="s">
        <v>1074</v>
      </c>
      <c r="D4413" t="s">
        <v>4243</v>
      </c>
      <c r="F4413" s="56"/>
    </row>
    <row r="4414" spans="1:6" ht="15">
      <c r="A4414" s="51">
        <v>292735</v>
      </c>
      <c r="B4414" t="s">
        <v>872</v>
      </c>
      <c r="C4414" s="39" t="s">
        <v>1075</v>
      </c>
      <c r="D4414" t="s">
        <v>4243</v>
      </c>
      <c r="F4414" s="56"/>
    </row>
    <row r="4415" spans="1:6" ht="15">
      <c r="A4415" s="51">
        <v>292736</v>
      </c>
      <c r="B4415" t="s">
        <v>1838</v>
      </c>
      <c r="C4415" s="39" t="s">
        <v>561</v>
      </c>
      <c r="D4415" t="s">
        <v>4247</v>
      </c>
      <c r="F4415" s="56"/>
    </row>
    <row r="4416" spans="1:6" ht="15">
      <c r="A4416" s="51">
        <v>292737</v>
      </c>
      <c r="B4416" t="s">
        <v>1670</v>
      </c>
      <c r="C4416" s="39" t="s">
        <v>561</v>
      </c>
      <c r="D4416" t="s">
        <v>4247</v>
      </c>
      <c r="F4416" s="56"/>
    </row>
    <row r="4417" spans="1:6" ht="15">
      <c r="A4417" s="51">
        <v>292738</v>
      </c>
      <c r="B4417" t="s">
        <v>1079</v>
      </c>
      <c r="C4417" s="39" t="s">
        <v>1080</v>
      </c>
      <c r="D4417" t="s">
        <v>4244</v>
      </c>
      <c r="F4417" s="56"/>
    </row>
    <row r="4418" spans="1:6" ht="15">
      <c r="A4418" s="51">
        <v>292739</v>
      </c>
      <c r="B4418" t="s">
        <v>1081</v>
      </c>
      <c r="C4418" s="39" t="s">
        <v>1080</v>
      </c>
      <c r="D4418" t="s">
        <v>4244</v>
      </c>
      <c r="F4418" s="56"/>
    </row>
    <row r="4419" spans="1:6" ht="15">
      <c r="A4419" s="51">
        <v>292740</v>
      </c>
      <c r="B4419" t="s">
        <v>1082</v>
      </c>
      <c r="C4419" s="39" t="s">
        <v>1083</v>
      </c>
      <c r="D4419" t="s">
        <v>1595</v>
      </c>
      <c r="F4419" s="56"/>
    </row>
    <row r="4420" spans="1:6" ht="15">
      <c r="A4420" s="51">
        <v>292741</v>
      </c>
      <c r="B4420" t="s">
        <v>1084</v>
      </c>
      <c r="C4420" s="39" t="s">
        <v>1083</v>
      </c>
      <c r="D4420" t="s">
        <v>469</v>
      </c>
      <c r="F4420" s="56"/>
    </row>
    <row r="4421" spans="1:6" ht="15">
      <c r="A4421" s="51">
        <v>292742</v>
      </c>
      <c r="B4421" t="s">
        <v>1085</v>
      </c>
      <c r="C4421" s="39" t="s">
        <v>1083</v>
      </c>
      <c r="D4421" t="s">
        <v>1595</v>
      </c>
      <c r="F4421" s="56"/>
    </row>
    <row r="4422" spans="1:6" ht="15">
      <c r="A4422" s="51">
        <v>292743</v>
      </c>
      <c r="B4422" t="s">
        <v>1086</v>
      </c>
      <c r="C4422" s="39" t="s">
        <v>1083</v>
      </c>
      <c r="D4422" t="s">
        <v>469</v>
      </c>
      <c r="F4422" s="56"/>
    </row>
    <row r="4423" spans="1:6" ht="15">
      <c r="A4423" s="51">
        <v>292745</v>
      </c>
      <c r="B4423" t="s">
        <v>3083</v>
      </c>
      <c r="C4423" s="39" t="s">
        <v>1083</v>
      </c>
      <c r="D4423" t="s">
        <v>471</v>
      </c>
      <c r="F4423" s="56"/>
    </row>
    <row r="4424" spans="1:6" ht="15">
      <c r="A4424" s="51">
        <v>292746</v>
      </c>
      <c r="B4424" t="s">
        <v>3084</v>
      </c>
      <c r="C4424" s="39" t="s">
        <v>1083</v>
      </c>
      <c r="D4424">
        <v>9</v>
      </c>
      <c r="F4424" s="56"/>
    </row>
    <row r="4425" spans="1:6" ht="15">
      <c r="A4425" s="51">
        <v>292747</v>
      </c>
      <c r="B4425" t="s">
        <v>219</v>
      </c>
      <c r="C4425" s="39" t="s">
        <v>3085</v>
      </c>
      <c r="D4425" t="s">
        <v>469</v>
      </c>
      <c r="F4425" s="56"/>
    </row>
    <row r="4426" spans="1:6" ht="15">
      <c r="A4426" s="51">
        <v>292748</v>
      </c>
      <c r="B4426" t="s">
        <v>220</v>
      </c>
      <c r="C4426" s="39" t="s">
        <v>3085</v>
      </c>
      <c r="D4426" t="s">
        <v>471</v>
      </c>
      <c r="F4426" s="56"/>
    </row>
    <row r="4427" spans="1:6" ht="15">
      <c r="A4427" s="51">
        <v>292749</v>
      </c>
      <c r="B4427" t="s">
        <v>1675</v>
      </c>
      <c r="C4427" s="39" t="s">
        <v>3085</v>
      </c>
      <c r="D4427">
        <v>9</v>
      </c>
      <c r="F4427" s="56"/>
    </row>
    <row r="4428" spans="1:6" ht="15">
      <c r="A4428" s="51">
        <v>292750</v>
      </c>
      <c r="B4428" t="s">
        <v>3086</v>
      </c>
      <c r="C4428" s="39" t="s">
        <v>1095</v>
      </c>
      <c r="D4428" t="s">
        <v>469</v>
      </c>
      <c r="F4428" s="56"/>
    </row>
    <row r="4429" spans="1:6" ht="15">
      <c r="A4429" s="51">
        <v>292751</v>
      </c>
      <c r="B4429" t="s">
        <v>3087</v>
      </c>
      <c r="C4429" s="39" t="s">
        <v>3088</v>
      </c>
      <c r="D4429" t="s">
        <v>469</v>
      </c>
      <c r="F4429" s="56"/>
    </row>
    <row r="4430" spans="1:6" ht="15">
      <c r="A4430" s="51">
        <v>292752</v>
      </c>
      <c r="B4430" t="s">
        <v>2229</v>
      </c>
      <c r="C4430" s="39" t="s">
        <v>1098</v>
      </c>
      <c r="D4430" t="s">
        <v>466</v>
      </c>
      <c r="F4430" s="56"/>
    </row>
    <row r="4431" spans="1:6" ht="15">
      <c r="A4431" s="51">
        <v>292753</v>
      </c>
      <c r="B4431" t="s">
        <v>1097</v>
      </c>
      <c r="C4431" s="39" t="s">
        <v>1098</v>
      </c>
      <c r="D4431" t="s">
        <v>1595</v>
      </c>
      <c r="F4431" s="56"/>
    </row>
    <row r="4432" spans="1:6" ht="15">
      <c r="A4432" s="51">
        <v>292754</v>
      </c>
      <c r="B4432" t="s">
        <v>1099</v>
      </c>
      <c r="C4432" s="39" t="s">
        <v>1098</v>
      </c>
      <c r="D4432" t="s">
        <v>469</v>
      </c>
      <c r="F4432" s="56"/>
    </row>
    <row r="4433" spans="1:6" ht="15">
      <c r="A4433" s="51">
        <v>292755</v>
      </c>
      <c r="B4433" t="s">
        <v>2635</v>
      </c>
      <c r="C4433" s="39" t="s">
        <v>1098</v>
      </c>
      <c r="D4433" t="s">
        <v>471</v>
      </c>
      <c r="F4433" s="56"/>
    </row>
    <row r="4434" spans="1:6" ht="15">
      <c r="A4434" s="51">
        <v>292756</v>
      </c>
      <c r="B4434" t="s">
        <v>3089</v>
      </c>
      <c r="C4434" s="39" t="s">
        <v>1098</v>
      </c>
      <c r="D4434">
        <v>9</v>
      </c>
      <c r="F4434" s="56"/>
    </row>
    <row r="4435" spans="1:6" ht="15">
      <c r="A4435" s="51">
        <v>292757</v>
      </c>
      <c r="B4435" t="s">
        <v>1101</v>
      </c>
      <c r="C4435" s="39" t="s">
        <v>1098</v>
      </c>
      <c r="D4435" t="s">
        <v>1595</v>
      </c>
      <c r="F4435" s="56"/>
    </row>
    <row r="4436" spans="1:6" ht="15">
      <c r="A4436" s="51">
        <v>292758</v>
      </c>
      <c r="B4436" t="s">
        <v>1228</v>
      </c>
      <c r="C4436" s="39" t="s">
        <v>1107</v>
      </c>
      <c r="D4436" t="s">
        <v>4245</v>
      </c>
      <c r="F4436" s="56"/>
    </row>
    <row r="4437" spans="1:6" ht="15">
      <c r="A4437" s="51">
        <v>292759</v>
      </c>
      <c r="B4437" t="s">
        <v>1259</v>
      </c>
      <c r="C4437" s="39" t="s">
        <v>1107</v>
      </c>
      <c r="D4437" t="s">
        <v>4245</v>
      </c>
      <c r="F4437" s="56"/>
    </row>
    <row r="4438" spans="1:6" ht="15">
      <c r="A4438" s="51">
        <v>292760</v>
      </c>
      <c r="B4438" t="s">
        <v>229</v>
      </c>
      <c r="C4438" s="39" t="s">
        <v>228</v>
      </c>
      <c r="D4438">
        <v>9</v>
      </c>
      <c r="F4438" s="56"/>
    </row>
    <row r="4439" spans="1:6" ht="15">
      <c r="A4439" s="51">
        <v>292761</v>
      </c>
      <c r="B4439" t="s">
        <v>1680</v>
      </c>
      <c r="C4439" s="39" t="s">
        <v>235</v>
      </c>
      <c r="D4439" t="s">
        <v>4244</v>
      </c>
      <c r="F4439" s="56"/>
    </row>
    <row r="4440" spans="1:6" ht="15">
      <c r="A4440" s="51">
        <v>292762</v>
      </c>
      <c r="B4440" t="s">
        <v>1108</v>
      </c>
      <c r="C4440" s="39" t="s">
        <v>3090</v>
      </c>
      <c r="D4440" t="s">
        <v>4247</v>
      </c>
      <c r="F4440" s="56"/>
    </row>
    <row r="4441" spans="1:6" ht="15">
      <c r="A4441" s="51">
        <v>292763</v>
      </c>
      <c r="B4441" t="s">
        <v>1111</v>
      </c>
      <c r="C4441" s="39" t="s">
        <v>2643</v>
      </c>
      <c r="D4441">
        <v>9</v>
      </c>
      <c r="F4441" s="56"/>
    </row>
    <row r="4442" spans="1:6" ht="15">
      <c r="A4442" s="51">
        <v>292764</v>
      </c>
      <c r="B4442" t="s">
        <v>2073</v>
      </c>
      <c r="C4442" s="39" t="s">
        <v>1114</v>
      </c>
      <c r="D4442" t="s">
        <v>4246</v>
      </c>
      <c r="F4442" s="56"/>
    </row>
    <row r="4443" spans="1:6" ht="15">
      <c r="A4443" s="51">
        <v>292765</v>
      </c>
      <c r="B4443" t="s">
        <v>1113</v>
      </c>
      <c r="C4443" s="39" t="s">
        <v>1114</v>
      </c>
      <c r="D4443" t="s">
        <v>4246</v>
      </c>
      <c r="F4443" s="56"/>
    </row>
    <row r="4444" spans="1:6" ht="15">
      <c r="A4444" s="51">
        <v>292766</v>
      </c>
      <c r="B4444" t="s">
        <v>2505</v>
      </c>
      <c r="C4444" s="39" t="s">
        <v>1114</v>
      </c>
      <c r="D4444" t="s">
        <v>4244</v>
      </c>
      <c r="F4444" s="56"/>
    </row>
    <row r="4445" spans="1:6" ht="15">
      <c r="A4445" s="51">
        <v>292767</v>
      </c>
      <c r="B4445" t="s">
        <v>2506</v>
      </c>
      <c r="C4445" s="39" t="s">
        <v>1114</v>
      </c>
      <c r="D4445">
        <v>7</v>
      </c>
      <c r="F4445" s="56"/>
    </row>
    <row r="4446" spans="1:6" ht="15">
      <c r="A4446" s="51">
        <v>292768</v>
      </c>
      <c r="B4446" t="s">
        <v>1204</v>
      </c>
      <c r="C4446" s="39" t="s">
        <v>1114</v>
      </c>
      <c r="D4446">
        <v>9</v>
      </c>
      <c r="F4446" s="56"/>
    </row>
    <row r="4447" spans="1:6" ht="15">
      <c r="A4447" s="51">
        <v>292769</v>
      </c>
      <c r="B4447" t="s">
        <v>1122</v>
      </c>
      <c r="C4447" s="39" t="s">
        <v>1123</v>
      </c>
      <c r="D4447" t="s">
        <v>4247</v>
      </c>
      <c r="F4447" s="56"/>
    </row>
    <row r="4448" spans="1:6" ht="15">
      <c r="A4448" s="51">
        <v>292770</v>
      </c>
      <c r="B4448" t="s">
        <v>3091</v>
      </c>
      <c r="C4448" s="39" t="s">
        <v>1589</v>
      </c>
      <c r="D4448">
        <v>7</v>
      </c>
      <c r="F4448" s="56"/>
    </row>
    <row r="4449" spans="1:6" ht="15">
      <c r="A4449" s="51">
        <v>292771</v>
      </c>
      <c r="B4449" t="s">
        <v>427</v>
      </c>
      <c r="C4449" s="39" t="s">
        <v>1589</v>
      </c>
      <c r="D4449">
        <v>7</v>
      </c>
      <c r="F4449" s="56"/>
    </row>
    <row r="4450" spans="1:6" ht="15">
      <c r="A4450" s="51">
        <v>292772</v>
      </c>
      <c r="B4450" t="s">
        <v>2768</v>
      </c>
      <c r="C4450" s="39" t="s">
        <v>450</v>
      </c>
      <c r="D4450">
        <v>9</v>
      </c>
      <c r="F4450" s="56"/>
    </row>
    <row r="4451" spans="1:6" ht="15">
      <c r="A4451" s="51">
        <v>309527</v>
      </c>
      <c r="B4451" t="s">
        <v>257</v>
      </c>
      <c r="C4451" s="39" t="s">
        <v>258</v>
      </c>
      <c r="D4451">
        <v>9</v>
      </c>
      <c r="F4451" s="56"/>
    </row>
    <row r="4452" spans="1:6" ht="15">
      <c r="A4452" s="51">
        <v>292773</v>
      </c>
      <c r="B4452" t="s">
        <v>457</v>
      </c>
      <c r="C4452" s="39" t="s">
        <v>1134</v>
      </c>
      <c r="D4452" t="s">
        <v>4245</v>
      </c>
      <c r="F4452" s="56"/>
    </row>
    <row r="4453" spans="1:6" ht="15">
      <c r="A4453" s="51">
        <v>292774</v>
      </c>
      <c r="B4453" t="s">
        <v>458</v>
      </c>
      <c r="C4453" s="39" t="s">
        <v>1134</v>
      </c>
      <c r="D4453" t="s">
        <v>4246</v>
      </c>
      <c r="F4453" s="56"/>
    </row>
    <row r="4454" spans="1:6" ht="15">
      <c r="A4454" s="51">
        <v>292775</v>
      </c>
      <c r="B4454" t="s">
        <v>459</v>
      </c>
      <c r="C4454" s="39" t="s">
        <v>1134</v>
      </c>
      <c r="D4454" t="s">
        <v>4247</v>
      </c>
      <c r="F4454" s="56"/>
    </row>
    <row r="4455" spans="1:6" ht="15">
      <c r="A4455" s="51">
        <v>292776</v>
      </c>
      <c r="B4455" t="s">
        <v>2272</v>
      </c>
      <c r="C4455" s="39" t="s">
        <v>278</v>
      </c>
      <c r="D4455" t="s">
        <v>468</v>
      </c>
      <c r="F4455" s="56"/>
    </row>
    <row r="4456" spans="1:6" ht="15">
      <c r="A4456" s="51">
        <v>292777</v>
      </c>
      <c r="B4456" t="s">
        <v>282</v>
      </c>
      <c r="C4456" s="39" t="s">
        <v>283</v>
      </c>
      <c r="D4456">
        <v>8</v>
      </c>
      <c r="F4456" s="56"/>
    </row>
    <row r="4457" spans="1:6" ht="15">
      <c r="A4457" s="51">
        <v>292778</v>
      </c>
      <c r="B4457" t="s">
        <v>1143</v>
      </c>
      <c r="C4457" s="39" t="s">
        <v>971</v>
      </c>
      <c r="D4457" t="s">
        <v>4246</v>
      </c>
      <c r="F4457" s="56"/>
    </row>
    <row r="4458" spans="1:6" ht="15">
      <c r="A4458" s="51">
        <v>292779</v>
      </c>
      <c r="B4458" t="s">
        <v>970</v>
      </c>
      <c r="C4458" s="39" t="s">
        <v>1350</v>
      </c>
      <c r="D4458" t="s">
        <v>1595</v>
      </c>
      <c r="F4458" s="56"/>
    </row>
    <row r="4459" spans="1:6" ht="15">
      <c r="A4459" s="51">
        <v>292780</v>
      </c>
      <c r="B4459" t="s">
        <v>972</v>
      </c>
      <c r="C4459" s="39" t="s">
        <v>1350</v>
      </c>
      <c r="D4459" t="s">
        <v>468</v>
      </c>
      <c r="F4459" s="56"/>
    </row>
    <row r="4460" spans="1:6" ht="15">
      <c r="A4460" s="51">
        <v>292781</v>
      </c>
      <c r="B4460" t="s">
        <v>321</v>
      </c>
      <c r="C4460" s="39" t="s">
        <v>320</v>
      </c>
      <c r="D4460" t="s">
        <v>4243</v>
      </c>
      <c r="F4460" s="56"/>
    </row>
    <row r="4461" spans="1:6" ht="15">
      <c r="A4461" s="51">
        <v>292782</v>
      </c>
      <c r="B4461" t="s">
        <v>1787</v>
      </c>
      <c r="C4461" s="39" t="s">
        <v>320</v>
      </c>
      <c r="D4461" t="s">
        <v>4243</v>
      </c>
      <c r="F4461" s="56"/>
    </row>
    <row r="4462" spans="1:6" ht="15">
      <c r="A4462" s="51">
        <v>292783</v>
      </c>
      <c r="B4462" t="s">
        <v>1788</v>
      </c>
      <c r="C4462" s="39" t="s">
        <v>1352</v>
      </c>
      <c r="D4462" t="s">
        <v>469</v>
      </c>
      <c r="F4462" s="56"/>
    </row>
    <row r="4463" spans="1:6" ht="15">
      <c r="A4463" s="51">
        <v>292784</v>
      </c>
      <c r="B4463" t="s">
        <v>1789</v>
      </c>
      <c r="C4463" s="39" t="s">
        <v>1352</v>
      </c>
      <c r="D4463" t="s">
        <v>469</v>
      </c>
      <c r="F4463" s="56"/>
    </row>
    <row r="4464" spans="1:6" ht="15">
      <c r="A4464" s="51">
        <v>292785</v>
      </c>
      <c r="B4464" t="s">
        <v>975</v>
      </c>
      <c r="C4464" s="39" t="s">
        <v>324</v>
      </c>
      <c r="D4464" t="s">
        <v>4243</v>
      </c>
      <c r="F4464" s="56"/>
    </row>
    <row r="4465" spans="1:6" ht="15">
      <c r="A4465" s="51">
        <v>292786</v>
      </c>
      <c r="B4465" t="s">
        <v>978</v>
      </c>
      <c r="C4465" s="39" t="s">
        <v>324</v>
      </c>
      <c r="D4465">
        <v>8</v>
      </c>
      <c r="F4465" s="56"/>
    </row>
    <row r="4466" spans="1:6" ht="15">
      <c r="A4466" s="51">
        <v>292787</v>
      </c>
      <c r="B4466" t="s">
        <v>3092</v>
      </c>
      <c r="C4466" s="39" t="s">
        <v>324</v>
      </c>
      <c r="D4466">
        <v>8</v>
      </c>
      <c r="F4466" s="56"/>
    </row>
    <row r="4467" spans="1:6" ht="15">
      <c r="A4467" s="51">
        <v>292788</v>
      </c>
      <c r="B4467" t="s">
        <v>3093</v>
      </c>
      <c r="C4467" s="39" t="s">
        <v>3094</v>
      </c>
      <c r="D4467" t="s">
        <v>4243</v>
      </c>
      <c r="F4467" s="56"/>
    </row>
    <row r="4468" spans="1:6" ht="15">
      <c r="A4468" s="51">
        <v>292789</v>
      </c>
      <c r="B4468" t="s">
        <v>3095</v>
      </c>
      <c r="C4468" s="39" t="s">
        <v>326</v>
      </c>
      <c r="D4468">
        <v>9</v>
      </c>
      <c r="F4468" s="56"/>
    </row>
    <row r="4469" spans="1:6" ht="15">
      <c r="A4469" s="51">
        <v>292790</v>
      </c>
      <c r="B4469" t="s">
        <v>1967</v>
      </c>
      <c r="C4469" s="39" t="s">
        <v>2295</v>
      </c>
      <c r="D4469" t="s">
        <v>4246</v>
      </c>
      <c r="F4469" s="56"/>
    </row>
    <row r="4470" spans="1:6" ht="15">
      <c r="A4470" s="51">
        <v>292791</v>
      </c>
      <c r="B4470" t="s">
        <v>2606</v>
      </c>
      <c r="C4470" s="39" t="s">
        <v>2295</v>
      </c>
      <c r="D4470" t="s">
        <v>4244</v>
      </c>
      <c r="F4470" s="56"/>
    </row>
    <row r="4471" spans="1:6" ht="15">
      <c r="A4471" s="51">
        <v>292792</v>
      </c>
      <c r="B4471" t="s">
        <v>3096</v>
      </c>
      <c r="C4471" s="39" t="s">
        <v>2295</v>
      </c>
      <c r="D4471" t="s">
        <v>4243</v>
      </c>
      <c r="F4471" s="56"/>
    </row>
    <row r="4472" spans="1:6" ht="15">
      <c r="A4472" s="51">
        <v>292793</v>
      </c>
      <c r="B4472" t="s">
        <v>328</v>
      </c>
      <c r="C4472" s="39" t="s">
        <v>1796</v>
      </c>
      <c r="D4472" t="s">
        <v>4244</v>
      </c>
      <c r="F4472" s="56"/>
    </row>
    <row r="4473" spans="1:6" ht="15">
      <c r="A4473" s="51">
        <v>292794</v>
      </c>
      <c r="B4473" t="s">
        <v>330</v>
      </c>
      <c r="C4473" s="39" t="s">
        <v>331</v>
      </c>
      <c r="D4473" t="s">
        <v>4244</v>
      </c>
      <c r="F4473" s="56"/>
    </row>
    <row r="4474" spans="1:6" ht="15">
      <c r="A4474" s="51">
        <v>292795</v>
      </c>
      <c r="B4474" t="s">
        <v>332</v>
      </c>
      <c r="C4474" s="39" t="s">
        <v>331</v>
      </c>
      <c r="D4474" t="s">
        <v>4244</v>
      </c>
      <c r="F4474" s="56"/>
    </row>
    <row r="4475" spans="1:6" ht="15">
      <c r="A4475" s="51">
        <v>292796</v>
      </c>
      <c r="B4475" t="s">
        <v>333</v>
      </c>
      <c r="C4475" s="39" t="s">
        <v>331</v>
      </c>
      <c r="D4475">
        <v>7</v>
      </c>
      <c r="F4475" s="56"/>
    </row>
    <row r="4476" spans="1:6" ht="15">
      <c r="A4476" s="51">
        <v>292797</v>
      </c>
      <c r="B4476" t="s">
        <v>1968</v>
      </c>
      <c r="C4476" s="39" t="s">
        <v>3097</v>
      </c>
      <c r="D4476" t="s">
        <v>4243</v>
      </c>
      <c r="F4476" s="56"/>
    </row>
    <row r="4477" spans="1:6" ht="15">
      <c r="A4477" s="51">
        <v>292798</v>
      </c>
      <c r="B4477" t="s">
        <v>334</v>
      </c>
      <c r="C4477" s="39" t="s">
        <v>3097</v>
      </c>
      <c r="D4477" t="s">
        <v>4243</v>
      </c>
      <c r="F4477" s="56"/>
    </row>
    <row r="4478" spans="1:6" ht="15">
      <c r="A4478" s="51">
        <v>292799</v>
      </c>
      <c r="B4478" t="s">
        <v>1237</v>
      </c>
      <c r="C4478" s="39" t="s">
        <v>3097</v>
      </c>
      <c r="D4478" t="s">
        <v>4243</v>
      </c>
      <c r="F4478" s="56"/>
    </row>
    <row r="4479" spans="1:6" ht="15">
      <c r="A4479" s="51">
        <v>292800</v>
      </c>
      <c r="B4479" t="s">
        <v>3098</v>
      </c>
      <c r="C4479" s="39" t="s">
        <v>3097</v>
      </c>
      <c r="D4479">
        <v>9</v>
      </c>
      <c r="F4479" s="56"/>
    </row>
    <row r="4480" spans="1:6" ht="15">
      <c r="A4480" s="51">
        <v>292802</v>
      </c>
      <c r="B4480" t="s">
        <v>338</v>
      </c>
      <c r="C4480" s="39" t="s">
        <v>104</v>
      </c>
      <c r="D4480" t="s">
        <v>4243</v>
      </c>
      <c r="F4480" s="56"/>
    </row>
    <row r="4481" spans="1:6" ht="15">
      <c r="A4481" s="51">
        <v>292803</v>
      </c>
      <c r="B4481" t="s">
        <v>103</v>
      </c>
      <c r="C4481" s="39" t="s">
        <v>1799</v>
      </c>
      <c r="D4481">
        <v>7</v>
      </c>
      <c r="F4481" s="56"/>
    </row>
    <row r="4482" spans="1:6" ht="15">
      <c r="A4482" s="51">
        <v>292804</v>
      </c>
      <c r="B4482" t="s">
        <v>109</v>
      </c>
      <c r="C4482" s="39" t="s">
        <v>547</v>
      </c>
      <c r="D4482" t="s">
        <v>4244</v>
      </c>
      <c r="F4482" s="56"/>
    </row>
    <row r="4483" spans="1:6" ht="15">
      <c r="A4483" s="51">
        <v>292805</v>
      </c>
      <c r="B4483" t="s">
        <v>111</v>
      </c>
      <c r="C4483" s="39" t="s">
        <v>547</v>
      </c>
      <c r="D4483" t="s">
        <v>4244</v>
      </c>
      <c r="F4483" s="56"/>
    </row>
    <row r="4484" spans="1:6" ht="15">
      <c r="A4484" s="51">
        <v>292806</v>
      </c>
      <c r="B4484" t="s">
        <v>347</v>
      </c>
      <c r="C4484" s="39" t="s">
        <v>346</v>
      </c>
      <c r="D4484" t="s">
        <v>4246</v>
      </c>
      <c r="F4484" s="56"/>
    </row>
    <row r="4485" spans="1:6" ht="15">
      <c r="A4485" s="51">
        <v>292807</v>
      </c>
      <c r="B4485" t="s">
        <v>3099</v>
      </c>
      <c r="C4485" s="39" t="s">
        <v>3100</v>
      </c>
      <c r="D4485">
        <v>9</v>
      </c>
      <c r="F4485" s="56"/>
    </row>
    <row r="4486" spans="1:6" ht="15">
      <c r="A4486" s="51">
        <v>292808</v>
      </c>
      <c r="B4486" t="s">
        <v>118</v>
      </c>
      <c r="C4486" s="39" t="s">
        <v>1715</v>
      </c>
      <c r="D4486" t="s">
        <v>4245</v>
      </c>
      <c r="F4486" s="56"/>
    </row>
    <row r="4487" spans="1:6" ht="15">
      <c r="A4487" s="51">
        <v>292809</v>
      </c>
      <c r="B4487" t="s">
        <v>1165</v>
      </c>
      <c r="C4487" s="39" t="s">
        <v>914</v>
      </c>
      <c r="D4487" t="s">
        <v>4244</v>
      </c>
      <c r="F4487" s="56"/>
    </row>
    <row r="4488" spans="1:6" ht="15">
      <c r="A4488" s="51">
        <v>292810</v>
      </c>
      <c r="B4488" t="s">
        <v>122</v>
      </c>
      <c r="C4488" s="39" t="s">
        <v>914</v>
      </c>
      <c r="D4488" t="s">
        <v>4244</v>
      </c>
      <c r="F4488" s="56"/>
    </row>
    <row r="4489" spans="1:6" ht="15">
      <c r="A4489" s="51">
        <v>292811</v>
      </c>
      <c r="B4489" t="s">
        <v>124</v>
      </c>
      <c r="C4489" s="39" t="s">
        <v>914</v>
      </c>
      <c r="D4489">
        <v>7</v>
      </c>
      <c r="F4489" s="56"/>
    </row>
    <row r="4490" spans="1:6" ht="15">
      <c r="A4490" s="51">
        <v>292814</v>
      </c>
      <c r="B4490" t="s">
        <v>131</v>
      </c>
      <c r="C4490" s="39" t="s">
        <v>132</v>
      </c>
      <c r="D4490" t="s">
        <v>471</v>
      </c>
      <c r="F4490" s="56"/>
    </row>
    <row r="4491" spans="1:6" ht="15">
      <c r="A4491" s="51">
        <v>292812</v>
      </c>
      <c r="B4491" t="s">
        <v>3101</v>
      </c>
      <c r="C4491" s="39" t="s">
        <v>134</v>
      </c>
      <c r="D4491">
        <v>8</v>
      </c>
      <c r="F4491" s="56"/>
    </row>
    <row r="4492" spans="1:6" ht="15">
      <c r="A4492" s="51">
        <v>292813</v>
      </c>
      <c r="B4492" t="s">
        <v>3102</v>
      </c>
      <c r="C4492" s="39" t="s">
        <v>3103</v>
      </c>
      <c r="D4492">
        <v>9</v>
      </c>
      <c r="F4492" s="56"/>
    </row>
    <row r="4493" spans="1:6" ht="15">
      <c r="A4493" s="51">
        <v>292815</v>
      </c>
      <c r="B4493" t="s">
        <v>139</v>
      </c>
      <c r="C4493" s="39" t="s">
        <v>140</v>
      </c>
      <c r="D4493">
        <v>7</v>
      </c>
      <c r="F4493" s="56"/>
    </row>
    <row r="4494" spans="1:6" ht="15">
      <c r="A4494" s="51">
        <v>292816</v>
      </c>
      <c r="B4494" t="s">
        <v>1023</v>
      </c>
      <c r="C4494" s="39" t="s">
        <v>1024</v>
      </c>
      <c r="D4494" t="s">
        <v>4243</v>
      </c>
      <c r="F4494" s="56"/>
    </row>
    <row r="4495" spans="1:6" ht="15">
      <c r="A4495" s="51">
        <v>292818</v>
      </c>
      <c r="B4495" t="s">
        <v>370</v>
      </c>
      <c r="C4495" s="39" t="s">
        <v>371</v>
      </c>
      <c r="D4495">
        <v>8</v>
      </c>
      <c r="F4495" s="56"/>
    </row>
    <row r="4496" spans="1:6" ht="15">
      <c r="A4496" s="51">
        <v>292822</v>
      </c>
      <c r="B4496" t="s">
        <v>372</v>
      </c>
      <c r="C4496" s="39" t="s">
        <v>373</v>
      </c>
      <c r="D4496" t="s">
        <v>4248</v>
      </c>
      <c r="F4496" s="56"/>
    </row>
    <row r="4497" spans="1:6" ht="15">
      <c r="A4497" s="51">
        <v>292823</v>
      </c>
      <c r="B4497" t="s">
        <v>1176</v>
      </c>
      <c r="C4497" s="39" t="s">
        <v>148</v>
      </c>
      <c r="D4497" t="s">
        <v>4245</v>
      </c>
      <c r="F4497" s="56"/>
    </row>
    <row r="4498" spans="1:6" ht="15">
      <c r="A4498" s="51">
        <v>292819</v>
      </c>
      <c r="B4498" t="s">
        <v>3104</v>
      </c>
      <c r="C4498" s="39" t="s">
        <v>2009</v>
      </c>
      <c r="D4498">
        <v>7</v>
      </c>
      <c r="F4498" s="56"/>
    </row>
    <row r="4499" spans="1:6" ht="15">
      <c r="A4499" s="51">
        <v>292824</v>
      </c>
      <c r="B4499" t="s">
        <v>376</v>
      </c>
      <c r="C4499" s="39" t="s">
        <v>375</v>
      </c>
      <c r="D4499" t="s">
        <v>4243</v>
      </c>
      <c r="F4499" s="56"/>
    </row>
    <row r="4500" spans="1:6" ht="15">
      <c r="A4500" s="51">
        <v>292825</v>
      </c>
      <c r="B4500" t="s">
        <v>377</v>
      </c>
      <c r="C4500" s="39" t="s">
        <v>375</v>
      </c>
      <c r="D4500" t="s">
        <v>4243</v>
      </c>
      <c r="F4500" s="56"/>
    </row>
    <row r="4501" spans="1:6" ht="15">
      <c r="A4501" s="51">
        <v>292826</v>
      </c>
      <c r="B4501" t="s">
        <v>378</v>
      </c>
      <c r="C4501" s="39" t="s">
        <v>375</v>
      </c>
      <c r="D4501">
        <v>7</v>
      </c>
      <c r="F4501" s="56"/>
    </row>
    <row r="4502" spans="1:6" ht="15">
      <c r="A4502" s="51">
        <v>292827</v>
      </c>
      <c r="B4502" t="s">
        <v>1181</v>
      </c>
      <c r="C4502" s="39" t="s">
        <v>157</v>
      </c>
      <c r="D4502" t="s">
        <v>4245</v>
      </c>
      <c r="F4502" s="56"/>
    </row>
    <row r="4503" spans="1:6" ht="15">
      <c r="A4503" s="51">
        <v>292828</v>
      </c>
      <c r="B4503" t="s">
        <v>156</v>
      </c>
      <c r="C4503" s="39" t="s">
        <v>157</v>
      </c>
      <c r="D4503" t="s">
        <v>4245</v>
      </c>
      <c r="F4503" s="56"/>
    </row>
    <row r="4504" spans="1:6" ht="15">
      <c r="A4504" s="51">
        <v>292829</v>
      </c>
      <c r="B4504" t="s">
        <v>158</v>
      </c>
      <c r="C4504" s="39" t="s">
        <v>157</v>
      </c>
      <c r="D4504" t="s">
        <v>4244</v>
      </c>
      <c r="F4504" s="56"/>
    </row>
    <row r="4505" spans="1:6" ht="15">
      <c r="A4505" s="51">
        <v>292830</v>
      </c>
      <c r="B4505" t="s">
        <v>159</v>
      </c>
      <c r="C4505" s="39" t="s">
        <v>157</v>
      </c>
      <c r="D4505" t="s">
        <v>4243</v>
      </c>
      <c r="F4505" s="56"/>
    </row>
    <row r="4506" spans="1:6" ht="15">
      <c r="A4506" s="51">
        <v>292820</v>
      </c>
      <c r="B4506" t="s">
        <v>3105</v>
      </c>
      <c r="C4506" s="39" t="s">
        <v>157</v>
      </c>
      <c r="D4506">
        <v>9</v>
      </c>
      <c r="F4506" s="56"/>
    </row>
    <row r="4507" spans="1:6" ht="15">
      <c r="A4507" s="51">
        <v>292831</v>
      </c>
      <c r="B4507" t="s">
        <v>379</v>
      </c>
      <c r="C4507" s="39" t="s">
        <v>380</v>
      </c>
      <c r="D4507" t="s">
        <v>4246</v>
      </c>
      <c r="F4507" s="56"/>
    </row>
    <row r="4508" spans="1:6" ht="15">
      <c r="A4508" s="51">
        <v>292832</v>
      </c>
      <c r="B4508" t="s">
        <v>381</v>
      </c>
      <c r="C4508" s="39" t="s">
        <v>380</v>
      </c>
      <c r="D4508" t="s">
        <v>4243</v>
      </c>
      <c r="F4508" s="56"/>
    </row>
    <row r="4509" spans="1:6" ht="15">
      <c r="A4509" s="51">
        <v>292833</v>
      </c>
      <c r="B4509" t="s">
        <v>382</v>
      </c>
      <c r="C4509" s="39" t="s">
        <v>380</v>
      </c>
      <c r="D4509">
        <v>7</v>
      </c>
      <c r="F4509" s="56"/>
    </row>
    <row r="4510" spans="1:6" ht="15">
      <c r="A4510" s="51">
        <v>292821</v>
      </c>
      <c r="B4510" t="s">
        <v>3106</v>
      </c>
      <c r="C4510" s="39" t="s">
        <v>380</v>
      </c>
      <c r="D4510">
        <v>9</v>
      </c>
      <c r="F4510" s="56"/>
    </row>
    <row r="4511" spans="1:6" ht="15">
      <c r="A4511" s="51">
        <v>292834</v>
      </c>
      <c r="B4511" t="s">
        <v>3107</v>
      </c>
      <c r="C4511" s="39" t="s">
        <v>385</v>
      </c>
      <c r="D4511">
        <v>7</v>
      </c>
      <c r="F4511" s="56"/>
    </row>
    <row r="4512" spans="1:6" ht="15">
      <c r="A4512" s="51">
        <v>292835</v>
      </c>
      <c r="B4512" t="s">
        <v>3108</v>
      </c>
      <c r="C4512" s="39" t="s">
        <v>385</v>
      </c>
      <c r="D4512">
        <v>7</v>
      </c>
      <c r="F4512" s="56"/>
    </row>
    <row r="4513" spans="1:6" ht="15">
      <c r="A4513" s="51">
        <v>292836</v>
      </c>
      <c r="B4513" t="s">
        <v>1421</v>
      </c>
      <c r="C4513" s="39" t="s">
        <v>385</v>
      </c>
      <c r="D4513">
        <v>8</v>
      </c>
      <c r="F4513" s="56"/>
    </row>
    <row r="4514" spans="1:6" ht="15">
      <c r="A4514" s="51">
        <v>292837</v>
      </c>
      <c r="B4514" t="s">
        <v>3109</v>
      </c>
      <c r="C4514" s="39" t="s">
        <v>3110</v>
      </c>
      <c r="D4514">
        <v>7</v>
      </c>
      <c r="F4514" s="56"/>
    </row>
    <row r="4515" spans="1:6" ht="15">
      <c r="A4515" s="51">
        <v>292838</v>
      </c>
      <c r="B4515" t="s">
        <v>2728</v>
      </c>
      <c r="C4515" s="39" t="s">
        <v>1424</v>
      </c>
      <c r="D4515" t="s">
        <v>4243</v>
      </c>
      <c r="F4515" s="56"/>
    </row>
    <row r="4516" spans="1:6" ht="15">
      <c r="A4516" s="51">
        <v>292840</v>
      </c>
      <c r="B4516" t="s">
        <v>160</v>
      </c>
      <c r="C4516" s="39" t="s">
        <v>166</v>
      </c>
      <c r="D4516" t="s">
        <v>4245</v>
      </c>
      <c r="F4516" s="56"/>
    </row>
    <row r="4517" spans="1:6" ht="15">
      <c r="A4517" s="51">
        <v>292841</v>
      </c>
      <c r="B4517" t="s">
        <v>162</v>
      </c>
      <c r="C4517" s="39" t="s">
        <v>166</v>
      </c>
      <c r="D4517" t="s">
        <v>4244</v>
      </c>
      <c r="F4517" s="56"/>
    </row>
    <row r="4518" spans="1:6" ht="15">
      <c r="A4518" s="51">
        <v>292842</v>
      </c>
      <c r="B4518" t="s">
        <v>163</v>
      </c>
      <c r="C4518" s="39" t="s">
        <v>166</v>
      </c>
      <c r="D4518" t="s">
        <v>4243</v>
      </c>
      <c r="F4518" s="56"/>
    </row>
    <row r="4519" spans="1:6" ht="15">
      <c r="A4519" s="51">
        <v>292839</v>
      </c>
      <c r="B4519" t="s">
        <v>3111</v>
      </c>
      <c r="C4519" s="39" t="s">
        <v>2293</v>
      </c>
      <c r="D4519">
        <v>9</v>
      </c>
      <c r="F4519" s="56"/>
    </row>
    <row r="4520" spans="1:6" ht="15">
      <c r="B4520" t="s">
        <v>389</v>
      </c>
      <c r="C4520" s="39" t="s">
        <v>390</v>
      </c>
      <c r="D4520" t="s">
        <v>4247</v>
      </c>
      <c r="F4520" s="56"/>
    </row>
    <row r="4521" spans="1:6" ht="15">
      <c r="A4521" s="51">
        <v>292843</v>
      </c>
      <c r="B4521" t="s">
        <v>179</v>
      </c>
      <c r="C4521" s="39" t="s">
        <v>390</v>
      </c>
      <c r="D4521" t="s">
        <v>4247</v>
      </c>
      <c r="F4521" s="56"/>
    </row>
    <row r="4522" spans="1:6" ht="15">
      <c r="B4522" t="s">
        <v>391</v>
      </c>
      <c r="C4522" s="39" t="s">
        <v>390</v>
      </c>
      <c r="D4522" t="s">
        <v>4243</v>
      </c>
      <c r="F4522" s="56"/>
    </row>
    <row r="4523" spans="1:6" ht="15">
      <c r="A4523" s="51">
        <v>292844</v>
      </c>
      <c r="B4523" t="s">
        <v>392</v>
      </c>
      <c r="C4523" s="39" t="s">
        <v>390</v>
      </c>
      <c r="D4523">
        <v>7</v>
      </c>
      <c r="F4523" s="56"/>
    </row>
    <row r="4524" spans="1:6" ht="15">
      <c r="B4524" t="s">
        <v>3112</v>
      </c>
      <c r="C4524" s="39" t="s">
        <v>3113</v>
      </c>
      <c r="D4524">
        <v>8</v>
      </c>
      <c r="F4524" s="56"/>
    </row>
    <row r="4525" spans="1:6" ht="15">
      <c r="A4525" s="51">
        <v>292846</v>
      </c>
      <c r="B4525" t="s">
        <v>393</v>
      </c>
      <c r="C4525" s="39" t="s">
        <v>394</v>
      </c>
      <c r="D4525">
        <v>7</v>
      </c>
      <c r="F4525" s="56"/>
    </row>
    <row r="4526" spans="1:6" ht="15">
      <c r="A4526" s="51">
        <v>292847</v>
      </c>
      <c r="B4526" t="s">
        <v>1072</v>
      </c>
      <c r="C4526" s="39" t="s">
        <v>394</v>
      </c>
      <c r="D4526">
        <v>7</v>
      </c>
      <c r="F4526" s="56"/>
    </row>
    <row r="4527" spans="1:6" ht="15">
      <c r="A4527" s="51">
        <v>292848</v>
      </c>
      <c r="B4527" t="s">
        <v>1833</v>
      </c>
      <c r="C4527" s="39" t="s">
        <v>862</v>
      </c>
      <c r="D4527">
        <v>9</v>
      </c>
      <c r="F4527" s="56"/>
    </row>
    <row r="4528" spans="1:6" ht="15">
      <c r="A4528" s="51">
        <v>292849</v>
      </c>
      <c r="B4528" t="s">
        <v>2478</v>
      </c>
      <c r="C4528" s="39" t="s">
        <v>185</v>
      </c>
      <c r="D4528" t="s">
        <v>4244</v>
      </c>
      <c r="F4528" s="56"/>
    </row>
    <row r="4529" spans="1:6" ht="15">
      <c r="A4529" s="51">
        <v>292850</v>
      </c>
      <c r="B4529" t="s">
        <v>867</v>
      </c>
      <c r="C4529" s="39" t="s">
        <v>185</v>
      </c>
      <c r="D4529" t="s">
        <v>4244</v>
      </c>
      <c r="F4529" s="56"/>
    </row>
    <row r="4530" spans="1:6" ht="15">
      <c r="A4530" s="51">
        <v>292851</v>
      </c>
      <c r="B4530" t="s">
        <v>196</v>
      </c>
      <c r="C4530" s="39" t="s">
        <v>189</v>
      </c>
      <c r="D4530" t="s">
        <v>4247</v>
      </c>
      <c r="F4530" s="56"/>
    </row>
    <row r="4531" spans="1:6" ht="15">
      <c r="A4531" s="51">
        <v>292852</v>
      </c>
      <c r="B4531" t="s">
        <v>201</v>
      </c>
      <c r="C4531" s="39" t="s">
        <v>189</v>
      </c>
      <c r="D4531" t="s">
        <v>4243</v>
      </c>
      <c r="F4531" s="56"/>
    </row>
    <row r="4532" spans="1:6" ht="15">
      <c r="A4532" s="51">
        <v>292853</v>
      </c>
      <c r="B4532" t="s">
        <v>2479</v>
      </c>
      <c r="C4532" s="39" t="s">
        <v>189</v>
      </c>
      <c r="D4532">
        <v>7</v>
      </c>
      <c r="F4532" s="56"/>
    </row>
    <row r="4533" spans="1:6" ht="15">
      <c r="A4533" s="51">
        <v>292845</v>
      </c>
      <c r="B4533" t="s">
        <v>3114</v>
      </c>
      <c r="C4533" s="39" t="s">
        <v>3115</v>
      </c>
      <c r="D4533">
        <v>8</v>
      </c>
      <c r="F4533" s="56"/>
    </row>
    <row r="4534" spans="1:6" ht="15">
      <c r="A4534" s="51">
        <v>292854</v>
      </c>
      <c r="B4534" t="s">
        <v>403</v>
      </c>
      <c r="C4534" s="39" t="s">
        <v>192</v>
      </c>
      <c r="D4534" t="s">
        <v>4247</v>
      </c>
      <c r="F4534" s="56"/>
    </row>
    <row r="4535" spans="1:6" ht="15">
      <c r="A4535" s="51">
        <v>292855</v>
      </c>
      <c r="B4535" t="s">
        <v>1567</v>
      </c>
      <c r="C4535" s="39" t="s">
        <v>2301</v>
      </c>
      <c r="D4535" t="s">
        <v>468</v>
      </c>
      <c r="F4535" s="56"/>
    </row>
    <row r="4536" spans="1:6" ht="15">
      <c r="A4536" s="51">
        <v>292856</v>
      </c>
      <c r="B4536" t="s">
        <v>3116</v>
      </c>
      <c r="C4536" s="39" t="s">
        <v>2301</v>
      </c>
      <c r="D4536" t="s">
        <v>469</v>
      </c>
      <c r="F4536" s="56"/>
    </row>
    <row r="4537" spans="1:6" ht="15">
      <c r="A4537" s="51">
        <v>292857</v>
      </c>
      <c r="B4537" t="s">
        <v>3117</v>
      </c>
      <c r="C4537" s="39" t="s">
        <v>2301</v>
      </c>
      <c r="D4537" t="s">
        <v>471</v>
      </c>
      <c r="F4537" s="56"/>
    </row>
    <row r="4538" spans="1:6" ht="15">
      <c r="A4538" s="51">
        <v>292858</v>
      </c>
      <c r="B4538" t="s">
        <v>3118</v>
      </c>
      <c r="C4538" s="39" t="s">
        <v>2311</v>
      </c>
      <c r="D4538" t="s">
        <v>4244</v>
      </c>
      <c r="F4538" s="56"/>
    </row>
    <row r="4539" spans="1:6" ht="15">
      <c r="A4539" s="51">
        <v>292859</v>
      </c>
      <c r="B4539" t="s">
        <v>873</v>
      </c>
      <c r="C4539" s="39" t="s">
        <v>2311</v>
      </c>
      <c r="D4539" t="s">
        <v>4243</v>
      </c>
      <c r="F4539" s="56"/>
    </row>
    <row r="4540" spans="1:6" ht="15">
      <c r="A4540" s="51">
        <v>292862</v>
      </c>
      <c r="B4540" t="s">
        <v>2634</v>
      </c>
      <c r="C4540" s="39" t="s">
        <v>405</v>
      </c>
      <c r="D4540">
        <v>8</v>
      </c>
      <c r="F4540" s="56"/>
    </row>
    <row r="4541" spans="1:6" ht="15">
      <c r="A4541" s="51">
        <v>292863</v>
      </c>
      <c r="B4541" t="s">
        <v>2033</v>
      </c>
      <c r="C4541" s="39" t="s">
        <v>2034</v>
      </c>
      <c r="D4541" t="s">
        <v>1595</v>
      </c>
      <c r="F4541" s="56"/>
    </row>
    <row r="4542" spans="1:6" ht="15">
      <c r="A4542" s="51">
        <v>292864</v>
      </c>
      <c r="B4542" t="s">
        <v>1454</v>
      </c>
      <c r="C4542" s="39" t="s">
        <v>2034</v>
      </c>
      <c r="D4542" t="s">
        <v>469</v>
      </c>
      <c r="F4542" s="56"/>
    </row>
    <row r="4543" spans="1:6" ht="15">
      <c r="A4543" s="51">
        <v>292865</v>
      </c>
      <c r="B4543" t="s">
        <v>2035</v>
      </c>
      <c r="C4543" s="39" t="s">
        <v>2034</v>
      </c>
      <c r="D4543" t="s">
        <v>471</v>
      </c>
      <c r="F4543" s="56"/>
    </row>
    <row r="4544" spans="1:6" ht="15">
      <c r="A4544" s="51">
        <v>292866</v>
      </c>
      <c r="B4544" t="s">
        <v>409</v>
      </c>
      <c r="C4544" s="39" t="s">
        <v>410</v>
      </c>
      <c r="D4544" t="s">
        <v>4246</v>
      </c>
      <c r="F4544" s="56"/>
    </row>
    <row r="4545" spans="1:6" ht="15">
      <c r="A4545" s="51">
        <v>292867</v>
      </c>
      <c r="B4545" t="s">
        <v>411</v>
      </c>
      <c r="C4545" s="39" t="s">
        <v>410</v>
      </c>
      <c r="D4545" t="s">
        <v>4243</v>
      </c>
      <c r="F4545" s="56"/>
    </row>
    <row r="4546" spans="1:6" ht="15">
      <c r="A4546" s="51">
        <v>292868</v>
      </c>
      <c r="B4546" t="s">
        <v>412</v>
      </c>
      <c r="C4546" s="39" t="s">
        <v>410</v>
      </c>
      <c r="D4546">
        <v>7</v>
      </c>
      <c r="F4546" s="56"/>
    </row>
    <row r="4547" spans="1:6" ht="15">
      <c r="A4547" s="51">
        <v>292860</v>
      </c>
      <c r="B4547" t="s">
        <v>3119</v>
      </c>
      <c r="C4547" s="39" t="s">
        <v>410</v>
      </c>
      <c r="D4547">
        <v>9</v>
      </c>
      <c r="F4547" s="56"/>
    </row>
    <row r="4548" spans="1:6" ht="15">
      <c r="A4548" s="51">
        <v>292861</v>
      </c>
      <c r="B4548" t="s">
        <v>3120</v>
      </c>
      <c r="C4548" s="39" t="s">
        <v>410</v>
      </c>
      <c r="D4548">
        <v>9</v>
      </c>
      <c r="F4548" s="56"/>
    </row>
    <row r="4549" spans="1:6" ht="15">
      <c r="A4549" s="51">
        <v>292869</v>
      </c>
      <c r="B4549" t="s">
        <v>1097</v>
      </c>
      <c r="C4549" s="39" t="s">
        <v>2314</v>
      </c>
      <c r="D4549" t="s">
        <v>1596</v>
      </c>
      <c r="F4549" s="56"/>
    </row>
    <row r="4550" spans="1:6" ht="15">
      <c r="A4550" s="51">
        <v>292870</v>
      </c>
      <c r="B4550" t="s">
        <v>1099</v>
      </c>
      <c r="C4550" s="39" t="s">
        <v>2314</v>
      </c>
      <c r="D4550" t="s">
        <v>471</v>
      </c>
      <c r="F4550" s="56"/>
    </row>
    <row r="4551" spans="1:6" ht="15">
      <c r="A4551" s="51">
        <v>292871</v>
      </c>
      <c r="B4551" t="s">
        <v>2635</v>
      </c>
      <c r="C4551" s="39" t="s">
        <v>2314</v>
      </c>
      <c r="D4551">
        <v>7</v>
      </c>
      <c r="F4551" s="56"/>
    </row>
    <row r="4552" spans="1:6" ht="15">
      <c r="A4552" s="51">
        <v>292872</v>
      </c>
      <c r="B4552" t="s">
        <v>3055</v>
      </c>
      <c r="C4552" s="39" t="s">
        <v>224</v>
      </c>
      <c r="D4552" t="s">
        <v>4243</v>
      </c>
      <c r="F4552" s="56"/>
    </row>
    <row r="4553" spans="1:6" ht="15">
      <c r="A4553" s="51">
        <v>292873</v>
      </c>
      <c r="B4553" t="s">
        <v>3121</v>
      </c>
      <c r="C4553" s="39" t="s">
        <v>1098</v>
      </c>
      <c r="D4553" t="s">
        <v>466</v>
      </c>
      <c r="F4553" s="56"/>
    </row>
    <row r="4554" spans="1:6" ht="15">
      <c r="A4554" s="51">
        <v>292874</v>
      </c>
      <c r="B4554" t="s">
        <v>2232</v>
      </c>
      <c r="C4554" s="39" t="s">
        <v>1098</v>
      </c>
      <c r="D4554" t="s">
        <v>1595</v>
      </c>
      <c r="F4554" s="56"/>
    </row>
    <row r="4555" spans="1:6" ht="15">
      <c r="A4555" s="51">
        <v>292875</v>
      </c>
      <c r="B4555" t="s">
        <v>2233</v>
      </c>
      <c r="C4555" s="39" t="s">
        <v>1098</v>
      </c>
      <c r="D4555" t="s">
        <v>469</v>
      </c>
      <c r="F4555" s="56"/>
    </row>
    <row r="4556" spans="1:6" ht="15">
      <c r="A4556" s="51">
        <v>292876</v>
      </c>
      <c r="B4556" t="s">
        <v>3063</v>
      </c>
      <c r="C4556" s="39" t="s">
        <v>1107</v>
      </c>
      <c r="D4556" t="s">
        <v>4245</v>
      </c>
      <c r="F4556" s="56"/>
    </row>
    <row r="4557" spans="1:6" ht="15">
      <c r="A4557" s="51">
        <v>292877</v>
      </c>
      <c r="B4557" t="s">
        <v>2639</v>
      </c>
      <c r="C4557" s="39" t="s">
        <v>1107</v>
      </c>
      <c r="D4557" t="s">
        <v>4245</v>
      </c>
      <c r="F4557" s="56"/>
    </row>
    <row r="4558" spans="1:6" ht="15">
      <c r="A4558" s="51">
        <v>292878</v>
      </c>
      <c r="B4558" t="s">
        <v>1574</v>
      </c>
      <c r="C4558" s="39" t="s">
        <v>1107</v>
      </c>
      <c r="D4558" t="s">
        <v>4245</v>
      </c>
      <c r="F4558" s="56"/>
    </row>
    <row r="4559" spans="1:6" ht="15">
      <c r="A4559" s="51">
        <v>292879</v>
      </c>
      <c r="B4559" t="s">
        <v>2494</v>
      </c>
      <c r="C4559" s="39" t="s">
        <v>1474</v>
      </c>
      <c r="D4559" t="s">
        <v>4244</v>
      </c>
      <c r="F4559" s="56"/>
    </row>
    <row r="4560" spans="1:6" ht="15">
      <c r="A4560" s="51">
        <v>292880</v>
      </c>
      <c r="B4560" t="s">
        <v>2495</v>
      </c>
      <c r="C4560" s="39" t="s">
        <v>1474</v>
      </c>
      <c r="D4560" t="s">
        <v>4243</v>
      </c>
      <c r="F4560" s="56"/>
    </row>
    <row r="4561" spans="1:6" ht="15">
      <c r="A4561" s="51">
        <v>292883</v>
      </c>
      <c r="B4561" t="s">
        <v>230</v>
      </c>
      <c r="C4561" s="39" t="s">
        <v>231</v>
      </c>
      <c r="D4561" t="s">
        <v>4244</v>
      </c>
      <c r="F4561" s="56"/>
    </row>
    <row r="4562" spans="1:6" ht="15">
      <c r="A4562" s="51">
        <v>292884</v>
      </c>
      <c r="B4562" t="s">
        <v>234</v>
      </c>
      <c r="C4562" s="39" t="s">
        <v>235</v>
      </c>
      <c r="D4562" t="s">
        <v>4244</v>
      </c>
      <c r="F4562" s="56"/>
    </row>
    <row r="4563" spans="1:6" ht="15">
      <c r="A4563" s="51">
        <v>292885</v>
      </c>
      <c r="B4563" t="s">
        <v>236</v>
      </c>
      <c r="C4563" s="39" t="s">
        <v>235</v>
      </c>
      <c r="D4563" t="s">
        <v>4244</v>
      </c>
      <c r="F4563" s="56"/>
    </row>
    <row r="4564" spans="1:6" ht="15">
      <c r="A4564" s="51">
        <v>292882</v>
      </c>
      <c r="B4564" t="s">
        <v>3122</v>
      </c>
      <c r="C4564" s="39" t="s">
        <v>2869</v>
      </c>
      <c r="D4564">
        <v>9</v>
      </c>
      <c r="F4564" s="56"/>
    </row>
    <row r="4565" spans="1:6" ht="15">
      <c r="A4565" s="51">
        <v>292886</v>
      </c>
      <c r="B4565" t="s">
        <v>3123</v>
      </c>
      <c r="C4565" s="39" t="s">
        <v>241</v>
      </c>
      <c r="D4565" t="s">
        <v>4249</v>
      </c>
      <c r="F4565" s="56"/>
    </row>
    <row r="4566" spans="1:6" ht="15">
      <c r="A4566" s="51">
        <v>292887</v>
      </c>
      <c r="B4566" t="s">
        <v>242</v>
      </c>
      <c r="C4566" s="39" t="s">
        <v>243</v>
      </c>
      <c r="D4566" t="s">
        <v>4245</v>
      </c>
      <c r="F4566" s="56"/>
    </row>
    <row r="4567" spans="1:6" ht="15">
      <c r="A4567" s="51">
        <v>292888</v>
      </c>
      <c r="B4567" t="s">
        <v>245</v>
      </c>
      <c r="C4567" s="39" t="s">
        <v>243</v>
      </c>
      <c r="D4567" t="s">
        <v>4247</v>
      </c>
      <c r="F4567" s="56"/>
    </row>
    <row r="4568" spans="1:6" ht="15">
      <c r="A4568" s="51">
        <v>292889</v>
      </c>
      <c r="B4568" t="s">
        <v>1778</v>
      </c>
      <c r="C4568" s="39" t="s">
        <v>1589</v>
      </c>
      <c r="D4568">
        <v>7</v>
      </c>
      <c r="F4568" s="56"/>
    </row>
    <row r="4569" spans="1:6" ht="15">
      <c r="A4569" s="51">
        <v>292890</v>
      </c>
      <c r="B4569" t="s">
        <v>432</v>
      </c>
      <c r="C4569" s="39" t="s">
        <v>433</v>
      </c>
      <c r="D4569" t="s">
        <v>4245</v>
      </c>
      <c r="F4569" s="56"/>
    </row>
    <row r="4570" spans="1:6" ht="15">
      <c r="A4570" s="51">
        <v>292891</v>
      </c>
      <c r="B4570" t="s">
        <v>1263</v>
      </c>
      <c r="C4570" s="39" t="s">
        <v>884</v>
      </c>
      <c r="D4570">
        <v>7</v>
      </c>
      <c r="F4570" s="56"/>
    </row>
    <row r="4571" spans="1:6" ht="15">
      <c r="A4571" s="51">
        <v>292892</v>
      </c>
      <c r="B4571" t="s">
        <v>3124</v>
      </c>
      <c r="C4571" s="39" t="s">
        <v>3125</v>
      </c>
      <c r="D4571">
        <v>7</v>
      </c>
      <c r="F4571" s="56"/>
    </row>
    <row r="4572" spans="1:6" ht="15">
      <c r="A4572" s="51">
        <v>292893</v>
      </c>
      <c r="B4572" t="s">
        <v>2555</v>
      </c>
      <c r="C4572" s="39" t="s">
        <v>3125</v>
      </c>
      <c r="D4572">
        <v>7</v>
      </c>
      <c r="F4572" s="56"/>
    </row>
    <row r="4573" spans="1:6" ht="15">
      <c r="A4573" s="51">
        <v>292894</v>
      </c>
      <c r="B4573" t="s">
        <v>262</v>
      </c>
      <c r="C4573" s="39" t="s">
        <v>261</v>
      </c>
      <c r="D4573" t="s">
        <v>4245</v>
      </c>
      <c r="F4573" s="56"/>
    </row>
    <row r="4574" spans="1:6" ht="15">
      <c r="A4574" s="51">
        <v>292895</v>
      </c>
      <c r="B4574" t="s">
        <v>447</v>
      </c>
      <c r="C4574" s="39" t="s">
        <v>261</v>
      </c>
      <c r="D4574" t="s">
        <v>4244</v>
      </c>
      <c r="F4574" s="56"/>
    </row>
    <row r="4575" spans="1:6" ht="15">
      <c r="A4575" s="51">
        <v>292896</v>
      </c>
      <c r="B4575" t="s">
        <v>448</v>
      </c>
      <c r="C4575" s="39" t="s">
        <v>261</v>
      </c>
      <c r="D4575" t="s">
        <v>4243</v>
      </c>
      <c r="F4575" s="56"/>
    </row>
    <row r="4576" spans="1:6" ht="15">
      <c r="A4576" s="51">
        <v>292897</v>
      </c>
      <c r="B4576" t="s">
        <v>3126</v>
      </c>
      <c r="C4576" s="39" t="s">
        <v>1132</v>
      </c>
      <c r="D4576">
        <v>7</v>
      </c>
      <c r="F4576" s="56"/>
    </row>
    <row r="4577" spans="1:6" ht="15">
      <c r="A4577" s="51">
        <v>292898</v>
      </c>
      <c r="B4577" t="s">
        <v>265</v>
      </c>
      <c r="C4577" s="39" t="s">
        <v>1132</v>
      </c>
      <c r="D4577">
        <v>7</v>
      </c>
      <c r="F4577" s="56"/>
    </row>
    <row r="4578" spans="1:6" ht="15">
      <c r="A4578" s="51">
        <v>292900</v>
      </c>
      <c r="B4578" t="s">
        <v>1133</v>
      </c>
      <c r="C4578" s="39" t="s">
        <v>278</v>
      </c>
      <c r="D4578" t="s">
        <v>468</v>
      </c>
      <c r="F4578" s="56"/>
    </row>
    <row r="4579" spans="1:6" ht="15">
      <c r="A4579" s="51">
        <v>292901</v>
      </c>
      <c r="B4579" t="s">
        <v>1135</v>
      </c>
      <c r="C4579" s="39" t="s">
        <v>278</v>
      </c>
      <c r="D4579" t="s">
        <v>468</v>
      </c>
      <c r="F4579" s="56"/>
    </row>
    <row r="4580" spans="1:6" ht="15">
      <c r="A4580" s="51">
        <v>292902</v>
      </c>
      <c r="B4580" t="s">
        <v>2268</v>
      </c>
      <c r="C4580" s="39" t="s">
        <v>278</v>
      </c>
      <c r="D4580" t="s">
        <v>469</v>
      </c>
      <c r="F4580" s="56"/>
    </row>
    <row r="4581" spans="1:6" ht="15">
      <c r="A4581" s="51">
        <v>292903</v>
      </c>
      <c r="B4581" t="s">
        <v>1213</v>
      </c>
      <c r="C4581" s="39" t="s">
        <v>283</v>
      </c>
      <c r="D4581">
        <v>8</v>
      </c>
      <c r="F4581" s="56"/>
    </row>
    <row r="4582" spans="1:6" ht="15">
      <c r="A4582" s="51">
        <v>3225433</v>
      </c>
      <c r="B4582" t="s">
        <v>3127</v>
      </c>
      <c r="C4582" s="39" t="s">
        <v>3128</v>
      </c>
      <c r="D4582" t="s">
        <v>4249</v>
      </c>
      <c r="F4582" s="56"/>
    </row>
    <row r="4583" spans="1:6" ht="15">
      <c r="A4583" s="51">
        <v>292904</v>
      </c>
      <c r="B4583" t="s">
        <v>89</v>
      </c>
      <c r="C4583" s="39" t="s">
        <v>3129</v>
      </c>
      <c r="D4583" t="s">
        <v>4243</v>
      </c>
      <c r="F4583" s="56"/>
    </row>
    <row r="4584" spans="1:6" ht="15">
      <c r="A4584" s="51">
        <v>3224631</v>
      </c>
      <c r="B4584" t="s">
        <v>3130</v>
      </c>
      <c r="C4584" s="39" t="s">
        <v>3131</v>
      </c>
      <c r="D4584">
        <v>9</v>
      </c>
      <c r="F4584" s="56"/>
    </row>
    <row r="4585" spans="1:6" ht="15">
      <c r="A4585" s="51">
        <v>292905</v>
      </c>
      <c r="B4585" t="s">
        <v>1621</v>
      </c>
      <c r="C4585" s="39" t="s">
        <v>1792</v>
      </c>
      <c r="D4585">
        <v>9</v>
      </c>
      <c r="F4585" s="56"/>
    </row>
    <row r="4586" spans="1:6" ht="15">
      <c r="A4586" s="51">
        <v>292906</v>
      </c>
      <c r="B4586" t="s">
        <v>3132</v>
      </c>
      <c r="C4586" s="39" t="s">
        <v>3133</v>
      </c>
      <c r="D4586">
        <v>8</v>
      </c>
      <c r="F4586" s="56"/>
    </row>
    <row r="4587" spans="1:6" ht="15">
      <c r="A4587" s="51">
        <v>3028684</v>
      </c>
      <c r="B4587" t="s">
        <v>3134</v>
      </c>
      <c r="C4587" s="39" t="s">
        <v>3135</v>
      </c>
      <c r="D4587">
        <v>9</v>
      </c>
      <c r="F4587" s="56"/>
    </row>
    <row r="4588" spans="1:6" ht="15">
      <c r="A4588" s="51">
        <v>3028685</v>
      </c>
      <c r="B4588" t="s">
        <v>3136</v>
      </c>
      <c r="C4588" s="39" t="s">
        <v>3137</v>
      </c>
      <c r="D4588">
        <v>9</v>
      </c>
      <c r="F4588" s="56"/>
    </row>
    <row r="4589" spans="1:6" ht="15">
      <c r="A4589" s="51">
        <v>292908</v>
      </c>
      <c r="B4589" t="s">
        <v>361</v>
      </c>
      <c r="C4589" s="39" t="s">
        <v>3138</v>
      </c>
      <c r="D4589" t="s">
        <v>4248</v>
      </c>
      <c r="F4589" s="56"/>
    </row>
    <row r="4590" spans="1:6" ht="15">
      <c r="A4590" s="51">
        <v>292909</v>
      </c>
      <c r="B4590" t="s">
        <v>363</v>
      </c>
      <c r="C4590" s="39" t="s">
        <v>3138</v>
      </c>
      <c r="D4590" t="s">
        <v>4246</v>
      </c>
      <c r="F4590" s="56"/>
    </row>
    <row r="4591" spans="1:6" ht="15">
      <c r="A4591" s="51">
        <v>3224632</v>
      </c>
      <c r="B4591" t="s">
        <v>3139</v>
      </c>
      <c r="C4591" s="39" t="s">
        <v>3140</v>
      </c>
      <c r="D4591">
        <v>9</v>
      </c>
      <c r="F4591" s="56"/>
    </row>
    <row r="4592" spans="1:6" ht="15">
      <c r="A4592" s="51">
        <v>292910</v>
      </c>
      <c r="B4592" t="s">
        <v>1023</v>
      </c>
      <c r="C4592" s="39" t="s">
        <v>3141</v>
      </c>
      <c r="D4592" t="s">
        <v>4243</v>
      </c>
      <c r="F4592" s="56"/>
    </row>
    <row r="4593" spans="1:6" ht="15">
      <c r="A4593" s="51">
        <v>3028686</v>
      </c>
      <c r="B4593" t="s">
        <v>3142</v>
      </c>
      <c r="C4593" s="39" t="s">
        <v>3143</v>
      </c>
      <c r="D4593">
        <v>9</v>
      </c>
      <c r="F4593" s="56"/>
    </row>
    <row r="4594" spans="1:6" ht="15">
      <c r="A4594" s="51">
        <v>3028687</v>
      </c>
      <c r="B4594" t="s">
        <v>3144</v>
      </c>
      <c r="C4594" s="39" t="s">
        <v>3143</v>
      </c>
      <c r="D4594">
        <v>9</v>
      </c>
      <c r="F4594" s="56"/>
    </row>
    <row r="4595" spans="1:6" ht="15">
      <c r="A4595" s="51">
        <v>292911</v>
      </c>
      <c r="B4595" t="s">
        <v>1176</v>
      </c>
      <c r="C4595" s="39" t="s">
        <v>3145</v>
      </c>
      <c r="D4595" t="s">
        <v>4248</v>
      </c>
      <c r="F4595" s="56"/>
    </row>
    <row r="4596" spans="1:6" ht="15">
      <c r="A4596" s="51">
        <v>3028688</v>
      </c>
      <c r="B4596" t="s">
        <v>3146</v>
      </c>
      <c r="C4596" s="39" t="s">
        <v>3147</v>
      </c>
      <c r="D4596">
        <v>9</v>
      </c>
      <c r="F4596" s="56"/>
    </row>
    <row r="4597" spans="1:6" ht="15">
      <c r="A4597" s="51">
        <v>3028689</v>
      </c>
      <c r="B4597" t="s">
        <v>2617</v>
      </c>
      <c r="C4597" s="39" t="s">
        <v>3147</v>
      </c>
      <c r="D4597">
        <v>9</v>
      </c>
      <c r="F4597" s="56"/>
    </row>
    <row r="4598" spans="1:6" ht="15">
      <c r="A4598" s="51">
        <v>3028690</v>
      </c>
      <c r="B4598" t="s">
        <v>3148</v>
      </c>
      <c r="C4598" s="39" t="s">
        <v>3147</v>
      </c>
      <c r="D4598">
        <v>9</v>
      </c>
      <c r="F4598" s="56"/>
    </row>
    <row r="4599" spans="1:6" ht="15">
      <c r="A4599" s="51">
        <v>3028691</v>
      </c>
      <c r="B4599" t="s">
        <v>3149</v>
      </c>
      <c r="C4599" s="39" t="s">
        <v>3150</v>
      </c>
      <c r="D4599">
        <v>9</v>
      </c>
      <c r="F4599" s="56"/>
    </row>
    <row r="4600" spans="1:6" ht="15">
      <c r="A4600" s="51">
        <v>3028692</v>
      </c>
      <c r="B4600" t="s">
        <v>3151</v>
      </c>
      <c r="C4600" s="39" t="s">
        <v>3152</v>
      </c>
      <c r="D4600">
        <v>9</v>
      </c>
      <c r="F4600" s="56"/>
    </row>
    <row r="4601" spans="1:6" ht="15">
      <c r="A4601" s="51">
        <v>292912</v>
      </c>
      <c r="B4601" t="s">
        <v>3153</v>
      </c>
      <c r="C4601" s="39" t="s">
        <v>3154</v>
      </c>
      <c r="D4601" t="s">
        <v>4243</v>
      </c>
      <c r="F4601" s="56"/>
    </row>
    <row r="4602" spans="1:6" ht="15">
      <c r="A4602" s="51">
        <v>292914</v>
      </c>
      <c r="B4602" t="s">
        <v>1071</v>
      </c>
      <c r="C4602" s="39" t="s">
        <v>3155</v>
      </c>
      <c r="D4602" t="s">
        <v>4243</v>
      </c>
      <c r="F4602" s="56"/>
    </row>
    <row r="4603" spans="1:6" ht="15">
      <c r="A4603" s="51">
        <v>292919</v>
      </c>
      <c r="B4603" t="s">
        <v>2863</v>
      </c>
      <c r="C4603" s="39" t="s">
        <v>3156</v>
      </c>
      <c r="D4603" t="s">
        <v>4245</v>
      </c>
      <c r="F4603" s="56"/>
    </row>
    <row r="4604" spans="1:6" ht="15">
      <c r="A4604" s="51">
        <v>292920</v>
      </c>
      <c r="B4604" t="s">
        <v>1664</v>
      </c>
      <c r="C4604" s="39" t="s">
        <v>3156</v>
      </c>
      <c r="D4604" t="s">
        <v>4246</v>
      </c>
      <c r="F4604" s="56"/>
    </row>
    <row r="4605" spans="1:6" ht="15">
      <c r="A4605" s="51">
        <v>2937922</v>
      </c>
      <c r="B4605" t="s">
        <v>1666</v>
      </c>
      <c r="C4605" s="39" t="s">
        <v>3156</v>
      </c>
      <c r="D4605" t="s">
        <v>4244</v>
      </c>
      <c r="F4605" s="56"/>
    </row>
    <row r="4606" spans="1:6" ht="15">
      <c r="A4606" s="51">
        <v>2937923</v>
      </c>
      <c r="B4606" t="s">
        <v>2024</v>
      </c>
      <c r="C4606" s="39" t="s">
        <v>3156</v>
      </c>
      <c r="D4606">
        <v>8</v>
      </c>
      <c r="F4606" s="56"/>
    </row>
    <row r="4607" spans="1:6" ht="15">
      <c r="A4607" s="51">
        <v>3225434</v>
      </c>
      <c r="B4607" t="s">
        <v>3157</v>
      </c>
      <c r="C4607" s="39" t="s">
        <v>3158</v>
      </c>
      <c r="D4607" t="s">
        <v>4249</v>
      </c>
      <c r="F4607" s="56"/>
    </row>
    <row r="4608" spans="1:6" ht="15">
      <c r="A4608" s="51">
        <v>3225435</v>
      </c>
      <c r="B4608" t="s">
        <v>3159</v>
      </c>
      <c r="C4608" s="39" t="s">
        <v>3158</v>
      </c>
      <c r="D4608">
        <v>9</v>
      </c>
      <c r="F4608" s="56"/>
    </row>
    <row r="4609" spans="1:6" ht="15">
      <c r="A4609" s="51">
        <v>292921</v>
      </c>
      <c r="B4609" t="s">
        <v>223</v>
      </c>
      <c r="C4609" s="39" t="s">
        <v>3160</v>
      </c>
      <c r="D4609" t="s">
        <v>4243</v>
      </c>
      <c r="F4609" s="56"/>
    </row>
    <row r="4610" spans="1:6" ht="15">
      <c r="A4610" s="51">
        <v>292922</v>
      </c>
      <c r="B4610" t="s">
        <v>967</v>
      </c>
      <c r="C4610" s="39" t="s">
        <v>228</v>
      </c>
      <c r="D4610">
        <v>9</v>
      </c>
      <c r="F4610" s="56"/>
    </row>
    <row r="4611" spans="1:6" ht="15">
      <c r="A4611" s="51">
        <v>292923</v>
      </c>
      <c r="B4611" t="s">
        <v>2636</v>
      </c>
      <c r="C4611" s="39" t="s">
        <v>228</v>
      </c>
      <c r="D4611">
        <v>9</v>
      </c>
      <c r="F4611" s="56"/>
    </row>
    <row r="4612" spans="1:6" ht="15">
      <c r="A4612" s="51">
        <v>292924</v>
      </c>
      <c r="B4612" t="s">
        <v>2047</v>
      </c>
      <c r="C4612" s="39" t="s">
        <v>3161</v>
      </c>
      <c r="D4612" t="s">
        <v>4243</v>
      </c>
      <c r="F4612" s="56"/>
    </row>
    <row r="4613" spans="1:6" ht="15">
      <c r="A4613" s="51">
        <v>292925</v>
      </c>
      <c r="B4613" t="s">
        <v>2049</v>
      </c>
      <c r="C4613" s="39" t="s">
        <v>3161</v>
      </c>
      <c r="D4613">
        <v>7</v>
      </c>
      <c r="F4613" s="56"/>
    </row>
    <row r="4614" spans="1:6" ht="15">
      <c r="A4614" s="51">
        <v>292926</v>
      </c>
      <c r="B4614" t="s">
        <v>3162</v>
      </c>
      <c r="C4614" s="39" t="s">
        <v>3163</v>
      </c>
      <c r="D4614">
        <v>8</v>
      </c>
      <c r="F4614" s="56"/>
    </row>
    <row r="4615" spans="1:6" ht="15">
      <c r="A4615" s="51">
        <v>292927</v>
      </c>
      <c r="B4615" t="s">
        <v>2891</v>
      </c>
      <c r="C4615" s="39" t="s">
        <v>238</v>
      </c>
      <c r="D4615" t="s">
        <v>4246</v>
      </c>
      <c r="F4615" s="56"/>
    </row>
    <row r="4616" spans="1:6" ht="15">
      <c r="A4616" s="51">
        <v>292928</v>
      </c>
      <c r="B4616" t="s">
        <v>3164</v>
      </c>
      <c r="C4616" s="39" t="s">
        <v>238</v>
      </c>
      <c r="D4616" t="s">
        <v>4247</v>
      </c>
      <c r="F4616" s="56"/>
    </row>
    <row r="4617" spans="1:6" ht="15">
      <c r="A4617" s="51">
        <v>292929</v>
      </c>
      <c r="B4617" t="s">
        <v>3165</v>
      </c>
      <c r="C4617" s="39" t="s">
        <v>238</v>
      </c>
      <c r="D4617" t="s">
        <v>4243</v>
      </c>
      <c r="F4617" s="56"/>
    </row>
    <row r="4618" spans="1:6" ht="15">
      <c r="A4618" s="51">
        <v>292930</v>
      </c>
      <c r="B4618" t="s">
        <v>3166</v>
      </c>
      <c r="C4618" s="39" t="s">
        <v>238</v>
      </c>
      <c r="D4618">
        <v>7</v>
      </c>
      <c r="F4618" s="56"/>
    </row>
    <row r="4619" spans="1:6" ht="15">
      <c r="A4619" s="51">
        <v>3224634</v>
      </c>
      <c r="B4619" t="s">
        <v>1856</v>
      </c>
      <c r="C4619" s="39" t="s">
        <v>3167</v>
      </c>
      <c r="D4619" t="s">
        <v>4249</v>
      </c>
      <c r="F4619" s="56"/>
    </row>
    <row r="4620" spans="1:6" ht="15">
      <c r="A4620" s="51">
        <v>292931</v>
      </c>
      <c r="B4620" t="s">
        <v>880</v>
      </c>
      <c r="C4620" s="39" t="s">
        <v>243</v>
      </c>
      <c r="D4620" t="s">
        <v>4245</v>
      </c>
      <c r="F4620" s="56"/>
    </row>
    <row r="4621" spans="1:6" ht="15">
      <c r="A4621" s="51">
        <v>292932</v>
      </c>
      <c r="B4621" t="s">
        <v>2764</v>
      </c>
      <c r="C4621" s="39" t="s">
        <v>243</v>
      </c>
      <c r="D4621" t="s">
        <v>4245</v>
      </c>
      <c r="F4621" s="56"/>
    </row>
    <row r="4622" spans="1:6" ht="15">
      <c r="A4622" s="51">
        <v>292933</v>
      </c>
      <c r="B4622" t="s">
        <v>2765</v>
      </c>
      <c r="C4622" s="39" t="s">
        <v>243</v>
      </c>
      <c r="D4622" t="s">
        <v>4247</v>
      </c>
      <c r="F4622" s="56"/>
    </row>
    <row r="4623" spans="1:6" ht="15">
      <c r="A4623" s="51">
        <v>292934</v>
      </c>
      <c r="B4623" t="s">
        <v>1778</v>
      </c>
      <c r="C4623" s="39" t="s">
        <v>430</v>
      </c>
      <c r="D4623" t="s">
        <v>4247</v>
      </c>
      <c r="F4623" s="56"/>
    </row>
    <row r="4624" spans="1:6" ht="15">
      <c r="A4624" s="51">
        <v>292913</v>
      </c>
      <c r="B4624" t="s">
        <v>3168</v>
      </c>
      <c r="C4624" s="39" t="s">
        <v>3169</v>
      </c>
      <c r="D4624" t="s">
        <v>4243</v>
      </c>
      <c r="F4624" s="56"/>
    </row>
    <row r="4625" spans="1:6" ht="15">
      <c r="A4625" s="51">
        <v>292938</v>
      </c>
      <c r="B4625" t="s">
        <v>2767</v>
      </c>
      <c r="C4625" s="39" t="s">
        <v>3170</v>
      </c>
      <c r="D4625">
        <v>9</v>
      </c>
      <c r="F4625" s="56"/>
    </row>
    <row r="4626" spans="1:6" ht="15">
      <c r="A4626" s="51">
        <v>292939</v>
      </c>
      <c r="B4626" t="s">
        <v>3171</v>
      </c>
      <c r="C4626" s="39" t="s">
        <v>440</v>
      </c>
      <c r="D4626">
        <v>9</v>
      </c>
      <c r="F4626" s="56"/>
    </row>
    <row r="4627" spans="1:6" ht="15">
      <c r="A4627" s="51">
        <v>292940</v>
      </c>
      <c r="B4627" t="s">
        <v>3172</v>
      </c>
      <c r="C4627" s="39" t="s">
        <v>440</v>
      </c>
      <c r="D4627">
        <v>9</v>
      </c>
      <c r="F4627" s="56"/>
    </row>
    <row r="4628" spans="1:6" ht="15">
      <c r="A4628" s="51">
        <v>292935</v>
      </c>
      <c r="B4628" t="s">
        <v>259</v>
      </c>
      <c r="C4628" s="39" t="s">
        <v>440</v>
      </c>
      <c r="D4628">
        <v>9</v>
      </c>
      <c r="F4628" s="56"/>
    </row>
    <row r="4629" spans="1:6" ht="15">
      <c r="A4629" s="51">
        <v>292936</v>
      </c>
      <c r="B4629" t="s">
        <v>441</v>
      </c>
      <c r="C4629" s="39" t="s">
        <v>258</v>
      </c>
      <c r="D4629">
        <v>9</v>
      </c>
      <c r="F4629" s="56"/>
    </row>
    <row r="4630" spans="1:6" ht="15">
      <c r="A4630" s="51">
        <v>292941</v>
      </c>
      <c r="B4630" t="s">
        <v>443</v>
      </c>
      <c r="C4630" s="39" t="s">
        <v>450</v>
      </c>
      <c r="D4630">
        <v>9</v>
      </c>
      <c r="F4630" s="56"/>
    </row>
    <row r="4631" spans="1:6" ht="15">
      <c r="A4631" s="51">
        <v>292937</v>
      </c>
      <c r="B4631" t="s">
        <v>444</v>
      </c>
      <c r="C4631" s="39" t="s">
        <v>3173</v>
      </c>
      <c r="D4631">
        <v>9</v>
      </c>
      <c r="F4631" s="56"/>
    </row>
    <row r="4632" spans="1:6" ht="15">
      <c r="A4632" s="51">
        <v>292942</v>
      </c>
      <c r="B4632" t="s">
        <v>2509</v>
      </c>
      <c r="C4632" s="39" t="s">
        <v>3174</v>
      </c>
      <c r="D4632">
        <v>9</v>
      </c>
      <c r="F4632" s="56"/>
    </row>
    <row r="4633" spans="1:6" ht="15">
      <c r="A4633" s="51">
        <v>292943</v>
      </c>
      <c r="B4633" t="s">
        <v>262</v>
      </c>
      <c r="C4633" s="39" t="s">
        <v>3175</v>
      </c>
      <c r="D4633">
        <v>9</v>
      </c>
      <c r="F4633" s="56"/>
    </row>
    <row r="4634" spans="1:6" ht="15">
      <c r="A4634" s="51">
        <v>292944</v>
      </c>
      <c r="B4634" t="s">
        <v>447</v>
      </c>
      <c r="C4634" s="39" t="s">
        <v>3175</v>
      </c>
      <c r="D4634">
        <v>9</v>
      </c>
      <c r="F4634" s="56"/>
    </row>
    <row r="4635" spans="1:6" ht="15">
      <c r="A4635" s="51">
        <v>292945</v>
      </c>
      <c r="B4635" t="s">
        <v>1511</v>
      </c>
      <c r="C4635" s="39" t="s">
        <v>3176</v>
      </c>
      <c r="D4635">
        <v>9</v>
      </c>
      <c r="F4635" s="56"/>
    </row>
    <row r="4636" spans="1:6" ht="15">
      <c r="A4636" s="51">
        <v>292946</v>
      </c>
      <c r="B4636" t="s">
        <v>1513</v>
      </c>
      <c r="C4636" s="39" t="s">
        <v>3176</v>
      </c>
      <c r="D4636">
        <v>9</v>
      </c>
      <c r="F4636" s="56"/>
    </row>
    <row r="4637" spans="1:6" ht="15">
      <c r="A4637" s="51">
        <v>292947</v>
      </c>
      <c r="B4637" t="s">
        <v>3177</v>
      </c>
      <c r="C4637" s="39" t="s">
        <v>3176</v>
      </c>
      <c r="D4637">
        <v>9</v>
      </c>
      <c r="F4637" s="56"/>
    </row>
    <row r="4638" spans="1:6" ht="15">
      <c r="A4638" s="51">
        <v>292948</v>
      </c>
      <c r="B4638" t="s">
        <v>3178</v>
      </c>
      <c r="C4638" s="39" t="s">
        <v>3176</v>
      </c>
      <c r="D4638">
        <v>9</v>
      </c>
      <c r="F4638" s="56"/>
    </row>
    <row r="4639" spans="1:6" ht="15">
      <c r="A4639" s="51">
        <v>292949</v>
      </c>
      <c r="B4639" t="s">
        <v>1874</v>
      </c>
      <c r="C4639" s="39" t="s">
        <v>304</v>
      </c>
      <c r="D4639">
        <v>9</v>
      </c>
      <c r="F4639" s="56"/>
    </row>
    <row r="4640" spans="1:6" ht="15">
      <c r="A4640" s="51">
        <v>292950</v>
      </c>
      <c r="B4640" t="s">
        <v>1592</v>
      </c>
      <c r="C4640" s="39" t="s">
        <v>304</v>
      </c>
      <c r="D4640">
        <v>9</v>
      </c>
      <c r="F4640" s="56"/>
    </row>
    <row r="4641" spans="1:6" ht="15">
      <c r="A4641" s="51">
        <v>292951</v>
      </c>
      <c r="B4641" t="s">
        <v>3179</v>
      </c>
      <c r="C4641" s="39" t="s">
        <v>304</v>
      </c>
      <c r="D4641">
        <v>9</v>
      </c>
      <c r="F4641" s="56"/>
    </row>
    <row r="4642" spans="1:6" ht="15">
      <c r="A4642" s="51">
        <v>292952</v>
      </c>
      <c r="B4642" t="s">
        <v>451</v>
      </c>
      <c r="C4642" s="39" t="s">
        <v>3180</v>
      </c>
      <c r="D4642">
        <v>9</v>
      </c>
      <c r="F4642" s="56"/>
    </row>
    <row r="4643" spans="1:6" ht="15">
      <c r="A4643" s="51">
        <v>292953</v>
      </c>
      <c r="B4643" t="s">
        <v>1878</v>
      </c>
      <c r="C4643" s="39" t="s">
        <v>452</v>
      </c>
      <c r="D4643">
        <v>9</v>
      </c>
      <c r="F4643" s="56"/>
    </row>
    <row r="4644" spans="1:6" ht="15">
      <c r="A4644" s="51">
        <v>292954</v>
      </c>
      <c r="B4644" t="s">
        <v>1882</v>
      </c>
      <c r="C4644" s="39" t="s">
        <v>452</v>
      </c>
      <c r="D4644">
        <v>9</v>
      </c>
      <c r="F4644" s="56"/>
    </row>
    <row r="4645" spans="1:6" ht="15">
      <c r="A4645" s="51">
        <v>292955</v>
      </c>
      <c r="B4645" t="s">
        <v>455</v>
      </c>
      <c r="C4645" s="39" t="s">
        <v>550</v>
      </c>
      <c r="D4645" t="s">
        <v>4244</v>
      </c>
      <c r="F4645" s="56"/>
    </row>
    <row r="4646" spans="1:6" ht="15">
      <c r="A4646" s="51">
        <v>292956</v>
      </c>
      <c r="B4646" t="s">
        <v>887</v>
      </c>
      <c r="C4646" s="39" t="s">
        <v>1594</v>
      </c>
      <c r="D4646" t="s">
        <v>4243</v>
      </c>
      <c r="F4646" s="56"/>
    </row>
    <row r="4647" spans="1:6" ht="15">
      <c r="A4647" s="51">
        <v>292958</v>
      </c>
      <c r="B4647" t="s">
        <v>87</v>
      </c>
      <c r="C4647" s="39" t="s">
        <v>835</v>
      </c>
      <c r="D4647">
        <v>9</v>
      </c>
      <c r="F4647" s="56"/>
    </row>
    <row r="4648" spans="1:6" ht="15">
      <c r="A4648" s="51">
        <v>292959</v>
      </c>
      <c r="B4648" t="s">
        <v>3181</v>
      </c>
      <c r="C4648" s="39" t="s">
        <v>3182</v>
      </c>
      <c r="D4648" t="s">
        <v>4247</v>
      </c>
      <c r="F4648" s="56"/>
    </row>
    <row r="4649" spans="1:6" ht="15">
      <c r="A4649" s="51">
        <v>292960</v>
      </c>
      <c r="B4649" t="s">
        <v>1348</v>
      </c>
      <c r="C4649" s="39" t="s">
        <v>3182</v>
      </c>
      <c r="D4649" t="s">
        <v>4247</v>
      </c>
      <c r="F4649" s="56"/>
    </row>
    <row r="4650" spans="1:6" ht="15">
      <c r="A4650" s="51">
        <v>292961</v>
      </c>
      <c r="B4650" t="s">
        <v>319</v>
      </c>
      <c r="C4650" s="39" t="s">
        <v>1352</v>
      </c>
      <c r="D4650" t="s">
        <v>469</v>
      </c>
      <c r="F4650" s="56"/>
    </row>
    <row r="4651" spans="1:6" ht="15">
      <c r="A4651" s="51">
        <v>292962</v>
      </c>
      <c r="B4651" t="s">
        <v>1788</v>
      </c>
      <c r="C4651" s="39" t="s">
        <v>1352</v>
      </c>
      <c r="D4651" t="s">
        <v>469</v>
      </c>
      <c r="F4651" s="56"/>
    </row>
    <row r="4652" spans="1:6" ht="15">
      <c r="A4652" s="51">
        <v>292963</v>
      </c>
      <c r="B4652" t="s">
        <v>975</v>
      </c>
      <c r="C4652" s="39" t="s">
        <v>536</v>
      </c>
      <c r="D4652" t="s">
        <v>4246</v>
      </c>
      <c r="F4652" s="56"/>
    </row>
    <row r="4653" spans="1:6" ht="15">
      <c r="A4653" s="51">
        <v>292964</v>
      </c>
      <c r="B4653" t="s">
        <v>323</v>
      </c>
      <c r="C4653" s="39" t="s">
        <v>536</v>
      </c>
      <c r="D4653" t="s">
        <v>4247</v>
      </c>
      <c r="F4653" s="56"/>
    </row>
    <row r="4654" spans="1:6" ht="15">
      <c r="A4654" s="51">
        <v>292965</v>
      </c>
      <c r="B4654" t="s">
        <v>3183</v>
      </c>
      <c r="C4654" s="39" t="s">
        <v>536</v>
      </c>
      <c r="D4654" t="s">
        <v>4245</v>
      </c>
      <c r="F4654" s="56"/>
    </row>
    <row r="4655" spans="1:6" ht="15">
      <c r="A4655" s="51">
        <v>292966</v>
      </c>
      <c r="B4655" t="s">
        <v>325</v>
      </c>
      <c r="C4655" s="39" t="s">
        <v>536</v>
      </c>
      <c r="D4655" t="s">
        <v>4246</v>
      </c>
      <c r="F4655" s="56"/>
    </row>
    <row r="4656" spans="1:6" ht="15">
      <c r="A4656" s="51">
        <v>292967</v>
      </c>
      <c r="B4656" t="s">
        <v>2688</v>
      </c>
      <c r="C4656" s="39" t="s">
        <v>1363</v>
      </c>
      <c r="D4656" t="s">
        <v>4245</v>
      </c>
      <c r="F4656" s="56"/>
    </row>
    <row r="4657" spans="1:6" ht="15">
      <c r="A4657" s="51">
        <v>292968</v>
      </c>
      <c r="B4657" t="s">
        <v>1967</v>
      </c>
      <c r="C4657" s="39" t="s">
        <v>1363</v>
      </c>
      <c r="D4657" t="s">
        <v>4245</v>
      </c>
      <c r="F4657" s="56"/>
    </row>
    <row r="4658" spans="1:6" ht="15">
      <c r="A4658" s="51">
        <v>292969</v>
      </c>
      <c r="B4658" t="s">
        <v>1145</v>
      </c>
      <c r="C4658" s="39" t="s">
        <v>1796</v>
      </c>
      <c r="D4658" t="s">
        <v>4244</v>
      </c>
      <c r="F4658" s="56"/>
    </row>
    <row r="4659" spans="1:6" ht="15">
      <c r="A4659" s="51">
        <v>292970</v>
      </c>
      <c r="B4659" t="s">
        <v>338</v>
      </c>
      <c r="C4659" s="39" t="s">
        <v>99</v>
      </c>
      <c r="D4659">
        <v>7</v>
      </c>
      <c r="F4659" s="56"/>
    </row>
    <row r="4660" spans="1:6" ht="15">
      <c r="A4660" s="51">
        <v>292971</v>
      </c>
      <c r="B4660" t="s">
        <v>98</v>
      </c>
      <c r="C4660" s="39" t="s">
        <v>99</v>
      </c>
      <c r="D4660">
        <v>7</v>
      </c>
      <c r="F4660" s="56"/>
    </row>
    <row r="4661" spans="1:6" ht="15">
      <c r="A4661" s="51">
        <v>292972</v>
      </c>
      <c r="B4661" t="s">
        <v>2459</v>
      </c>
      <c r="C4661" s="39" t="s">
        <v>3184</v>
      </c>
      <c r="D4661" t="s">
        <v>468</v>
      </c>
      <c r="F4661" s="56"/>
    </row>
    <row r="4662" spans="1:6" ht="15">
      <c r="A4662" s="51">
        <v>292973</v>
      </c>
      <c r="B4662" t="s">
        <v>2809</v>
      </c>
      <c r="C4662" s="39" t="s">
        <v>3184</v>
      </c>
      <c r="D4662" t="s">
        <v>468</v>
      </c>
      <c r="F4662" s="56"/>
    </row>
    <row r="4663" spans="1:6" ht="15">
      <c r="A4663" s="51">
        <v>292974</v>
      </c>
      <c r="B4663" t="s">
        <v>840</v>
      </c>
      <c r="C4663" s="39" t="s">
        <v>3184</v>
      </c>
      <c r="D4663" t="s">
        <v>469</v>
      </c>
      <c r="F4663" s="56"/>
    </row>
    <row r="4664" spans="1:6" ht="15">
      <c r="A4664" s="51">
        <v>292975</v>
      </c>
      <c r="B4664" t="s">
        <v>339</v>
      </c>
      <c r="C4664" s="39" t="s">
        <v>999</v>
      </c>
      <c r="D4664" t="s">
        <v>468</v>
      </c>
      <c r="F4664" s="56"/>
    </row>
    <row r="4665" spans="1:6" ht="15">
      <c r="A4665" s="51">
        <v>292976</v>
      </c>
      <c r="B4665" t="s">
        <v>340</v>
      </c>
      <c r="C4665" s="39" t="s">
        <v>999</v>
      </c>
      <c r="D4665" t="s">
        <v>468</v>
      </c>
      <c r="F4665" s="56"/>
    </row>
    <row r="4666" spans="1:6" ht="15">
      <c r="A4666" s="51">
        <v>292977</v>
      </c>
      <c r="B4666" t="s">
        <v>1366</v>
      </c>
      <c r="C4666" s="39" t="s">
        <v>999</v>
      </c>
      <c r="D4666" t="s">
        <v>1596</v>
      </c>
      <c r="F4666" s="56"/>
    </row>
    <row r="4667" spans="1:6" ht="15">
      <c r="A4667" s="51">
        <v>292978</v>
      </c>
      <c r="B4667" t="s">
        <v>341</v>
      </c>
      <c r="C4667" s="39" t="s">
        <v>999</v>
      </c>
      <c r="D4667" t="s">
        <v>1596</v>
      </c>
      <c r="F4667" s="56"/>
    </row>
    <row r="4668" spans="1:6" ht="15">
      <c r="A4668" s="51">
        <v>292979</v>
      </c>
      <c r="B4668" t="s">
        <v>1798</v>
      </c>
      <c r="C4668" s="39" t="s">
        <v>1799</v>
      </c>
      <c r="D4668">
        <v>7</v>
      </c>
      <c r="F4668" s="56"/>
    </row>
    <row r="4669" spans="1:6" ht="15">
      <c r="A4669" s="51">
        <v>292980</v>
      </c>
      <c r="B4669" t="s">
        <v>345</v>
      </c>
      <c r="C4669" s="39" t="s">
        <v>547</v>
      </c>
      <c r="D4669" t="s">
        <v>4244</v>
      </c>
      <c r="F4669" s="56"/>
    </row>
    <row r="4670" spans="1:6" ht="15">
      <c r="A4670" s="51">
        <v>292981</v>
      </c>
      <c r="B4670" t="s">
        <v>347</v>
      </c>
      <c r="C4670" s="39" t="s">
        <v>547</v>
      </c>
      <c r="D4670" t="s">
        <v>4244</v>
      </c>
      <c r="F4670" s="56"/>
    </row>
    <row r="4671" spans="1:6" ht="15">
      <c r="A4671" s="51">
        <v>292982</v>
      </c>
      <c r="B4671" t="s">
        <v>2188</v>
      </c>
      <c r="C4671" s="39" t="s">
        <v>346</v>
      </c>
      <c r="D4671" t="s">
        <v>4246</v>
      </c>
      <c r="F4671" s="56"/>
    </row>
    <row r="4672" spans="1:6" ht="15">
      <c r="A4672" s="51">
        <v>292983</v>
      </c>
      <c r="B4672" t="s">
        <v>1005</v>
      </c>
      <c r="C4672" s="39" t="s">
        <v>346</v>
      </c>
      <c r="D4672" t="s">
        <v>4246</v>
      </c>
      <c r="F4672" s="56"/>
    </row>
    <row r="4673" spans="1:6" ht="15">
      <c r="A4673" s="51">
        <v>292984</v>
      </c>
      <c r="B4673" t="s">
        <v>1157</v>
      </c>
      <c r="C4673" s="39" t="s">
        <v>542</v>
      </c>
      <c r="D4673" t="s">
        <v>4245</v>
      </c>
      <c r="F4673" s="56"/>
    </row>
    <row r="4674" spans="1:6" ht="15">
      <c r="A4674" s="51">
        <v>292985</v>
      </c>
      <c r="B4674" t="s">
        <v>110</v>
      </c>
      <c r="C4674" s="39" t="s">
        <v>542</v>
      </c>
      <c r="D4674" t="s">
        <v>4246</v>
      </c>
      <c r="F4674" s="56"/>
    </row>
    <row r="4675" spans="1:6" ht="15">
      <c r="A4675" s="51">
        <v>292986</v>
      </c>
      <c r="B4675" t="s">
        <v>350</v>
      </c>
      <c r="C4675" s="39" t="s">
        <v>349</v>
      </c>
      <c r="D4675" t="s">
        <v>4247</v>
      </c>
      <c r="F4675" s="56"/>
    </row>
    <row r="4676" spans="1:6" ht="15">
      <c r="A4676" s="51">
        <v>292987</v>
      </c>
      <c r="B4676" t="s">
        <v>354</v>
      </c>
      <c r="C4676" s="39" t="s">
        <v>355</v>
      </c>
      <c r="D4676" t="s">
        <v>4247</v>
      </c>
      <c r="F4676" s="56"/>
    </row>
    <row r="4677" spans="1:6" ht="15">
      <c r="A4677" s="51">
        <v>292988</v>
      </c>
      <c r="B4677" t="s">
        <v>2611</v>
      </c>
      <c r="C4677" s="39" t="s">
        <v>851</v>
      </c>
      <c r="D4677">
        <v>9</v>
      </c>
      <c r="F4677" s="56"/>
    </row>
    <row r="4678" spans="1:6" ht="15">
      <c r="A4678" s="51">
        <v>292989</v>
      </c>
      <c r="B4678" t="s">
        <v>1010</v>
      </c>
      <c r="C4678" s="39" t="s">
        <v>781</v>
      </c>
      <c r="D4678" t="s">
        <v>4245</v>
      </c>
      <c r="F4678" s="56"/>
    </row>
    <row r="4679" spans="1:6" ht="15">
      <c r="A4679" s="51">
        <v>292990</v>
      </c>
      <c r="B4679" t="s">
        <v>1011</v>
      </c>
      <c r="C4679" s="39" t="s">
        <v>781</v>
      </c>
      <c r="D4679" t="s">
        <v>4244</v>
      </c>
      <c r="F4679" s="56"/>
    </row>
    <row r="4680" spans="1:6" ht="15">
      <c r="A4680" s="51">
        <v>292991</v>
      </c>
      <c r="B4680" t="s">
        <v>3185</v>
      </c>
      <c r="C4680" s="39" t="s">
        <v>3186</v>
      </c>
      <c r="D4680" t="s">
        <v>4243</v>
      </c>
      <c r="F4680" s="56"/>
    </row>
    <row r="4681" spans="1:6" ht="15">
      <c r="A4681" s="51">
        <v>292992</v>
      </c>
      <c r="B4681" t="s">
        <v>358</v>
      </c>
      <c r="C4681" s="39" t="s">
        <v>362</v>
      </c>
      <c r="D4681" t="s">
        <v>4247</v>
      </c>
      <c r="F4681" s="56"/>
    </row>
    <row r="4682" spans="1:6" ht="15">
      <c r="A4682" s="51">
        <v>292993</v>
      </c>
      <c r="B4682" t="s">
        <v>360</v>
      </c>
      <c r="C4682" s="39" t="s">
        <v>362</v>
      </c>
      <c r="D4682" t="s">
        <v>4247</v>
      </c>
      <c r="F4682" s="56"/>
    </row>
    <row r="4683" spans="1:6" ht="15">
      <c r="A4683" s="51">
        <v>292994</v>
      </c>
      <c r="B4683" t="s">
        <v>1813</v>
      </c>
      <c r="C4683" s="39" t="s">
        <v>132</v>
      </c>
      <c r="D4683" t="s">
        <v>471</v>
      </c>
      <c r="F4683" s="56"/>
    </row>
    <row r="4684" spans="1:6" ht="15">
      <c r="A4684" s="51">
        <v>292995</v>
      </c>
      <c r="B4684" t="s">
        <v>139</v>
      </c>
      <c r="C4684" s="39" t="s">
        <v>140</v>
      </c>
      <c r="D4684">
        <v>7</v>
      </c>
      <c r="F4684" s="56"/>
    </row>
    <row r="4685" spans="1:6" ht="15">
      <c r="A4685" s="51">
        <v>292996</v>
      </c>
      <c r="B4685" t="s">
        <v>1023</v>
      </c>
      <c r="C4685" s="39" t="s">
        <v>1024</v>
      </c>
      <c r="D4685" t="s">
        <v>4243</v>
      </c>
      <c r="F4685" s="56"/>
    </row>
    <row r="4686" spans="1:6" ht="15">
      <c r="A4686" s="51">
        <v>292998</v>
      </c>
      <c r="B4686" t="s">
        <v>2464</v>
      </c>
      <c r="C4686" s="39" t="s">
        <v>1028</v>
      </c>
      <c r="D4686" t="s">
        <v>4245</v>
      </c>
      <c r="F4686" s="56"/>
    </row>
    <row r="4687" spans="1:6" ht="15">
      <c r="A4687" s="51">
        <v>292999</v>
      </c>
      <c r="B4687" t="s">
        <v>2465</v>
      </c>
      <c r="C4687" s="39" t="s">
        <v>1028</v>
      </c>
      <c r="D4687" t="s">
        <v>4246</v>
      </c>
      <c r="F4687" s="56"/>
    </row>
    <row r="4688" spans="1:6" ht="15">
      <c r="A4688" s="51">
        <v>293000</v>
      </c>
      <c r="B4688" t="s">
        <v>372</v>
      </c>
      <c r="C4688" s="39" t="s">
        <v>373</v>
      </c>
      <c r="D4688" t="s">
        <v>4248</v>
      </c>
      <c r="F4688" s="56"/>
    </row>
    <row r="4689" spans="1:6" ht="15">
      <c r="A4689" s="51">
        <v>293001</v>
      </c>
      <c r="B4689" t="s">
        <v>2844</v>
      </c>
      <c r="C4689" s="39" t="s">
        <v>1035</v>
      </c>
      <c r="D4689" t="s">
        <v>1595</v>
      </c>
      <c r="F4689" s="56"/>
    </row>
    <row r="4690" spans="1:6" ht="15">
      <c r="A4690" s="51">
        <v>293002</v>
      </c>
      <c r="B4690" t="s">
        <v>2004</v>
      </c>
      <c r="C4690" s="39" t="s">
        <v>1035</v>
      </c>
      <c r="D4690" t="s">
        <v>1595</v>
      </c>
      <c r="F4690" s="56"/>
    </row>
    <row r="4691" spans="1:6" ht="15">
      <c r="A4691" s="51">
        <v>293003</v>
      </c>
      <c r="B4691" t="s">
        <v>1034</v>
      </c>
      <c r="C4691" s="39" t="s">
        <v>1035</v>
      </c>
      <c r="D4691" t="s">
        <v>1595</v>
      </c>
      <c r="F4691" s="56"/>
    </row>
    <row r="4692" spans="1:6" ht="15">
      <c r="A4692" s="51">
        <v>293004</v>
      </c>
      <c r="B4692" t="s">
        <v>1036</v>
      </c>
      <c r="C4692" s="39" t="s">
        <v>1035</v>
      </c>
      <c r="D4692" t="s">
        <v>1595</v>
      </c>
      <c r="F4692" s="56"/>
    </row>
    <row r="4693" spans="1:6" ht="15">
      <c r="A4693" s="51">
        <v>293005</v>
      </c>
      <c r="B4693" t="s">
        <v>2618</v>
      </c>
      <c r="C4693" s="39" t="s">
        <v>3187</v>
      </c>
      <c r="D4693" t="s">
        <v>468</v>
      </c>
      <c r="F4693" s="56"/>
    </row>
    <row r="4694" spans="1:6" ht="15">
      <c r="A4694" s="51">
        <v>293006</v>
      </c>
      <c r="B4694" t="s">
        <v>2007</v>
      </c>
      <c r="C4694" s="39" t="s">
        <v>3187</v>
      </c>
      <c r="D4694" t="s">
        <v>468</v>
      </c>
      <c r="F4694" s="56"/>
    </row>
    <row r="4695" spans="1:6" ht="15">
      <c r="A4695" s="51">
        <v>293007</v>
      </c>
      <c r="B4695" t="s">
        <v>376</v>
      </c>
      <c r="C4695" s="39" t="s">
        <v>157</v>
      </c>
      <c r="D4695" t="s">
        <v>4245</v>
      </c>
      <c r="F4695" s="56"/>
    </row>
    <row r="4696" spans="1:6" ht="15">
      <c r="A4696" s="51">
        <v>293008</v>
      </c>
      <c r="B4696" t="s">
        <v>377</v>
      </c>
      <c r="C4696" s="39" t="s">
        <v>157</v>
      </c>
      <c r="D4696" t="s">
        <v>4245</v>
      </c>
      <c r="F4696" s="56"/>
    </row>
    <row r="4697" spans="1:6" ht="15">
      <c r="A4697" s="51">
        <v>293009</v>
      </c>
      <c r="B4697" t="s">
        <v>378</v>
      </c>
      <c r="C4697" s="39" t="s">
        <v>157</v>
      </c>
      <c r="D4697" t="s">
        <v>4244</v>
      </c>
      <c r="F4697" s="56"/>
    </row>
    <row r="4698" spans="1:6" ht="15">
      <c r="A4698" s="51">
        <v>293010</v>
      </c>
      <c r="B4698" t="s">
        <v>1217</v>
      </c>
      <c r="C4698" s="39" t="s">
        <v>380</v>
      </c>
      <c r="D4698" t="s">
        <v>4246</v>
      </c>
      <c r="F4698" s="56"/>
    </row>
    <row r="4699" spans="1:6" ht="15">
      <c r="A4699" s="51">
        <v>293011</v>
      </c>
      <c r="B4699" t="s">
        <v>1218</v>
      </c>
      <c r="C4699" s="39" t="s">
        <v>380</v>
      </c>
      <c r="D4699" t="s">
        <v>4244</v>
      </c>
      <c r="F4699" s="56"/>
    </row>
    <row r="4700" spans="1:6" ht="15">
      <c r="A4700" s="51">
        <v>293012</v>
      </c>
      <c r="B4700" t="s">
        <v>3188</v>
      </c>
      <c r="C4700" s="39" t="s">
        <v>380</v>
      </c>
      <c r="D4700">
        <v>9</v>
      </c>
      <c r="F4700" s="56"/>
    </row>
    <row r="4701" spans="1:6" ht="15">
      <c r="A4701" s="51">
        <v>293014</v>
      </c>
      <c r="B4701" t="s">
        <v>160</v>
      </c>
      <c r="C4701" s="39" t="s">
        <v>2630</v>
      </c>
      <c r="D4701" t="s">
        <v>4247</v>
      </c>
      <c r="F4701" s="56"/>
    </row>
    <row r="4702" spans="1:6" ht="15">
      <c r="A4702" s="51">
        <v>293015</v>
      </c>
      <c r="B4702" t="s">
        <v>1051</v>
      </c>
      <c r="C4702" s="39" t="s">
        <v>1052</v>
      </c>
      <c r="D4702" t="s">
        <v>4243</v>
      </c>
      <c r="F4702" s="56"/>
    </row>
    <row r="4703" spans="1:6" ht="15">
      <c r="A4703" s="51">
        <v>293016</v>
      </c>
      <c r="B4703" t="s">
        <v>1430</v>
      </c>
      <c r="C4703" s="39" t="s">
        <v>955</v>
      </c>
      <c r="D4703">
        <v>7</v>
      </c>
      <c r="F4703" s="56"/>
    </row>
    <row r="4704" spans="1:6" ht="15">
      <c r="A4704" s="51">
        <v>293017</v>
      </c>
      <c r="B4704" t="s">
        <v>3189</v>
      </c>
      <c r="C4704" s="39" t="s">
        <v>955</v>
      </c>
      <c r="D4704">
        <v>7</v>
      </c>
      <c r="F4704" s="56"/>
    </row>
    <row r="4705" spans="1:6" ht="15">
      <c r="A4705" s="51">
        <v>293018</v>
      </c>
      <c r="B4705" t="s">
        <v>1560</v>
      </c>
      <c r="C4705" s="39" t="s">
        <v>2633</v>
      </c>
      <c r="D4705" t="s">
        <v>4244</v>
      </c>
      <c r="F4705" s="56"/>
    </row>
    <row r="4706" spans="1:6" ht="15">
      <c r="A4706" s="51">
        <v>293019</v>
      </c>
      <c r="B4706" t="s">
        <v>393</v>
      </c>
      <c r="C4706" s="39" t="s">
        <v>394</v>
      </c>
      <c r="D4706">
        <v>7</v>
      </c>
      <c r="F4706" s="56"/>
    </row>
    <row r="4707" spans="1:6" ht="15">
      <c r="A4707" s="51">
        <v>293020</v>
      </c>
      <c r="B4707" t="s">
        <v>1072</v>
      </c>
      <c r="C4707" s="39" t="s">
        <v>394</v>
      </c>
      <c r="D4707">
        <v>7</v>
      </c>
      <c r="F4707" s="56"/>
    </row>
    <row r="4708" spans="1:6" ht="15">
      <c r="A4708" s="51">
        <v>293021</v>
      </c>
      <c r="B4708" t="s">
        <v>1189</v>
      </c>
      <c r="C4708" s="39" t="s">
        <v>862</v>
      </c>
      <c r="D4708">
        <v>9</v>
      </c>
      <c r="F4708" s="56"/>
    </row>
    <row r="4709" spans="1:6" ht="15">
      <c r="A4709" s="51">
        <v>293022</v>
      </c>
      <c r="B4709" t="s">
        <v>861</v>
      </c>
      <c r="C4709" s="39" t="s">
        <v>1442</v>
      </c>
      <c r="D4709" t="s">
        <v>4244</v>
      </c>
      <c r="F4709" s="56"/>
    </row>
    <row r="4710" spans="1:6" ht="15">
      <c r="A4710" s="51">
        <v>293023</v>
      </c>
      <c r="B4710" t="s">
        <v>1190</v>
      </c>
      <c r="C4710" s="39" t="s">
        <v>908</v>
      </c>
      <c r="D4710" t="s">
        <v>4244</v>
      </c>
      <c r="F4710" s="56"/>
    </row>
    <row r="4711" spans="1:6" ht="15">
      <c r="A4711" s="51">
        <v>293024</v>
      </c>
      <c r="B4711" t="s">
        <v>872</v>
      </c>
      <c r="C4711" s="39" t="s">
        <v>1075</v>
      </c>
      <c r="D4711" t="s">
        <v>4243</v>
      </c>
      <c r="F4711" s="56"/>
    </row>
    <row r="4712" spans="1:6" ht="15">
      <c r="A4712" s="51">
        <v>293025</v>
      </c>
      <c r="B4712" t="s">
        <v>2031</v>
      </c>
      <c r="C4712" s="39" t="s">
        <v>561</v>
      </c>
      <c r="D4712" t="s">
        <v>4247</v>
      </c>
      <c r="F4712" s="56"/>
    </row>
    <row r="4713" spans="1:6" ht="15">
      <c r="A4713" s="51">
        <v>293026</v>
      </c>
      <c r="B4713" t="s">
        <v>404</v>
      </c>
      <c r="C4713" s="39" t="s">
        <v>561</v>
      </c>
      <c r="D4713" t="s">
        <v>4247</v>
      </c>
      <c r="F4713" s="56"/>
    </row>
    <row r="4714" spans="1:6" ht="15">
      <c r="A4714" s="51">
        <v>293027</v>
      </c>
      <c r="B4714" t="s">
        <v>1079</v>
      </c>
      <c r="C4714" s="39" t="s">
        <v>1080</v>
      </c>
      <c r="D4714" t="s">
        <v>4244</v>
      </c>
      <c r="F4714" s="56"/>
    </row>
    <row r="4715" spans="1:6" ht="15">
      <c r="A4715" s="51">
        <v>293028</v>
      </c>
      <c r="B4715" t="s">
        <v>1081</v>
      </c>
      <c r="C4715" s="39" t="s">
        <v>1080</v>
      </c>
      <c r="D4715" t="s">
        <v>4244</v>
      </c>
      <c r="F4715" s="56"/>
    </row>
    <row r="4716" spans="1:6" ht="15">
      <c r="A4716" s="51">
        <v>293029</v>
      </c>
      <c r="B4716" t="s">
        <v>1085</v>
      </c>
      <c r="C4716" s="39" t="s">
        <v>1083</v>
      </c>
      <c r="D4716" t="s">
        <v>1595</v>
      </c>
      <c r="F4716" s="56"/>
    </row>
    <row r="4717" spans="1:6" ht="15">
      <c r="A4717" s="51">
        <v>293030</v>
      </c>
      <c r="B4717" t="s">
        <v>1086</v>
      </c>
      <c r="C4717" s="39" t="s">
        <v>1083</v>
      </c>
      <c r="D4717" t="s">
        <v>469</v>
      </c>
      <c r="F4717" s="56"/>
    </row>
    <row r="4718" spans="1:6" ht="15">
      <c r="A4718" s="51">
        <v>293032</v>
      </c>
      <c r="B4718" t="s">
        <v>3083</v>
      </c>
      <c r="C4718" s="39" t="s">
        <v>1083</v>
      </c>
      <c r="D4718">
        <v>8</v>
      </c>
      <c r="F4718" s="56"/>
    </row>
    <row r="4719" spans="1:6" ht="15">
      <c r="A4719" s="51">
        <v>293033</v>
      </c>
      <c r="B4719" t="s">
        <v>3190</v>
      </c>
      <c r="C4719" s="39" t="s">
        <v>1083</v>
      </c>
      <c r="D4719" t="s">
        <v>1595</v>
      </c>
      <c r="F4719" s="56"/>
    </row>
    <row r="4720" spans="1:6" ht="15">
      <c r="A4720" s="51">
        <v>293034</v>
      </c>
      <c r="B4720" t="s">
        <v>3191</v>
      </c>
      <c r="C4720" s="39" t="s">
        <v>1083</v>
      </c>
      <c r="D4720" t="s">
        <v>468</v>
      </c>
      <c r="F4720" s="56"/>
    </row>
    <row r="4721" spans="1:6" ht="15">
      <c r="A4721" s="51">
        <v>293035</v>
      </c>
      <c r="B4721" t="s">
        <v>3192</v>
      </c>
      <c r="C4721" s="39" t="s">
        <v>3193</v>
      </c>
      <c r="D4721" t="s">
        <v>4244</v>
      </c>
      <c r="F4721" s="56"/>
    </row>
    <row r="4722" spans="1:6" ht="15">
      <c r="A4722" s="51">
        <v>293036</v>
      </c>
      <c r="B4722" t="s">
        <v>2484</v>
      </c>
      <c r="C4722" s="39" t="s">
        <v>3193</v>
      </c>
      <c r="D4722" t="s">
        <v>4244</v>
      </c>
      <c r="F4722" s="56"/>
    </row>
    <row r="4723" spans="1:6" ht="15">
      <c r="A4723" s="51">
        <v>293037</v>
      </c>
      <c r="B4723" t="s">
        <v>1094</v>
      </c>
      <c r="C4723" s="39" t="s">
        <v>1095</v>
      </c>
      <c r="D4723" t="s">
        <v>469</v>
      </c>
      <c r="F4723" s="56"/>
    </row>
    <row r="4724" spans="1:6" ht="15">
      <c r="A4724" s="51">
        <v>293038</v>
      </c>
      <c r="B4724" t="s">
        <v>1096</v>
      </c>
      <c r="C4724" s="39" t="s">
        <v>1095</v>
      </c>
      <c r="D4724" t="s">
        <v>469</v>
      </c>
      <c r="F4724" s="56"/>
    </row>
    <row r="4725" spans="1:6" ht="15">
      <c r="A4725" s="51">
        <v>293039</v>
      </c>
      <c r="B4725" t="s">
        <v>2038</v>
      </c>
      <c r="C4725" s="39" t="s">
        <v>1095</v>
      </c>
      <c r="D4725" t="s">
        <v>469</v>
      </c>
      <c r="F4725" s="56"/>
    </row>
    <row r="4726" spans="1:6" ht="15">
      <c r="A4726" s="51">
        <v>293040</v>
      </c>
      <c r="B4726" t="s">
        <v>3194</v>
      </c>
      <c r="C4726" s="39" t="s">
        <v>1095</v>
      </c>
      <c r="D4726" t="s">
        <v>469</v>
      </c>
      <c r="F4726" s="56"/>
    </row>
    <row r="4727" spans="1:6" ht="15">
      <c r="A4727" s="51">
        <v>293041</v>
      </c>
      <c r="B4727" t="s">
        <v>2494</v>
      </c>
      <c r="C4727" s="39" t="s">
        <v>1107</v>
      </c>
      <c r="D4727" t="s">
        <v>4245</v>
      </c>
      <c r="F4727" s="56"/>
    </row>
    <row r="4728" spans="1:6" ht="15">
      <c r="A4728" s="51">
        <v>293042</v>
      </c>
      <c r="B4728" t="s">
        <v>1196</v>
      </c>
      <c r="C4728" s="39" t="s">
        <v>231</v>
      </c>
      <c r="D4728" t="s">
        <v>4244</v>
      </c>
      <c r="F4728" s="56"/>
    </row>
    <row r="4729" spans="1:6" ht="15">
      <c r="A4729" s="51">
        <v>293043</v>
      </c>
      <c r="B4729" t="s">
        <v>1197</v>
      </c>
      <c r="C4729" s="39" t="s">
        <v>231</v>
      </c>
      <c r="D4729" t="s">
        <v>4244</v>
      </c>
      <c r="F4729" s="56"/>
    </row>
    <row r="4730" spans="1:6" ht="15">
      <c r="A4730" s="51">
        <v>293044</v>
      </c>
      <c r="B4730" t="s">
        <v>2640</v>
      </c>
      <c r="C4730" s="39" t="s">
        <v>235</v>
      </c>
      <c r="D4730" t="s">
        <v>4244</v>
      </c>
      <c r="F4730" s="56"/>
    </row>
    <row r="4731" spans="1:6" ht="15">
      <c r="A4731" s="51">
        <v>293045</v>
      </c>
      <c r="B4731" t="s">
        <v>2237</v>
      </c>
      <c r="C4731" s="39" t="s">
        <v>235</v>
      </c>
      <c r="D4731" t="s">
        <v>4244</v>
      </c>
      <c r="F4731" s="56"/>
    </row>
    <row r="4732" spans="1:6" ht="15">
      <c r="A4732" s="51">
        <v>293047</v>
      </c>
      <c r="B4732" t="s">
        <v>234</v>
      </c>
      <c r="C4732" s="39" t="s">
        <v>235</v>
      </c>
      <c r="D4732" t="s">
        <v>4244</v>
      </c>
      <c r="F4732" s="56"/>
    </row>
    <row r="4733" spans="1:6" ht="15">
      <c r="A4733" s="51">
        <v>293048</v>
      </c>
      <c r="B4733" t="s">
        <v>236</v>
      </c>
      <c r="C4733" s="39" t="s">
        <v>235</v>
      </c>
      <c r="D4733" t="s">
        <v>4244</v>
      </c>
      <c r="F4733" s="56"/>
    </row>
    <row r="4734" spans="1:6" ht="15">
      <c r="A4734" s="51">
        <v>293049</v>
      </c>
      <c r="B4734" t="s">
        <v>3195</v>
      </c>
      <c r="C4734" s="39" t="s">
        <v>235</v>
      </c>
      <c r="D4734" t="s">
        <v>4244</v>
      </c>
      <c r="F4734" s="56"/>
    </row>
    <row r="4735" spans="1:6" ht="15">
      <c r="A4735" s="51">
        <v>293050</v>
      </c>
      <c r="B4735" t="s">
        <v>2243</v>
      </c>
      <c r="C4735" s="39" t="s">
        <v>2643</v>
      </c>
      <c r="D4735">
        <v>9</v>
      </c>
      <c r="F4735" s="56"/>
    </row>
    <row r="4736" spans="1:6" ht="15">
      <c r="A4736" s="51">
        <v>293051</v>
      </c>
      <c r="B4736" t="s">
        <v>1201</v>
      </c>
      <c r="C4736" s="39" t="s">
        <v>2643</v>
      </c>
      <c r="D4736">
        <v>9</v>
      </c>
      <c r="F4736" s="56"/>
    </row>
    <row r="4737" spans="1:6" ht="15">
      <c r="A4737" s="51">
        <v>293052</v>
      </c>
      <c r="B4737" t="s">
        <v>1202</v>
      </c>
      <c r="C4737" s="39" t="s">
        <v>1114</v>
      </c>
      <c r="D4737" t="s">
        <v>4246</v>
      </c>
      <c r="F4737" s="56"/>
    </row>
    <row r="4738" spans="1:6" ht="15">
      <c r="A4738" s="51">
        <v>293053</v>
      </c>
      <c r="B4738" t="s">
        <v>427</v>
      </c>
      <c r="C4738" s="39" t="s">
        <v>428</v>
      </c>
      <c r="D4738" t="s">
        <v>4244</v>
      </c>
      <c r="F4738" s="56"/>
    </row>
    <row r="4739" spans="1:6" ht="15">
      <c r="A4739" s="51">
        <v>293054</v>
      </c>
      <c r="B4739" t="s">
        <v>1778</v>
      </c>
      <c r="C4739" s="39" t="s">
        <v>428</v>
      </c>
      <c r="D4739" t="s">
        <v>4244</v>
      </c>
      <c r="F4739" s="56"/>
    </row>
    <row r="4740" spans="1:6" ht="15">
      <c r="A4740" s="51">
        <v>293055</v>
      </c>
      <c r="B4740" t="s">
        <v>1206</v>
      </c>
      <c r="C4740" s="39" t="s">
        <v>1589</v>
      </c>
      <c r="D4740">
        <v>7</v>
      </c>
      <c r="F4740" s="56"/>
    </row>
    <row r="4741" spans="1:6" ht="15">
      <c r="A4741" s="51">
        <v>1149599</v>
      </c>
      <c r="B4741" t="s">
        <v>1882</v>
      </c>
      <c r="C4741" s="39" t="s">
        <v>3196</v>
      </c>
      <c r="D4741" t="s">
        <v>471</v>
      </c>
      <c r="F4741" s="56"/>
    </row>
    <row r="4742" spans="1:6" ht="15">
      <c r="A4742" s="51">
        <v>293058</v>
      </c>
      <c r="B4742" t="s">
        <v>455</v>
      </c>
      <c r="C4742" s="39" t="s">
        <v>283</v>
      </c>
      <c r="D4742">
        <v>8</v>
      </c>
      <c r="F4742" s="56"/>
    </row>
    <row r="4743" spans="1:6" ht="15">
      <c r="A4743" s="51">
        <v>293291</v>
      </c>
      <c r="B4743">
        <v>1</v>
      </c>
      <c r="C4743" s="39" t="s">
        <v>1264</v>
      </c>
      <c r="D4743">
        <v>9</v>
      </c>
      <c r="F4743" s="56"/>
    </row>
    <row r="4744" spans="1:6" ht="15">
      <c r="A4744" s="51">
        <v>293365</v>
      </c>
      <c r="B4744">
        <v>2</v>
      </c>
      <c r="C4744" s="39" t="s">
        <v>373</v>
      </c>
      <c r="D4744" t="s">
        <v>4248</v>
      </c>
      <c r="F4744" s="56"/>
    </row>
    <row r="4745" spans="1:6" ht="15">
      <c r="A4745" s="51">
        <v>1674487</v>
      </c>
      <c r="B4745">
        <v>4</v>
      </c>
      <c r="C4745" s="39" t="s">
        <v>276</v>
      </c>
      <c r="D4745" t="s">
        <v>4244</v>
      </c>
      <c r="F4745" s="56"/>
    </row>
    <row r="4746" spans="1:6" ht="15">
      <c r="A4746" s="51">
        <v>293475</v>
      </c>
      <c r="B4746">
        <v>7</v>
      </c>
      <c r="C4746" s="39" t="s">
        <v>283</v>
      </c>
      <c r="D4746">
        <v>8</v>
      </c>
      <c r="F4746" s="56"/>
    </row>
    <row r="4747" spans="1:6" ht="15">
      <c r="A4747" s="51">
        <v>1460208</v>
      </c>
      <c r="B4747" t="s">
        <v>3197</v>
      </c>
      <c r="C4747" s="39" t="s">
        <v>2298</v>
      </c>
      <c r="D4747" t="s">
        <v>4247</v>
      </c>
      <c r="F4747" s="56"/>
    </row>
    <row r="4748" spans="1:6" ht="15">
      <c r="A4748" s="51">
        <v>293499</v>
      </c>
      <c r="B4748">
        <v>9</v>
      </c>
      <c r="C4748" s="39" t="s">
        <v>1696</v>
      </c>
      <c r="D4748" t="s">
        <v>4245</v>
      </c>
      <c r="F4748" s="56"/>
    </row>
    <row r="4749" spans="1:6" ht="15">
      <c r="A4749" s="51">
        <v>293292</v>
      </c>
      <c r="B4749">
        <v>10</v>
      </c>
      <c r="C4749" s="39" t="s">
        <v>222</v>
      </c>
      <c r="D4749" t="s">
        <v>4245</v>
      </c>
      <c r="F4749" s="56"/>
    </row>
    <row r="4750" spans="1:6" ht="15">
      <c r="A4750" s="51">
        <v>3118085</v>
      </c>
      <c r="B4750" t="s">
        <v>1266</v>
      </c>
      <c r="C4750" s="39" t="s">
        <v>1267</v>
      </c>
      <c r="D4750" t="s">
        <v>4249</v>
      </c>
      <c r="F4750" s="56"/>
    </row>
    <row r="4751" spans="1:6" ht="15">
      <c r="A4751" s="51">
        <v>293332</v>
      </c>
      <c r="B4751" t="s">
        <v>891</v>
      </c>
      <c r="C4751" s="39" t="s">
        <v>148</v>
      </c>
      <c r="D4751" t="s">
        <v>4246</v>
      </c>
      <c r="F4751" s="56"/>
    </row>
    <row r="4752" spans="1:6" ht="15">
      <c r="A4752" s="51">
        <v>293333</v>
      </c>
      <c r="B4752" t="s">
        <v>482</v>
      </c>
      <c r="C4752" s="39" t="s">
        <v>148</v>
      </c>
      <c r="D4752" t="s">
        <v>4244</v>
      </c>
      <c r="F4752" s="56"/>
    </row>
    <row r="4753" spans="1:6" ht="15">
      <c r="A4753" s="51">
        <v>293334</v>
      </c>
      <c r="B4753">
        <v>13</v>
      </c>
      <c r="C4753" s="39" t="s">
        <v>2587</v>
      </c>
      <c r="D4753">
        <v>9</v>
      </c>
      <c r="F4753" s="56"/>
    </row>
    <row r="4754" spans="1:6" ht="15">
      <c r="A4754" s="51">
        <v>293366</v>
      </c>
      <c r="B4754">
        <v>20</v>
      </c>
      <c r="C4754" s="39" t="s">
        <v>228</v>
      </c>
      <c r="D4754">
        <v>9</v>
      </c>
      <c r="F4754" s="56"/>
    </row>
    <row r="4755" spans="1:6" ht="15">
      <c r="A4755" s="51">
        <v>293371</v>
      </c>
      <c r="B4755">
        <v>21</v>
      </c>
      <c r="C4755" s="39" t="s">
        <v>258</v>
      </c>
      <c r="D4755">
        <v>9</v>
      </c>
      <c r="F4755" s="56"/>
    </row>
    <row r="4756" spans="1:6" ht="15">
      <c r="A4756" s="51">
        <v>293373</v>
      </c>
      <c r="B4756">
        <v>22</v>
      </c>
      <c r="C4756" s="39" t="s">
        <v>258</v>
      </c>
      <c r="D4756">
        <v>9</v>
      </c>
      <c r="F4756" s="56"/>
    </row>
    <row r="4757" spans="1:6" ht="15">
      <c r="A4757" s="51">
        <v>293381</v>
      </c>
      <c r="B4757">
        <v>23</v>
      </c>
      <c r="C4757" s="39" t="s">
        <v>450</v>
      </c>
      <c r="D4757">
        <v>9</v>
      </c>
      <c r="F4757" s="56"/>
    </row>
    <row r="4758" spans="1:6" ht="15">
      <c r="A4758" s="51">
        <v>293382</v>
      </c>
      <c r="B4758" t="s">
        <v>2568</v>
      </c>
      <c r="C4758" s="39" t="s">
        <v>157</v>
      </c>
      <c r="D4758" t="s">
        <v>4245</v>
      </c>
      <c r="F4758" s="56"/>
    </row>
    <row r="4759" spans="1:6" ht="15">
      <c r="A4759" s="51">
        <v>293383</v>
      </c>
      <c r="B4759" t="s">
        <v>2299</v>
      </c>
      <c r="C4759" s="39" t="s">
        <v>157</v>
      </c>
      <c r="D4759" t="s">
        <v>4245</v>
      </c>
      <c r="F4759" s="56"/>
    </row>
    <row r="4760" spans="1:6" ht="15">
      <c r="A4760" s="51">
        <v>293384</v>
      </c>
      <c r="B4760" t="s">
        <v>2300</v>
      </c>
      <c r="C4760" s="39" t="s">
        <v>157</v>
      </c>
      <c r="D4760" t="s">
        <v>4244</v>
      </c>
      <c r="F4760" s="56"/>
    </row>
    <row r="4761" spans="1:6" ht="15">
      <c r="A4761" s="51">
        <v>293385</v>
      </c>
      <c r="B4761">
        <v>25</v>
      </c>
      <c r="C4761" s="39" t="s">
        <v>228</v>
      </c>
      <c r="D4761">
        <v>9</v>
      </c>
      <c r="F4761" s="56"/>
    </row>
    <row r="4762" spans="1:6" ht="15">
      <c r="A4762" s="51">
        <v>293392</v>
      </c>
      <c r="B4762" t="s">
        <v>532</v>
      </c>
      <c r="C4762" s="39" t="s">
        <v>1457</v>
      </c>
      <c r="D4762" t="s">
        <v>4247</v>
      </c>
      <c r="F4762" s="56"/>
    </row>
    <row r="4763" spans="1:6" ht="15">
      <c r="A4763" s="51">
        <v>293393</v>
      </c>
      <c r="B4763" t="s">
        <v>533</v>
      </c>
      <c r="C4763" s="39" t="s">
        <v>1457</v>
      </c>
      <c r="D4763" t="s">
        <v>4244</v>
      </c>
      <c r="F4763" s="56"/>
    </row>
    <row r="4764" spans="1:6" ht="15">
      <c r="A4764" s="51">
        <v>293394</v>
      </c>
      <c r="B4764" t="s">
        <v>534</v>
      </c>
      <c r="C4764" s="39" t="s">
        <v>1107</v>
      </c>
      <c r="D4764" t="s">
        <v>4245</v>
      </c>
      <c r="F4764" s="56"/>
    </row>
    <row r="4765" spans="1:6" ht="15">
      <c r="A4765" s="51">
        <v>293395</v>
      </c>
      <c r="B4765" t="s">
        <v>3198</v>
      </c>
      <c r="C4765" s="39" t="s">
        <v>1107</v>
      </c>
      <c r="D4765" t="s">
        <v>4245</v>
      </c>
      <c r="F4765" s="56"/>
    </row>
    <row r="4766" spans="1:6" ht="15">
      <c r="A4766" s="51">
        <v>293397</v>
      </c>
      <c r="B4766">
        <v>30</v>
      </c>
      <c r="C4766" s="39" t="s">
        <v>1024</v>
      </c>
      <c r="D4766" t="s">
        <v>4243</v>
      </c>
      <c r="F4766" s="56"/>
    </row>
    <row r="4767" spans="1:6" ht="15">
      <c r="A4767" s="51">
        <v>293398</v>
      </c>
      <c r="B4767">
        <v>31</v>
      </c>
      <c r="C4767" s="39" t="s">
        <v>896</v>
      </c>
      <c r="D4767">
        <v>8</v>
      </c>
      <c r="F4767" s="56"/>
    </row>
    <row r="4768" spans="1:6" ht="15">
      <c r="A4768" s="51">
        <v>293399</v>
      </c>
      <c r="B4768" t="s">
        <v>549</v>
      </c>
      <c r="C4768" s="39" t="s">
        <v>3199</v>
      </c>
      <c r="D4768">
        <v>9</v>
      </c>
      <c r="F4768" s="56"/>
    </row>
    <row r="4769" spans="1:6" ht="15">
      <c r="A4769" s="51">
        <v>293400</v>
      </c>
      <c r="B4769" t="s">
        <v>2304</v>
      </c>
      <c r="C4769" s="39" t="s">
        <v>3199</v>
      </c>
      <c r="D4769">
        <v>9</v>
      </c>
      <c r="F4769" s="56"/>
    </row>
    <row r="4770" spans="1:6" ht="15">
      <c r="A4770" s="51">
        <v>293401</v>
      </c>
      <c r="B4770" t="s">
        <v>3200</v>
      </c>
      <c r="C4770" s="39" t="s">
        <v>3201</v>
      </c>
      <c r="D4770" t="s">
        <v>4243</v>
      </c>
      <c r="F4770" s="56"/>
    </row>
    <row r="4771" spans="1:6" ht="15">
      <c r="A4771" s="51">
        <v>293402</v>
      </c>
      <c r="B4771" t="s">
        <v>3202</v>
      </c>
      <c r="C4771" s="39" t="s">
        <v>3201</v>
      </c>
      <c r="D4771">
        <v>9</v>
      </c>
      <c r="F4771" s="56"/>
    </row>
    <row r="4772" spans="1:6" ht="15">
      <c r="A4772" s="51">
        <v>293407</v>
      </c>
      <c r="B4772" t="s">
        <v>552</v>
      </c>
      <c r="C4772" s="39" t="s">
        <v>261</v>
      </c>
      <c r="D4772" t="s">
        <v>4248</v>
      </c>
      <c r="F4772" s="56"/>
    </row>
    <row r="4773" spans="1:6" ht="15">
      <c r="A4773" s="51">
        <v>293408</v>
      </c>
      <c r="B4773" t="s">
        <v>553</v>
      </c>
      <c r="C4773" s="39" t="s">
        <v>261</v>
      </c>
      <c r="D4773" t="s">
        <v>4245</v>
      </c>
      <c r="F4773" s="56"/>
    </row>
    <row r="4774" spans="1:6" ht="15">
      <c r="A4774" s="51">
        <v>293409</v>
      </c>
      <c r="B4774" t="s">
        <v>554</v>
      </c>
      <c r="C4774" s="39" t="s">
        <v>261</v>
      </c>
      <c r="D4774" t="s">
        <v>4244</v>
      </c>
      <c r="F4774" s="56"/>
    </row>
    <row r="4775" spans="1:6" ht="15">
      <c r="A4775" s="51">
        <v>293410</v>
      </c>
      <c r="B4775" t="s">
        <v>2923</v>
      </c>
      <c r="C4775" s="39" t="s">
        <v>2246</v>
      </c>
      <c r="D4775" t="s">
        <v>4247</v>
      </c>
      <c r="F4775" s="56"/>
    </row>
    <row r="4776" spans="1:6" ht="15">
      <c r="A4776" s="51">
        <v>293413</v>
      </c>
      <c r="B4776" t="s">
        <v>560</v>
      </c>
      <c r="C4776" s="39" t="s">
        <v>108</v>
      </c>
      <c r="D4776" t="s">
        <v>4245</v>
      </c>
      <c r="F4776" s="56"/>
    </row>
    <row r="4777" spans="1:6" ht="15">
      <c r="A4777" s="51">
        <v>293414</v>
      </c>
      <c r="B4777" t="s">
        <v>562</v>
      </c>
      <c r="C4777" s="39" t="s">
        <v>108</v>
      </c>
      <c r="D4777" t="s">
        <v>4245</v>
      </c>
      <c r="F4777" s="56"/>
    </row>
    <row r="4778" spans="1:6" ht="15">
      <c r="A4778" s="51">
        <v>293415</v>
      </c>
      <c r="B4778" t="s">
        <v>563</v>
      </c>
      <c r="C4778" s="39" t="s">
        <v>108</v>
      </c>
      <c r="D4778" t="s">
        <v>4244</v>
      </c>
      <c r="F4778" s="56"/>
    </row>
    <row r="4779" spans="1:6" ht="15">
      <c r="A4779" s="51">
        <v>1460194</v>
      </c>
      <c r="B4779" t="s">
        <v>3203</v>
      </c>
      <c r="C4779" s="39" t="s">
        <v>108</v>
      </c>
      <c r="D4779" t="s">
        <v>4243</v>
      </c>
      <c r="F4779" s="56"/>
    </row>
    <row r="4780" spans="1:6" ht="15">
      <c r="A4780" s="51">
        <v>293417</v>
      </c>
      <c r="B4780" t="s">
        <v>3204</v>
      </c>
      <c r="C4780" s="39" t="s">
        <v>108</v>
      </c>
      <c r="D4780">
        <v>8</v>
      </c>
      <c r="F4780" s="56"/>
    </row>
    <row r="4781" spans="1:6" ht="15">
      <c r="A4781" s="51">
        <v>293421</v>
      </c>
      <c r="B4781" t="s">
        <v>564</v>
      </c>
      <c r="C4781" s="39" t="s">
        <v>1550</v>
      </c>
      <c r="D4781" t="s">
        <v>4247</v>
      </c>
      <c r="F4781" s="56"/>
    </row>
    <row r="4782" spans="1:6" ht="15">
      <c r="A4782" s="51">
        <v>293422</v>
      </c>
      <c r="B4782" t="s">
        <v>3205</v>
      </c>
      <c r="C4782" s="39" t="s">
        <v>1550</v>
      </c>
      <c r="D4782" t="s">
        <v>4247</v>
      </c>
      <c r="F4782" s="56"/>
    </row>
    <row r="4783" spans="1:6" ht="15">
      <c r="A4783" s="51">
        <v>293423</v>
      </c>
      <c r="B4783" t="s">
        <v>3206</v>
      </c>
      <c r="C4783" s="39" t="s">
        <v>1550</v>
      </c>
      <c r="D4783" t="s">
        <v>4243</v>
      </c>
      <c r="F4783" s="56"/>
    </row>
    <row r="4784" spans="1:6" ht="15">
      <c r="A4784" s="51">
        <v>293425</v>
      </c>
      <c r="B4784">
        <v>41</v>
      </c>
      <c r="C4784" s="39" t="s">
        <v>561</v>
      </c>
      <c r="D4784" t="s">
        <v>4247</v>
      </c>
      <c r="F4784" s="56"/>
    </row>
    <row r="4785" spans="1:6" ht="15">
      <c r="A4785" s="51">
        <v>293431</v>
      </c>
      <c r="B4785">
        <v>42</v>
      </c>
      <c r="C4785" s="39" t="s">
        <v>106</v>
      </c>
      <c r="D4785" t="s">
        <v>4245</v>
      </c>
      <c r="F4785" s="56"/>
    </row>
    <row r="4786" spans="1:6" ht="15">
      <c r="A4786" s="51">
        <v>293432</v>
      </c>
      <c r="B4786">
        <v>43</v>
      </c>
      <c r="C4786" s="39" t="s">
        <v>2897</v>
      </c>
      <c r="D4786" t="s">
        <v>4243</v>
      </c>
      <c r="F4786" s="56"/>
    </row>
    <row r="4787" spans="1:6" ht="15">
      <c r="A4787" s="51">
        <v>293435</v>
      </c>
      <c r="B4787" t="s">
        <v>567</v>
      </c>
      <c r="C4787" s="39" t="s">
        <v>3207</v>
      </c>
      <c r="D4787" t="s">
        <v>4243</v>
      </c>
      <c r="F4787" s="56"/>
    </row>
    <row r="4788" spans="1:6" ht="15">
      <c r="A4788" s="51">
        <v>293436</v>
      </c>
      <c r="B4788" t="s">
        <v>568</v>
      </c>
      <c r="C4788" s="39" t="s">
        <v>3207</v>
      </c>
      <c r="D4788" t="s">
        <v>4243</v>
      </c>
      <c r="F4788" s="56"/>
    </row>
    <row r="4789" spans="1:6" ht="15">
      <c r="A4789" s="51">
        <v>293437</v>
      </c>
      <c r="B4789" t="s">
        <v>3208</v>
      </c>
      <c r="C4789" s="39" t="s">
        <v>3207</v>
      </c>
      <c r="D4789">
        <v>8</v>
      </c>
      <c r="F4789" s="56"/>
    </row>
    <row r="4790" spans="1:6" ht="15">
      <c r="A4790" s="51">
        <v>293438</v>
      </c>
      <c r="B4790" t="s">
        <v>3209</v>
      </c>
      <c r="C4790" s="39" t="s">
        <v>3207</v>
      </c>
      <c r="D4790">
        <v>8</v>
      </c>
      <c r="F4790" s="56"/>
    </row>
    <row r="4791" spans="1:6" ht="15">
      <c r="A4791" s="51">
        <v>293440</v>
      </c>
      <c r="B4791" t="s">
        <v>907</v>
      </c>
      <c r="C4791" s="39" t="s">
        <v>243</v>
      </c>
      <c r="D4791" t="s">
        <v>4245</v>
      </c>
      <c r="F4791" s="56"/>
    </row>
    <row r="4792" spans="1:6" ht="15">
      <c r="A4792" s="51">
        <v>293441</v>
      </c>
      <c r="B4792" t="s">
        <v>2309</v>
      </c>
      <c r="C4792" s="39" t="s">
        <v>243</v>
      </c>
      <c r="D4792" t="s">
        <v>4247</v>
      </c>
      <c r="F4792" s="56"/>
    </row>
    <row r="4793" spans="1:6" ht="15">
      <c r="A4793" s="51">
        <v>293442</v>
      </c>
      <c r="B4793">
        <v>50</v>
      </c>
      <c r="C4793" s="39" t="s">
        <v>2270</v>
      </c>
      <c r="D4793" t="s">
        <v>4243</v>
      </c>
      <c r="F4793" s="56"/>
    </row>
    <row r="4794" spans="1:6" ht="15">
      <c r="A4794" s="51">
        <v>293446</v>
      </c>
      <c r="B4794" t="s">
        <v>3210</v>
      </c>
      <c r="C4794" s="39" t="s">
        <v>1347</v>
      </c>
      <c r="D4794">
        <v>8</v>
      </c>
      <c r="F4794" s="56"/>
    </row>
    <row r="4795" spans="1:6" ht="15">
      <c r="A4795" s="51">
        <v>293447</v>
      </c>
      <c r="B4795" t="s">
        <v>913</v>
      </c>
      <c r="C4795" s="39" t="s">
        <v>1338</v>
      </c>
      <c r="D4795" t="s">
        <v>4244</v>
      </c>
      <c r="F4795" s="56"/>
    </row>
    <row r="4796" spans="1:6" ht="15">
      <c r="A4796" s="51">
        <v>293448</v>
      </c>
      <c r="B4796" t="s">
        <v>915</v>
      </c>
      <c r="C4796" s="39" t="s">
        <v>1338</v>
      </c>
      <c r="D4796" t="s">
        <v>4244</v>
      </c>
      <c r="F4796" s="56"/>
    </row>
    <row r="4797" spans="1:6" ht="15">
      <c r="A4797" s="51">
        <v>293449</v>
      </c>
      <c r="B4797" t="s">
        <v>916</v>
      </c>
      <c r="C4797" s="39" t="s">
        <v>1338</v>
      </c>
      <c r="D4797" t="s">
        <v>4244</v>
      </c>
      <c r="F4797" s="56"/>
    </row>
    <row r="4798" spans="1:6" ht="15">
      <c r="A4798" s="51">
        <v>293450</v>
      </c>
      <c r="B4798" t="s">
        <v>2589</v>
      </c>
      <c r="C4798" s="39" t="s">
        <v>1338</v>
      </c>
      <c r="D4798">
        <v>8</v>
      </c>
      <c r="F4798" s="56"/>
    </row>
    <row r="4799" spans="1:6" ht="15">
      <c r="A4799" s="51">
        <v>293451</v>
      </c>
      <c r="B4799" t="s">
        <v>2590</v>
      </c>
      <c r="C4799" s="39" t="s">
        <v>1338</v>
      </c>
      <c r="D4799">
        <v>8</v>
      </c>
      <c r="F4799" s="56"/>
    </row>
    <row r="4800" spans="1:6" ht="15">
      <c r="A4800" s="51">
        <v>293456</v>
      </c>
      <c r="B4800" t="s">
        <v>917</v>
      </c>
      <c r="C4800" s="39" t="s">
        <v>2177</v>
      </c>
      <c r="D4800">
        <v>8</v>
      </c>
      <c r="F4800" s="56"/>
    </row>
    <row r="4801" spans="1:6" ht="15">
      <c r="A4801" s="51">
        <v>293457</v>
      </c>
      <c r="B4801" t="s">
        <v>918</v>
      </c>
      <c r="C4801" s="39" t="s">
        <v>2177</v>
      </c>
      <c r="D4801">
        <v>8</v>
      </c>
      <c r="F4801" s="56"/>
    </row>
    <row r="4802" spans="1:6" ht="15">
      <c r="A4802" s="51">
        <v>293458</v>
      </c>
      <c r="B4802" t="s">
        <v>920</v>
      </c>
      <c r="C4802" s="39" t="s">
        <v>1388</v>
      </c>
      <c r="D4802" t="s">
        <v>4247</v>
      </c>
      <c r="F4802" s="56"/>
    </row>
    <row r="4803" spans="1:6" ht="15">
      <c r="A4803" s="51">
        <v>293459</v>
      </c>
      <c r="B4803" t="s">
        <v>921</v>
      </c>
      <c r="C4803" s="39" t="s">
        <v>1388</v>
      </c>
      <c r="D4803" t="s">
        <v>4247</v>
      </c>
      <c r="F4803" s="56"/>
    </row>
    <row r="4804" spans="1:6" ht="15">
      <c r="A4804" s="51">
        <v>293462</v>
      </c>
      <c r="B4804" t="s">
        <v>599</v>
      </c>
      <c r="C4804" s="39" t="s">
        <v>1343</v>
      </c>
      <c r="D4804">
        <v>8</v>
      </c>
      <c r="F4804" s="56"/>
    </row>
    <row r="4805" spans="1:6" ht="15">
      <c r="A4805" s="51">
        <v>293463</v>
      </c>
      <c r="B4805" t="s">
        <v>2940</v>
      </c>
      <c r="C4805" s="39" t="s">
        <v>1114</v>
      </c>
      <c r="D4805" t="s">
        <v>4246</v>
      </c>
      <c r="F4805" s="56"/>
    </row>
    <row r="4806" spans="1:6" ht="15">
      <c r="A4806" s="51">
        <v>293464</v>
      </c>
      <c r="B4806" t="s">
        <v>602</v>
      </c>
      <c r="C4806" s="39" t="s">
        <v>1114</v>
      </c>
      <c r="D4806" t="s">
        <v>4246</v>
      </c>
      <c r="F4806" s="56"/>
    </row>
    <row r="4807" spans="1:6" ht="15">
      <c r="A4807" s="51">
        <v>293465</v>
      </c>
      <c r="B4807" t="s">
        <v>604</v>
      </c>
      <c r="C4807" s="39" t="s">
        <v>1114</v>
      </c>
      <c r="D4807" t="s">
        <v>4244</v>
      </c>
      <c r="F4807" s="56"/>
    </row>
    <row r="4808" spans="1:6" ht="15">
      <c r="A4808" s="51">
        <v>293466</v>
      </c>
      <c r="B4808" t="s">
        <v>606</v>
      </c>
      <c r="C4808" s="39" t="s">
        <v>1114</v>
      </c>
      <c r="D4808">
        <v>9</v>
      </c>
      <c r="F4808" s="56"/>
    </row>
    <row r="4809" spans="1:6" ht="15">
      <c r="A4809" s="51">
        <v>293467</v>
      </c>
      <c r="B4809" t="s">
        <v>609</v>
      </c>
      <c r="C4809" s="39" t="s">
        <v>1299</v>
      </c>
      <c r="D4809">
        <v>8</v>
      </c>
      <c r="F4809" s="56"/>
    </row>
    <row r="4810" spans="1:6" ht="15">
      <c r="A4810" s="51">
        <v>293468</v>
      </c>
      <c r="B4810" t="s">
        <v>610</v>
      </c>
      <c r="C4810" s="39" t="s">
        <v>1299</v>
      </c>
      <c r="D4810">
        <v>8</v>
      </c>
      <c r="F4810" s="56"/>
    </row>
    <row r="4811" spans="1:6" ht="15">
      <c r="A4811" s="51">
        <v>293469</v>
      </c>
      <c r="B4811" t="s">
        <v>3211</v>
      </c>
      <c r="C4811" s="39" t="s">
        <v>550</v>
      </c>
      <c r="D4811" t="s">
        <v>4244</v>
      </c>
      <c r="F4811" s="56"/>
    </row>
    <row r="4812" spans="1:6" ht="15">
      <c r="A4812" s="51">
        <v>293470</v>
      </c>
      <c r="B4812" t="s">
        <v>923</v>
      </c>
      <c r="C4812" s="39" t="s">
        <v>550</v>
      </c>
      <c r="D4812" t="s">
        <v>4244</v>
      </c>
      <c r="F4812" s="56"/>
    </row>
    <row r="4813" spans="1:6" ht="15">
      <c r="A4813" s="51">
        <v>293471</v>
      </c>
      <c r="B4813" t="s">
        <v>3212</v>
      </c>
      <c r="C4813" s="39" t="s">
        <v>235</v>
      </c>
      <c r="D4813" t="s">
        <v>4244</v>
      </c>
      <c r="F4813" s="56"/>
    </row>
    <row r="4814" spans="1:6" ht="15">
      <c r="A4814" s="51">
        <v>293472</v>
      </c>
      <c r="B4814" t="s">
        <v>2943</v>
      </c>
      <c r="C4814" s="39" t="s">
        <v>235</v>
      </c>
      <c r="D4814" t="s">
        <v>4244</v>
      </c>
      <c r="F4814" s="56"/>
    </row>
    <row r="4815" spans="1:6" ht="15">
      <c r="A4815" s="51">
        <v>293473</v>
      </c>
      <c r="B4815" t="s">
        <v>2591</v>
      </c>
      <c r="C4815" s="39" t="s">
        <v>1308</v>
      </c>
      <c r="D4815">
        <v>9</v>
      </c>
      <c r="F4815" s="56"/>
    </row>
    <row r="4816" spans="1:6" ht="15">
      <c r="A4816" s="51">
        <v>1460213</v>
      </c>
      <c r="B4816">
        <v>68</v>
      </c>
      <c r="C4816" s="39" t="s">
        <v>276</v>
      </c>
      <c r="D4816" t="s">
        <v>4244</v>
      </c>
      <c r="F4816" s="56"/>
    </row>
    <row r="4817" spans="1:6" ht="15">
      <c r="A4817" s="51">
        <v>293476</v>
      </c>
      <c r="B4817">
        <v>72</v>
      </c>
      <c r="C4817" s="39" t="s">
        <v>99</v>
      </c>
      <c r="D4817">
        <v>7</v>
      </c>
      <c r="F4817" s="56"/>
    </row>
    <row r="4818" spans="1:6" ht="15">
      <c r="A4818" s="51">
        <v>293480</v>
      </c>
      <c r="B4818" t="s">
        <v>2312</v>
      </c>
      <c r="C4818" s="39" t="s">
        <v>2130</v>
      </c>
      <c r="D4818" t="s">
        <v>4246</v>
      </c>
      <c r="F4818" s="56"/>
    </row>
    <row r="4819" spans="1:6" ht="15">
      <c r="A4819" s="51">
        <v>293481</v>
      </c>
      <c r="B4819" t="s">
        <v>2592</v>
      </c>
      <c r="C4819" s="39" t="s">
        <v>2130</v>
      </c>
      <c r="D4819" t="s">
        <v>4244</v>
      </c>
      <c r="F4819" s="56"/>
    </row>
    <row r="4820" spans="1:6" ht="15">
      <c r="A4820" s="51">
        <v>293482</v>
      </c>
      <c r="B4820">
        <v>75</v>
      </c>
      <c r="C4820" s="39" t="s">
        <v>955</v>
      </c>
      <c r="D4820">
        <v>7</v>
      </c>
      <c r="F4820" s="56"/>
    </row>
    <row r="4821" spans="1:6" ht="15">
      <c r="A4821" s="51">
        <v>293484</v>
      </c>
      <c r="B4821">
        <v>76</v>
      </c>
      <c r="C4821" s="39" t="s">
        <v>561</v>
      </c>
      <c r="D4821" t="s">
        <v>4247</v>
      </c>
      <c r="F4821" s="56"/>
    </row>
    <row r="4822" spans="1:6" ht="15">
      <c r="A4822" s="51">
        <v>293485</v>
      </c>
      <c r="B4822" t="s">
        <v>650</v>
      </c>
      <c r="C4822" s="39" t="s">
        <v>542</v>
      </c>
      <c r="D4822" t="s">
        <v>4245</v>
      </c>
      <c r="F4822" s="56"/>
    </row>
    <row r="4823" spans="1:6" ht="15">
      <c r="A4823" s="51">
        <v>293486</v>
      </c>
      <c r="B4823" t="s">
        <v>652</v>
      </c>
      <c r="C4823" s="39" t="s">
        <v>542</v>
      </c>
      <c r="D4823" t="s">
        <v>4246</v>
      </c>
      <c r="F4823" s="56"/>
    </row>
    <row r="4824" spans="1:6" ht="15">
      <c r="A4824" s="51">
        <v>293487</v>
      </c>
      <c r="B4824" t="s">
        <v>2951</v>
      </c>
      <c r="C4824" s="39" t="s">
        <v>542</v>
      </c>
      <c r="D4824" t="s">
        <v>4244</v>
      </c>
      <c r="F4824" s="56"/>
    </row>
    <row r="4825" spans="1:6" ht="15">
      <c r="A4825" s="51">
        <v>293488</v>
      </c>
      <c r="B4825" t="s">
        <v>2952</v>
      </c>
      <c r="C4825" s="39" t="s">
        <v>542</v>
      </c>
      <c r="D4825" t="s">
        <v>4243</v>
      </c>
      <c r="F4825" s="56"/>
    </row>
    <row r="4826" spans="1:6" ht="15">
      <c r="A4826" s="51">
        <v>293489</v>
      </c>
      <c r="B4826" t="s">
        <v>653</v>
      </c>
      <c r="C4826" s="39" t="s">
        <v>536</v>
      </c>
      <c r="D4826" t="s">
        <v>4245</v>
      </c>
      <c r="F4826" s="56"/>
    </row>
    <row r="4827" spans="1:6" ht="15">
      <c r="A4827" s="51">
        <v>293490</v>
      </c>
      <c r="B4827" t="s">
        <v>654</v>
      </c>
      <c r="C4827" s="39" t="s">
        <v>536</v>
      </c>
      <c r="D4827" t="s">
        <v>4246</v>
      </c>
      <c r="F4827" s="56"/>
    </row>
    <row r="4828" spans="1:6" ht="15">
      <c r="A4828" s="51">
        <v>293491</v>
      </c>
      <c r="B4828" t="s">
        <v>655</v>
      </c>
      <c r="C4828" s="39" t="s">
        <v>536</v>
      </c>
      <c r="D4828" t="s">
        <v>4244</v>
      </c>
      <c r="F4828" s="56"/>
    </row>
    <row r="4829" spans="1:6" ht="15">
      <c r="A4829" s="51">
        <v>293495</v>
      </c>
      <c r="B4829" t="s">
        <v>2954</v>
      </c>
      <c r="C4829" s="39" t="s">
        <v>1482</v>
      </c>
      <c r="D4829" t="s">
        <v>4244</v>
      </c>
      <c r="F4829" s="56"/>
    </row>
    <row r="4830" spans="1:6" ht="15">
      <c r="A4830" s="51">
        <v>293496</v>
      </c>
      <c r="B4830" t="s">
        <v>658</v>
      </c>
      <c r="C4830" s="39" t="s">
        <v>1482</v>
      </c>
      <c r="D4830" t="s">
        <v>4244</v>
      </c>
      <c r="F4830" s="56"/>
    </row>
    <row r="4831" spans="1:6" ht="15">
      <c r="A4831" s="51">
        <v>293497</v>
      </c>
      <c r="B4831" t="s">
        <v>668</v>
      </c>
      <c r="C4831" s="39" t="s">
        <v>1379</v>
      </c>
      <c r="D4831" t="s">
        <v>4244</v>
      </c>
      <c r="F4831" s="56"/>
    </row>
    <row r="4832" spans="1:6" ht="15">
      <c r="A4832" s="51">
        <v>293498</v>
      </c>
      <c r="B4832" t="s">
        <v>670</v>
      </c>
      <c r="C4832" s="39" t="s">
        <v>1379</v>
      </c>
      <c r="D4832" t="s">
        <v>4244</v>
      </c>
      <c r="F4832" s="56"/>
    </row>
    <row r="4833" spans="1:6" ht="15">
      <c r="A4833" s="51">
        <v>293500</v>
      </c>
      <c r="B4833" t="s">
        <v>935</v>
      </c>
      <c r="C4833" s="39" t="s">
        <v>2094</v>
      </c>
      <c r="D4833" t="s">
        <v>4244</v>
      </c>
      <c r="F4833" s="56"/>
    </row>
    <row r="4834" spans="1:6" ht="15">
      <c r="A4834" s="51">
        <v>293501</v>
      </c>
      <c r="B4834" t="s">
        <v>937</v>
      </c>
      <c r="C4834" s="39" t="s">
        <v>2094</v>
      </c>
      <c r="D4834" t="s">
        <v>4244</v>
      </c>
      <c r="F4834" s="56"/>
    </row>
    <row r="4835" spans="1:6" ht="15">
      <c r="A4835" s="51">
        <v>293502</v>
      </c>
      <c r="B4835" t="s">
        <v>2315</v>
      </c>
      <c r="C4835" s="39" t="s">
        <v>2094</v>
      </c>
      <c r="D4835">
        <v>7</v>
      </c>
      <c r="F4835" s="56"/>
    </row>
    <row r="4836" spans="1:6" ht="15">
      <c r="A4836" s="51">
        <v>293503</v>
      </c>
      <c r="B4836" t="s">
        <v>2316</v>
      </c>
      <c r="C4836" s="39" t="s">
        <v>2094</v>
      </c>
      <c r="D4836">
        <v>8</v>
      </c>
      <c r="F4836" s="56"/>
    </row>
    <row r="4837" spans="1:6" ht="15">
      <c r="A4837" s="51">
        <v>293504</v>
      </c>
      <c r="B4837" t="s">
        <v>3213</v>
      </c>
      <c r="C4837" s="39" t="s">
        <v>2094</v>
      </c>
      <c r="D4837">
        <v>9</v>
      </c>
      <c r="F4837" s="56"/>
    </row>
    <row r="4838" spans="1:6" ht="15">
      <c r="A4838" s="51">
        <v>293505</v>
      </c>
      <c r="B4838">
        <v>92</v>
      </c>
      <c r="C4838" s="39" t="s">
        <v>3214</v>
      </c>
      <c r="D4838">
        <v>7</v>
      </c>
      <c r="F4838" s="56"/>
    </row>
    <row r="4839" spans="1:6" ht="15">
      <c r="A4839" s="51">
        <v>293506</v>
      </c>
      <c r="B4839">
        <v>94</v>
      </c>
      <c r="C4839" s="39" t="s">
        <v>2032</v>
      </c>
      <c r="D4839" t="s">
        <v>4243</v>
      </c>
      <c r="F4839" s="56"/>
    </row>
    <row r="4840" spans="1:6" ht="15">
      <c r="A4840" s="51">
        <v>293507</v>
      </c>
      <c r="B4840">
        <v>95</v>
      </c>
      <c r="C4840" s="39" t="s">
        <v>104</v>
      </c>
      <c r="D4840" t="s">
        <v>4243</v>
      </c>
      <c r="F4840" s="56"/>
    </row>
    <row r="4841" spans="1:6" ht="15">
      <c r="A4841" s="51">
        <v>293510</v>
      </c>
      <c r="B4841">
        <v>99</v>
      </c>
      <c r="C4841" s="39" t="s">
        <v>2593</v>
      </c>
      <c r="D4841">
        <v>7</v>
      </c>
      <c r="F4841" s="56"/>
    </row>
    <row r="4842" spans="1:6" ht="15">
      <c r="A4842" s="51">
        <v>293293</v>
      </c>
      <c r="B4842" t="s">
        <v>3215</v>
      </c>
      <c r="C4842" s="39" t="s">
        <v>151</v>
      </c>
      <c r="D4842" t="s">
        <v>1595</v>
      </c>
      <c r="F4842" s="56"/>
    </row>
    <row r="4843" spans="1:6" ht="15">
      <c r="A4843" s="51">
        <v>293294</v>
      </c>
      <c r="B4843" t="s">
        <v>944</v>
      </c>
      <c r="C4843" s="39" t="s">
        <v>151</v>
      </c>
      <c r="D4843" t="s">
        <v>469</v>
      </c>
      <c r="F4843" s="56"/>
    </row>
    <row r="4844" spans="1:6" ht="15">
      <c r="A4844" s="51">
        <v>293295</v>
      </c>
      <c r="B4844" t="s">
        <v>3216</v>
      </c>
      <c r="C4844" s="39" t="s">
        <v>151</v>
      </c>
      <c r="D4844" t="s">
        <v>471</v>
      </c>
      <c r="F4844" s="56"/>
    </row>
    <row r="4845" spans="1:6" ht="15">
      <c r="A4845" s="51">
        <v>293296</v>
      </c>
      <c r="B4845" t="s">
        <v>3217</v>
      </c>
      <c r="C4845" s="39" t="s">
        <v>3218</v>
      </c>
      <c r="D4845">
        <v>9</v>
      </c>
      <c r="F4845" s="56"/>
    </row>
    <row r="4846" spans="1:6" ht="15">
      <c r="A4846" s="51">
        <v>293297</v>
      </c>
      <c r="B4846" t="s">
        <v>950</v>
      </c>
      <c r="C4846" s="39" t="s">
        <v>3219</v>
      </c>
      <c r="D4846">
        <v>9</v>
      </c>
      <c r="F4846" s="56"/>
    </row>
    <row r="4847" spans="1:6" ht="15">
      <c r="A4847" s="51">
        <v>293298</v>
      </c>
      <c r="B4847" t="s">
        <v>3220</v>
      </c>
      <c r="C4847" s="39" t="s">
        <v>999</v>
      </c>
      <c r="D4847" t="s">
        <v>468</v>
      </c>
      <c r="F4847" s="56"/>
    </row>
    <row r="4848" spans="1:6" ht="15">
      <c r="A4848" s="51">
        <v>293299</v>
      </c>
      <c r="B4848" t="s">
        <v>3221</v>
      </c>
      <c r="C4848" s="39" t="s">
        <v>999</v>
      </c>
      <c r="D4848" t="s">
        <v>469</v>
      </c>
      <c r="F4848" s="56"/>
    </row>
    <row r="4849" spans="1:6" ht="15">
      <c r="A4849" s="51">
        <v>293300</v>
      </c>
      <c r="B4849" t="s">
        <v>3222</v>
      </c>
      <c r="C4849" s="39" t="s">
        <v>999</v>
      </c>
      <c r="D4849" t="s">
        <v>471</v>
      </c>
      <c r="F4849" s="56"/>
    </row>
    <row r="4850" spans="1:6" ht="15">
      <c r="A4850" s="51">
        <v>293301</v>
      </c>
      <c r="B4850" t="s">
        <v>730</v>
      </c>
      <c r="C4850" s="39" t="s">
        <v>166</v>
      </c>
      <c r="D4850" t="s">
        <v>4245</v>
      </c>
      <c r="F4850" s="56"/>
    </row>
    <row r="4851" spans="1:6" ht="15">
      <c r="A4851" s="51">
        <v>293302</v>
      </c>
      <c r="B4851" t="s">
        <v>731</v>
      </c>
      <c r="C4851" s="39" t="s">
        <v>166</v>
      </c>
      <c r="D4851" t="s">
        <v>4244</v>
      </c>
      <c r="F4851" s="56"/>
    </row>
    <row r="4852" spans="1:6" ht="15">
      <c r="A4852" s="51">
        <v>293303</v>
      </c>
      <c r="B4852" t="s">
        <v>3223</v>
      </c>
      <c r="C4852" s="39" t="s">
        <v>166</v>
      </c>
      <c r="D4852" t="s">
        <v>4243</v>
      </c>
      <c r="F4852" s="56"/>
    </row>
    <row r="4853" spans="1:6" ht="15">
      <c r="A4853" s="51">
        <v>293304</v>
      </c>
      <c r="B4853" t="s">
        <v>3224</v>
      </c>
      <c r="C4853" s="39" t="s">
        <v>166</v>
      </c>
      <c r="D4853">
        <v>9</v>
      </c>
      <c r="F4853" s="56"/>
    </row>
    <row r="4854" spans="1:6" ht="15">
      <c r="A4854" s="51">
        <v>293305</v>
      </c>
      <c r="B4854" t="s">
        <v>1898</v>
      </c>
      <c r="C4854" s="39" t="s">
        <v>2807</v>
      </c>
      <c r="D4854" t="s">
        <v>4243</v>
      </c>
      <c r="F4854" s="56"/>
    </row>
    <row r="4855" spans="1:6" ht="15">
      <c r="A4855" s="51">
        <v>293306</v>
      </c>
      <c r="B4855" t="s">
        <v>3225</v>
      </c>
      <c r="C4855" s="39" t="s">
        <v>2807</v>
      </c>
      <c r="D4855" t="s">
        <v>4243</v>
      </c>
      <c r="F4855" s="56"/>
    </row>
    <row r="4856" spans="1:6" ht="15">
      <c r="A4856" s="51">
        <v>293307</v>
      </c>
      <c r="B4856" t="s">
        <v>3226</v>
      </c>
      <c r="C4856" s="39" t="s">
        <v>2807</v>
      </c>
      <c r="D4856">
        <v>7</v>
      </c>
      <c r="F4856" s="56"/>
    </row>
    <row r="4857" spans="1:6" ht="15">
      <c r="A4857" s="51">
        <v>293308</v>
      </c>
      <c r="B4857" t="s">
        <v>732</v>
      </c>
      <c r="C4857" s="39" t="s">
        <v>2884</v>
      </c>
      <c r="D4857" t="s">
        <v>4247</v>
      </c>
      <c r="F4857" s="56"/>
    </row>
    <row r="4858" spans="1:6" ht="15">
      <c r="A4858" s="51">
        <v>293309</v>
      </c>
      <c r="B4858" t="s">
        <v>733</v>
      </c>
      <c r="C4858" s="39" t="s">
        <v>2884</v>
      </c>
      <c r="D4858" t="s">
        <v>4243</v>
      </c>
      <c r="F4858" s="56"/>
    </row>
    <row r="4859" spans="1:6" ht="15">
      <c r="A4859" s="51">
        <v>293310</v>
      </c>
      <c r="B4859" t="s">
        <v>734</v>
      </c>
      <c r="C4859" s="39" t="s">
        <v>2884</v>
      </c>
      <c r="D4859">
        <v>7</v>
      </c>
      <c r="F4859" s="56"/>
    </row>
    <row r="4860" spans="1:6" ht="15">
      <c r="A4860" s="51">
        <v>293311</v>
      </c>
      <c r="B4860" t="s">
        <v>736</v>
      </c>
      <c r="C4860" s="39" t="s">
        <v>575</v>
      </c>
      <c r="D4860" t="s">
        <v>4245</v>
      </c>
      <c r="F4860" s="56"/>
    </row>
    <row r="4861" spans="1:6" ht="15">
      <c r="A4861" s="51">
        <v>293312</v>
      </c>
      <c r="B4861" t="s">
        <v>737</v>
      </c>
      <c r="C4861" s="39" t="s">
        <v>575</v>
      </c>
      <c r="D4861" t="s">
        <v>4244</v>
      </c>
      <c r="F4861" s="56"/>
    </row>
    <row r="4862" spans="1:6" ht="15">
      <c r="A4862" s="51">
        <v>293313</v>
      </c>
      <c r="B4862" t="s">
        <v>738</v>
      </c>
      <c r="C4862" s="39" t="s">
        <v>575</v>
      </c>
      <c r="D4862" t="s">
        <v>4243</v>
      </c>
      <c r="F4862" s="56"/>
    </row>
    <row r="4863" spans="1:6" ht="15">
      <c r="A4863" s="51">
        <v>293314</v>
      </c>
      <c r="B4863" t="s">
        <v>3227</v>
      </c>
      <c r="C4863" s="39" t="s">
        <v>575</v>
      </c>
      <c r="D4863">
        <v>8</v>
      </c>
      <c r="F4863" s="56"/>
    </row>
    <row r="4864" spans="1:6" ht="15">
      <c r="A4864" s="51">
        <v>293315</v>
      </c>
      <c r="B4864" t="s">
        <v>3228</v>
      </c>
      <c r="C4864" s="39" t="s">
        <v>2041</v>
      </c>
      <c r="D4864" t="s">
        <v>4248</v>
      </c>
      <c r="F4864" s="56"/>
    </row>
    <row r="4865" spans="1:6" ht="15">
      <c r="A4865" s="51">
        <v>293316</v>
      </c>
      <c r="B4865" t="s">
        <v>2325</v>
      </c>
      <c r="C4865" s="39" t="s">
        <v>2041</v>
      </c>
      <c r="D4865" t="s">
        <v>4245</v>
      </c>
      <c r="F4865" s="56"/>
    </row>
    <row r="4866" spans="1:6" ht="15">
      <c r="A4866" s="51">
        <v>293317</v>
      </c>
      <c r="B4866" t="s">
        <v>742</v>
      </c>
      <c r="C4866" s="39" t="s">
        <v>2041</v>
      </c>
      <c r="D4866" t="s">
        <v>4244</v>
      </c>
      <c r="F4866" s="56"/>
    </row>
    <row r="4867" spans="1:6" ht="15">
      <c r="A4867" s="51">
        <v>293318</v>
      </c>
      <c r="B4867" t="s">
        <v>743</v>
      </c>
      <c r="C4867" s="39" t="s">
        <v>2041</v>
      </c>
      <c r="D4867" t="s">
        <v>4243</v>
      </c>
      <c r="F4867" s="56"/>
    </row>
    <row r="4868" spans="1:6" ht="15">
      <c r="A4868" s="51">
        <v>293319</v>
      </c>
      <c r="B4868" t="s">
        <v>3229</v>
      </c>
      <c r="C4868" s="39" t="s">
        <v>2041</v>
      </c>
      <c r="D4868">
        <v>8</v>
      </c>
      <c r="F4868" s="56"/>
    </row>
    <row r="4869" spans="1:6" ht="15">
      <c r="A4869" s="51">
        <v>293320</v>
      </c>
      <c r="B4869" t="s">
        <v>3230</v>
      </c>
      <c r="C4869" s="39" t="s">
        <v>2236</v>
      </c>
      <c r="D4869" t="s">
        <v>4245</v>
      </c>
      <c r="F4869" s="56"/>
    </row>
    <row r="4870" spans="1:6" ht="15">
      <c r="A4870" s="51">
        <v>293321</v>
      </c>
      <c r="B4870" t="s">
        <v>3231</v>
      </c>
      <c r="C4870" s="39" t="s">
        <v>2236</v>
      </c>
      <c r="D4870" t="s">
        <v>4244</v>
      </c>
      <c r="F4870" s="56"/>
    </row>
    <row r="4871" spans="1:6" ht="15">
      <c r="A4871" s="51">
        <v>293322</v>
      </c>
      <c r="B4871" t="s">
        <v>3232</v>
      </c>
      <c r="C4871" s="39" t="s">
        <v>2236</v>
      </c>
      <c r="D4871">
        <v>7</v>
      </c>
      <c r="F4871" s="56"/>
    </row>
    <row r="4872" spans="1:6" ht="15">
      <c r="A4872" s="51">
        <v>293323</v>
      </c>
      <c r="B4872" t="s">
        <v>3233</v>
      </c>
      <c r="C4872" s="39" t="s">
        <v>2236</v>
      </c>
      <c r="D4872">
        <v>8</v>
      </c>
      <c r="F4872" s="56"/>
    </row>
    <row r="4873" spans="1:6" ht="15">
      <c r="A4873" s="51">
        <v>293324</v>
      </c>
      <c r="B4873" t="s">
        <v>748</v>
      </c>
      <c r="C4873" s="39" t="s">
        <v>2236</v>
      </c>
      <c r="D4873">
        <v>8</v>
      </c>
      <c r="F4873" s="56"/>
    </row>
    <row r="4874" spans="1:6" ht="15">
      <c r="A4874" s="51">
        <v>293325</v>
      </c>
      <c r="B4874" t="s">
        <v>3234</v>
      </c>
      <c r="C4874" s="39" t="s">
        <v>2167</v>
      </c>
      <c r="D4874" t="s">
        <v>4247</v>
      </c>
      <c r="F4874" s="56"/>
    </row>
    <row r="4875" spans="1:6" ht="15">
      <c r="A4875" s="51">
        <v>293326</v>
      </c>
      <c r="B4875" t="s">
        <v>3235</v>
      </c>
      <c r="C4875" s="39" t="s">
        <v>2167</v>
      </c>
      <c r="D4875" t="s">
        <v>4243</v>
      </c>
      <c r="F4875" s="56"/>
    </row>
    <row r="4876" spans="1:6" ht="15">
      <c r="A4876" s="51">
        <v>293327</v>
      </c>
      <c r="B4876" t="s">
        <v>3236</v>
      </c>
      <c r="C4876" s="39" t="s">
        <v>2167</v>
      </c>
      <c r="D4876">
        <v>7</v>
      </c>
      <c r="F4876" s="56"/>
    </row>
    <row r="4877" spans="1:6" ht="15">
      <c r="A4877" s="51">
        <v>293328</v>
      </c>
      <c r="B4877" t="s">
        <v>3237</v>
      </c>
      <c r="C4877" s="39" t="s">
        <v>2167</v>
      </c>
      <c r="D4877">
        <v>9</v>
      </c>
      <c r="F4877" s="56"/>
    </row>
    <row r="4878" spans="1:6" ht="15">
      <c r="A4878" s="51">
        <v>1531410</v>
      </c>
      <c r="B4878" t="s">
        <v>764</v>
      </c>
      <c r="C4878" s="39" t="s">
        <v>177</v>
      </c>
      <c r="D4878" t="s">
        <v>1595</v>
      </c>
      <c r="F4878" s="56"/>
    </row>
    <row r="4879" spans="1:6" ht="15">
      <c r="A4879" s="51">
        <v>1531411</v>
      </c>
      <c r="B4879" t="s">
        <v>765</v>
      </c>
      <c r="C4879" s="39" t="s">
        <v>177</v>
      </c>
      <c r="D4879" t="s">
        <v>468</v>
      </c>
      <c r="F4879" s="56"/>
    </row>
    <row r="4880" spans="1:6" ht="15">
      <c r="A4880" s="51">
        <v>1531412</v>
      </c>
      <c r="B4880" t="s">
        <v>766</v>
      </c>
      <c r="C4880" s="39" t="s">
        <v>177</v>
      </c>
      <c r="D4880" t="s">
        <v>469</v>
      </c>
      <c r="F4880" s="56"/>
    </row>
    <row r="4881" spans="1:6" ht="15">
      <c r="A4881" s="51">
        <v>293335</v>
      </c>
      <c r="B4881" t="s">
        <v>3238</v>
      </c>
      <c r="C4881" s="39" t="s">
        <v>2199</v>
      </c>
      <c r="D4881" t="s">
        <v>4244</v>
      </c>
      <c r="F4881" s="56"/>
    </row>
    <row r="4882" spans="1:6" ht="15">
      <c r="A4882" s="51">
        <v>293336</v>
      </c>
      <c r="B4882" t="s">
        <v>3239</v>
      </c>
      <c r="C4882" s="39" t="s">
        <v>2199</v>
      </c>
      <c r="D4882">
        <v>7</v>
      </c>
      <c r="F4882" s="56"/>
    </row>
    <row r="4883" spans="1:6" ht="15">
      <c r="A4883" s="51">
        <v>293337</v>
      </c>
      <c r="B4883" t="s">
        <v>3240</v>
      </c>
      <c r="C4883" s="39" t="s">
        <v>1046</v>
      </c>
      <c r="D4883" t="s">
        <v>469</v>
      </c>
      <c r="F4883" s="56"/>
    </row>
    <row r="4884" spans="1:6" ht="15">
      <c r="A4884" s="51">
        <v>293338</v>
      </c>
      <c r="B4884" t="s">
        <v>2974</v>
      </c>
      <c r="C4884" s="39" t="s">
        <v>1046</v>
      </c>
      <c r="D4884" t="s">
        <v>469</v>
      </c>
      <c r="F4884" s="56"/>
    </row>
    <row r="4885" spans="1:6" ht="15">
      <c r="A4885" s="51">
        <v>293339</v>
      </c>
      <c r="B4885" t="s">
        <v>3241</v>
      </c>
      <c r="C4885" s="39" t="s">
        <v>2908</v>
      </c>
      <c r="D4885">
        <v>7</v>
      </c>
      <c r="F4885" s="56"/>
    </row>
    <row r="4886" spans="1:6" ht="15">
      <c r="A4886" s="51">
        <v>293340</v>
      </c>
      <c r="B4886" t="s">
        <v>3242</v>
      </c>
      <c r="C4886" s="39" t="s">
        <v>2908</v>
      </c>
      <c r="D4886">
        <v>7</v>
      </c>
      <c r="F4886" s="56"/>
    </row>
    <row r="4887" spans="1:6" ht="15">
      <c r="A4887" s="51">
        <v>293341</v>
      </c>
      <c r="B4887">
        <v>146</v>
      </c>
      <c r="C4887" s="39" t="s">
        <v>183</v>
      </c>
      <c r="D4887">
        <v>7</v>
      </c>
      <c r="F4887" s="56"/>
    </row>
    <row r="4888" spans="1:6" ht="15">
      <c r="A4888" s="51">
        <v>293342</v>
      </c>
      <c r="B4888">
        <v>150</v>
      </c>
      <c r="C4888" s="39" t="s">
        <v>2903</v>
      </c>
      <c r="D4888">
        <v>8</v>
      </c>
      <c r="F4888" s="56"/>
    </row>
    <row r="4889" spans="1:6" ht="15">
      <c r="A4889" s="51">
        <v>293343</v>
      </c>
      <c r="B4889">
        <v>151</v>
      </c>
      <c r="C4889" s="39" t="s">
        <v>651</v>
      </c>
      <c r="D4889">
        <v>7</v>
      </c>
      <c r="F4889" s="56"/>
    </row>
    <row r="4890" spans="1:6" ht="15">
      <c r="A4890" s="51">
        <v>293344</v>
      </c>
      <c r="B4890" t="s">
        <v>2334</v>
      </c>
      <c r="C4890" s="39" t="s">
        <v>132</v>
      </c>
      <c r="D4890" t="s">
        <v>471</v>
      </c>
      <c r="F4890" s="56"/>
    </row>
    <row r="4891" spans="1:6" ht="15">
      <c r="A4891" s="51">
        <v>293345</v>
      </c>
      <c r="B4891" t="s">
        <v>3243</v>
      </c>
      <c r="C4891" s="39" t="s">
        <v>134</v>
      </c>
      <c r="D4891">
        <v>8</v>
      </c>
      <c r="F4891" s="56"/>
    </row>
    <row r="4892" spans="1:6" ht="15">
      <c r="A4892" s="51">
        <v>293346</v>
      </c>
      <c r="B4892" t="s">
        <v>3244</v>
      </c>
      <c r="C4892" s="39" t="s">
        <v>134</v>
      </c>
      <c r="D4892">
        <v>8</v>
      </c>
      <c r="F4892" s="56"/>
    </row>
    <row r="4893" spans="1:6" ht="15">
      <c r="A4893" s="51">
        <v>293347</v>
      </c>
      <c r="B4893">
        <v>155</v>
      </c>
      <c r="C4893" s="39" t="s">
        <v>3245</v>
      </c>
      <c r="D4893">
        <v>8</v>
      </c>
      <c r="F4893" s="56"/>
    </row>
    <row r="4894" spans="1:6" ht="15">
      <c r="A4894" s="51">
        <v>293348</v>
      </c>
      <c r="B4894" t="s">
        <v>3246</v>
      </c>
      <c r="C4894" s="39" t="s">
        <v>2630</v>
      </c>
      <c r="D4894" t="s">
        <v>4247</v>
      </c>
      <c r="F4894" s="56"/>
    </row>
    <row r="4895" spans="1:6" ht="15">
      <c r="A4895" s="51">
        <v>293349</v>
      </c>
      <c r="B4895" t="s">
        <v>3247</v>
      </c>
      <c r="C4895" s="39" t="s">
        <v>2630</v>
      </c>
      <c r="D4895" t="s">
        <v>4244</v>
      </c>
      <c r="F4895" s="56"/>
    </row>
    <row r="4896" spans="1:6" ht="15">
      <c r="A4896" s="51">
        <v>293350</v>
      </c>
      <c r="B4896" t="s">
        <v>3248</v>
      </c>
      <c r="C4896" s="39" t="s">
        <v>2630</v>
      </c>
      <c r="D4896">
        <v>9</v>
      </c>
      <c r="F4896" s="56"/>
    </row>
    <row r="4897" spans="1:6" ht="15">
      <c r="A4897" s="51">
        <v>1459536</v>
      </c>
      <c r="B4897" t="s">
        <v>1615</v>
      </c>
      <c r="C4897" s="39" t="s">
        <v>477</v>
      </c>
      <c r="D4897" t="s">
        <v>4244</v>
      </c>
      <c r="F4897" s="56"/>
    </row>
    <row r="4898" spans="1:6" ht="15">
      <c r="A4898" s="51">
        <v>1459538</v>
      </c>
      <c r="B4898" t="s">
        <v>1616</v>
      </c>
      <c r="C4898" s="39" t="s">
        <v>477</v>
      </c>
      <c r="D4898">
        <v>7</v>
      </c>
      <c r="F4898" s="56"/>
    </row>
    <row r="4899" spans="1:6" ht="15">
      <c r="A4899" s="51">
        <v>1459544</v>
      </c>
      <c r="B4899" t="s">
        <v>1617</v>
      </c>
      <c r="C4899" s="39" t="s">
        <v>477</v>
      </c>
      <c r="D4899">
        <v>8</v>
      </c>
      <c r="F4899" s="56"/>
    </row>
    <row r="4900" spans="1:6" ht="15">
      <c r="A4900" s="51">
        <v>293354</v>
      </c>
      <c r="B4900" t="s">
        <v>2999</v>
      </c>
      <c r="C4900" s="39" t="s">
        <v>189</v>
      </c>
      <c r="D4900" t="s">
        <v>4247</v>
      </c>
      <c r="F4900" s="56"/>
    </row>
    <row r="4901" spans="1:6" ht="15">
      <c r="A4901" s="51">
        <v>293355</v>
      </c>
      <c r="B4901" t="s">
        <v>3000</v>
      </c>
      <c r="C4901" s="39" t="s">
        <v>189</v>
      </c>
      <c r="D4901" t="s">
        <v>4243</v>
      </c>
      <c r="F4901" s="56"/>
    </row>
    <row r="4902" spans="1:6" ht="15">
      <c r="A4902" s="51">
        <v>293356</v>
      </c>
      <c r="B4902" t="s">
        <v>3001</v>
      </c>
      <c r="C4902" s="39" t="s">
        <v>189</v>
      </c>
      <c r="D4902">
        <v>7</v>
      </c>
      <c r="F4902" s="56"/>
    </row>
    <row r="4903" spans="1:6" ht="15">
      <c r="A4903" s="51">
        <v>293357</v>
      </c>
      <c r="B4903" t="s">
        <v>3249</v>
      </c>
      <c r="C4903" s="39" t="s">
        <v>189</v>
      </c>
      <c r="D4903">
        <v>9</v>
      </c>
      <c r="F4903" s="56"/>
    </row>
    <row r="4904" spans="1:6" ht="15">
      <c r="A4904" s="51">
        <v>293358</v>
      </c>
      <c r="B4904" t="s">
        <v>3003</v>
      </c>
      <c r="C4904" s="39" t="s">
        <v>630</v>
      </c>
      <c r="D4904" t="s">
        <v>4244</v>
      </c>
      <c r="F4904" s="56"/>
    </row>
    <row r="4905" spans="1:6" ht="15">
      <c r="A4905" s="51">
        <v>293359</v>
      </c>
      <c r="B4905" t="s">
        <v>3250</v>
      </c>
      <c r="C4905" s="39" t="s">
        <v>630</v>
      </c>
      <c r="D4905">
        <v>7</v>
      </c>
      <c r="F4905" s="56"/>
    </row>
    <row r="4906" spans="1:6" ht="15">
      <c r="A4906" s="51">
        <v>293360</v>
      </c>
      <c r="B4906" t="s">
        <v>3251</v>
      </c>
      <c r="C4906" s="39" t="s">
        <v>630</v>
      </c>
      <c r="D4906">
        <v>8</v>
      </c>
      <c r="F4906" s="56"/>
    </row>
    <row r="4907" spans="1:6" ht="15">
      <c r="A4907" s="51">
        <v>293361</v>
      </c>
      <c r="B4907" t="s">
        <v>3252</v>
      </c>
      <c r="C4907" s="39" t="s">
        <v>2034</v>
      </c>
      <c r="D4907" t="s">
        <v>1595</v>
      </c>
      <c r="F4907" s="56"/>
    </row>
    <row r="4908" spans="1:6" ht="15">
      <c r="A4908" s="51">
        <v>293362</v>
      </c>
      <c r="B4908" t="s">
        <v>3253</v>
      </c>
      <c r="C4908" s="39" t="s">
        <v>2034</v>
      </c>
      <c r="D4908" t="s">
        <v>469</v>
      </c>
      <c r="F4908" s="56"/>
    </row>
    <row r="4909" spans="1:6" ht="15">
      <c r="A4909" s="51">
        <v>293363</v>
      </c>
      <c r="B4909" t="s">
        <v>3254</v>
      </c>
      <c r="C4909" s="39" t="s">
        <v>2034</v>
      </c>
      <c r="D4909" t="s">
        <v>471</v>
      </c>
      <c r="F4909" s="56"/>
    </row>
    <row r="4910" spans="1:6" ht="15">
      <c r="A4910" s="51">
        <v>293364</v>
      </c>
      <c r="B4910">
        <v>195</v>
      </c>
      <c r="C4910" s="39" t="s">
        <v>224</v>
      </c>
      <c r="D4910" t="s">
        <v>4243</v>
      </c>
      <c r="F4910" s="56"/>
    </row>
    <row r="4911" spans="1:6" ht="15">
      <c r="A4911" s="51">
        <v>1531639</v>
      </c>
      <c r="B4911" t="s">
        <v>2594</v>
      </c>
      <c r="C4911" s="39" t="s">
        <v>1360</v>
      </c>
      <c r="D4911" t="s">
        <v>4247</v>
      </c>
      <c r="F4911" s="56"/>
    </row>
    <row r="4912" spans="1:6" ht="15">
      <c r="A4912" s="51">
        <v>1531640</v>
      </c>
      <c r="B4912" t="s">
        <v>3255</v>
      </c>
      <c r="C4912" s="39" t="s">
        <v>1360</v>
      </c>
      <c r="D4912" t="s">
        <v>4243</v>
      </c>
      <c r="F4912" s="56"/>
    </row>
    <row r="4913" spans="1:6" ht="15">
      <c r="A4913" s="51">
        <v>1531641</v>
      </c>
      <c r="B4913" t="s">
        <v>809</v>
      </c>
      <c r="C4913" s="39" t="s">
        <v>1360</v>
      </c>
      <c r="D4913">
        <v>8</v>
      </c>
      <c r="F4913" s="56"/>
    </row>
    <row r="4914" spans="1:6" ht="15">
      <c r="A4914" s="51">
        <v>293372</v>
      </c>
      <c r="B4914">
        <v>212</v>
      </c>
      <c r="C4914" s="39" t="s">
        <v>3256</v>
      </c>
      <c r="D4914" t="s">
        <v>4243</v>
      </c>
      <c r="F4914" s="56"/>
    </row>
    <row r="4915" spans="1:6" ht="15">
      <c r="A4915" s="51">
        <v>1460151</v>
      </c>
      <c r="B4915" t="s">
        <v>2103</v>
      </c>
      <c r="C4915" s="39" t="s">
        <v>1426</v>
      </c>
      <c r="D4915" t="s">
        <v>4246</v>
      </c>
      <c r="F4915" s="56"/>
    </row>
    <row r="4916" spans="1:6" ht="15">
      <c r="A4916" s="51">
        <v>293375</v>
      </c>
      <c r="B4916" t="s">
        <v>3257</v>
      </c>
      <c r="C4916" s="39" t="s">
        <v>1426</v>
      </c>
      <c r="D4916" t="s">
        <v>4243</v>
      </c>
      <c r="F4916" s="56"/>
    </row>
    <row r="4917" spans="1:6" ht="15">
      <c r="A4917" s="51">
        <v>293376</v>
      </c>
      <c r="B4917" t="s">
        <v>3258</v>
      </c>
      <c r="C4917" s="39" t="s">
        <v>1426</v>
      </c>
      <c r="D4917">
        <v>7</v>
      </c>
      <c r="F4917" s="56"/>
    </row>
    <row r="4918" spans="1:6" ht="15">
      <c r="A4918" s="51">
        <v>293377</v>
      </c>
      <c r="B4918" t="s">
        <v>3259</v>
      </c>
      <c r="C4918" s="39" t="s">
        <v>1426</v>
      </c>
      <c r="D4918">
        <v>9</v>
      </c>
      <c r="F4918" s="56"/>
    </row>
    <row r="4919" spans="1:6" ht="15">
      <c r="A4919" s="51">
        <v>1460200</v>
      </c>
      <c r="B4919" t="s">
        <v>3260</v>
      </c>
      <c r="C4919" s="39" t="s">
        <v>1439</v>
      </c>
      <c r="D4919" t="s">
        <v>4243</v>
      </c>
      <c r="F4919" s="56"/>
    </row>
    <row r="4920" spans="1:6" ht="15">
      <c r="A4920" s="51">
        <v>1460202</v>
      </c>
      <c r="B4920" t="s">
        <v>3261</v>
      </c>
      <c r="C4920" s="39" t="s">
        <v>1439</v>
      </c>
      <c r="D4920" t="s">
        <v>4243</v>
      </c>
      <c r="F4920" s="56"/>
    </row>
    <row r="4921" spans="1:6" ht="15">
      <c r="A4921" s="51">
        <v>1460204</v>
      </c>
      <c r="B4921" t="s">
        <v>3262</v>
      </c>
      <c r="C4921" s="39" t="s">
        <v>1439</v>
      </c>
      <c r="D4921" t="s">
        <v>4243</v>
      </c>
      <c r="F4921" s="56"/>
    </row>
    <row r="4922" spans="1:6" ht="15">
      <c r="A4922" s="51">
        <v>293386</v>
      </c>
      <c r="B4922" t="s">
        <v>2595</v>
      </c>
      <c r="C4922" s="39" t="s">
        <v>1301</v>
      </c>
      <c r="D4922">
        <v>8</v>
      </c>
      <c r="F4922" s="56"/>
    </row>
    <row r="4923" spans="1:6" ht="15">
      <c r="A4923" s="51">
        <v>293387</v>
      </c>
      <c r="B4923" t="s">
        <v>3263</v>
      </c>
      <c r="C4923" s="39" t="s">
        <v>1095</v>
      </c>
      <c r="D4923" t="s">
        <v>469</v>
      </c>
      <c r="F4923" s="56"/>
    </row>
    <row r="4924" spans="1:6" ht="15">
      <c r="A4924" s="51">
        <v>293388</v>
      </c>
      <c r="B4924" t="s">
        <v>3264</v>
      </c>
      <c r="C4924" s="39" t="s">
        <v>1095</v>
      </c>
      <c r="D4924" t="s">
        <v>469</v>
      </c>
      <c r="F4924" s="56"/>
    </row>
    <row r="4925" spans="1:6" ht="15">
      <c r="A4925" s="51">
        <v>293389</v>
      </c>
      <c r="B4925" t="s">
        <v>3022</v>
      </c>
      <c r="C4925" s="39" t="s">
        <v>1245</v>
      </c>
      <c r="D4925" t="s">
        <v>4243</v>
      </c>
      <c r="F4925" s="56"/>
    </row>
    <row r="4926" spans="1:6" ht="15">
      <c r="A4926" s="51">
        <v>293390</v>
      </c>
      <c r="B4926" t="s">
        <v>3265</v>
      </c>
      <c r="C4926" s="39" t="s">
        <v>1245</v>
      </c>
      <c r="D4926">
        <v>7</v>
      </c>
      <c r="F4926" s="56"/>
    </row>
    <row r="4927" spans="1:6" ht="15">
      <c r="A4927" s="51">
        <v>293391</v>
      </c>
      <c r="B4927">
        <v>269</v>
      </c>
      <c r="C4927" s="39" t="s">
        <v>142</v>
      </c>
      <c r="D4927" t="s">
        <v>4243</v>
      </c>
      <c r="F4927" s="56"/>
    </row>
    <row r="4928" spans="1:6" ht="15">
      <c r="A4928" s="51">
        <v>293396</v>
      </c>
      <c r="B4928">
        <v>295</v>
      </c>
      <c r="C4928" s="39" t="s">
        <v>104</v>
      </c>
      <c r="D4928" t="s">
        <v>4243</v>
      </c>
      <c r="F4928" s="56"/>
    </row>
    <row r="4929" spans="1:6" ht="15">
      <c r="A4929" s="51">
        <v>293403</v>
      </c>
      <c r="B4929" t="s">
        <v>3266</v>
      </c>
      <c r="C4929" s="39" t="s">
        <v>971</v>
      </c>
      <c r="D4929" t="s">
        <v>4246</v>
      </c>
      <c r="F4929" s="56"/>
    </row>
    <row r="4930" spans="1:6" ht="15">
      <c r="A4930" s="51">
        <v>293404</v>
      </c>
      <c r="B4930" t="s">
        <v>1903</v>
      </c>
      <c r="C4930" s="39" t="s">
        <v>971</v>
      </c>
      <c r="D4930" t="s">
        <v>4246</v>
      </c>
      <c r="F4930" s="56"/>
    </row>
    <row r="4931" spans="1:6" ht="15">
      <c r="A4931" s="51">
        <v>293405</v>
      </c>
      <c r="B4931" t="s">
        <v>3267</v>
      </c>
      <c r="C4931" s="39" t="s">
        <v>971</v>
      </c>
      <c r="D4931" t="s">
        <v>4244</v>
      </c>
      <c r="F4931" s="56"/>
    </row>
    <row r="4932" spans="1:6" ht="15">
      <c r="A4932" s="51">
        <v>293406</v>
      </c>
      <c r="B4932" t="s">
        <v>3268</v>
      </c>
      <c r="C4932" s="39" t="s">
        <v>324</v>
      </c>
      <c r="D4932" t="s">
        <v>4243</v>
      </c>
      <c r="F4932" s="56"/>
    </row>
    <row r="4933" spans="1:6" ht="15">
      <c r="A4933" s="51">
        <v>3118086</v>
      </c>
      <c r="B4933" t="s">
        <v>1905</v>
      </c>
      <c r="C4933" s="39" t="s">
        <v>1338</v>
      </c>
      <c r="D4933" t="s">
        <v>4244</v>
      </c>
      <c r="F4933" s="56"/>
    </row>
    <row r="4934" spans="1:6" ht="15">
      <c r="A4934" s="51">
        <v>3118087</v>
      </c>
      <c r="B4934" t="s">
        <v>1906</v>
      </c>
      <c r="C4934" s="39" t="s">
        <v>1338</v>
      </c>
      <c r="D4934" t="s">
        <v>4244</v>
      </c>
      <c r="F4934" s="56"/>
    </row>
    <row r="4935" spans="1:6" ht="15">
      <c r="A4935" s="51">
        <v>3118088</v>
      </c>
      <c r="B4935" t="s">
        <v>1908</v>
      </c>
      <c r="C4935" s="39" t="s">
        <v>1338</v>
      </c>
      <c r="D4935">
        <v>9</v>
      </c>
      <c r="F4935" s="56"/>
    </row>
    <row r="4936" spans="1:6" ht="15">
      <c r="A4936" s="51">
        <v>3118089</v>
      </c>
      <c r="B4936" t="s">
        <v>1909</v>
      </c>
      <c r="C4936" s="39" t="s">
        <v>1910</v>
      </c>
      <c r="D4936" t="s">
        <v>4244</v>
      </c>
      <c r="F4936" s="56"/>
    </row>
    <row r="4937" spans="1:6" ht="15">
      <c r="A4937" s="51">
        <v>3118090</v>
      </c>
      <c r="B4937" t="s">
        <v>1911</v>
      </c>
      <c r="C4937" s="39" t="s">
        <v>1912</v>
      </c>
      <c r="D4937">
        <v>8</v>
      </c>
      <c r="F4937" s="56"/>
    </row>
    <row r="4938" spans="1:6" ht="15">
      <c r="A4938" s="51">
        <v>293411</v>
      </c>
      <c r="B4938" t="s">
        <v>3269</v>
      </c>
      <c r="C4938" s="39" t="s">
        <v>1352</v>
      </c>
      <c r="D4938" t="s">
        <v>469</v>
      </c>
      <c r="F4938" s="56"/>
    </row>
    <row r="4939" spans="1:6" ht="15">
      <c r="A4939" s="51">
        <v>293412</v>
      </c>
      <c r="B4939" t="s">
        <v>3270</v>
      </c>
      <c r="C4939" s="39" t="s">
        <v>1352</v>
      </c>
      <c r="D4939" t="s">
        <v>469</v>
      </c>
      <c r="F4939" s="56"/>
    </row>
    <row r="4940" spans="1:6" ht="15">
      <c r="A4940" s="51">
        <v>3118091</v>
      </c>
      <c r="B4940" t="s">
        <v>1913</v>
      </c>
      <c r="C4940" s="39" t="s">
        <v>1274</v>
      </c>
      <c r="D4940" t="s">
        <v>4244</v>
      </c>
      <c r="F4940" s="56"/>
    </row>
    <row r="4941" spans="1:6" ht="15">
      <c r="A4941" s="51">
        <v>3118092</v>
      </c>
      <c r="B4941" t="s">
        <v>1273</v>
      </c>
      <c r="C4941" s="39" t="s">
        <v>1274</v>
      </c>
      <c r="D4941">
        <v>7</v>
      </c>
      <c r="F4941" s="56"/>
    </row>
    <row r="4942" spans="1:6" ht="15">
      <c r="A4942" s="51">
        <v>3118093</v>
      </c>
      <c r="B4942" t="s">
        <v>1275</v>
      </c>
      <c r="C4942" s="39" t="s">
        <v>1274</v>
      </c>
      <c r="D4942">
        <v>9</v>
      </c>
      <c r="F4942" s="56"/>
    </row>
    <row r="4943" spans="1:6" ht="15">
      <c r="A4943" s="51">
        <v>293418</v>
      </c>
      <c r="B4943">
        <v>395</v>
      </c>
      <c r="C4943" s="39" t="s">
        <v>224</v>
      </c>
      <c r="D4943" t="s">
        <v>4243</v>
      </c>
      <c r="F4943" s="56"/>
    </row>
    <row r="4944" spans="1:6" ht="15">
      <c r="A4944" s="51">
        <v>293419</v>
      </c>
      <c r="B4944">
        <v>397</v>
      </c>
      <c r="C4944" s="39" t="s">
        <v>1521</v>
      </c>
      <c r="D4944" t="s">
        <v>4243</v>
      </c>
      <c r="F4944" s="56"/>
    </row>
    <row r="4945" spans="1:6" ht="15">
      <c r="A4945" s="51">
        <v>293420</v>
      </c>
      <c r="B4945">
        <v>398</v>
      </c>
      <c r="C4945" s="39" t="s">
        <v>2600</v>
      </c>
      <c r="D4945" t="s">
        <v>4243</v>
      </c>
      <c r="F4945" s="56"/>
    </row>
    <row r="4946" spans="1:6" ht="15">
      <c r="A4946" s="51">
        <v>293426</v>
      </c>
      <c r="B4946" t="s">
        <v>3271</v>
      </c>
      <c r="C4946" s="39" t="s">
        <v>3272</v>
      </c>
      <c r="D4946" t="s">
        <v>4243</v>
      </c>
      <c r="F4946" s="56"/>
    </row>
    <row r="4947" spans="1:6" ht="15">
      <c r="A4947" s="51">
        <v>293427</v>
      </c>
      <c r="B4947" t="s">
        <v>3273</v>
      </c>
      <c r="C4947" s="39" t="s">
        <v>3272</v>
      </c>
      <c r="D4947">
        <v>7</v>
      </c>
      <c r="F4947" s="56"/>
    </row>
    <row r="4948" spans="1:6" ht="15">
      <c r="A4948" s="51">
        <v>293428</v>
      </c>
      <c r="B4948" t="s">
        <v>3274</v>
      </c>
      <c r="C4948" s="39" t="s">
        <v>192</v>
      </c>
      <c r="D4948" t="s">
        <v>4247</v>
      </c>
      <c r="F4948" s="56"/>
    </row>
    <row r="4949" spans="1:6" ht="15">
      <c r="A4949" s="51">
        <v>293429</v>
      </c>
      <c r="B4949" t="s">
        <v>3275</v>
      </c>
      <c r="C4949" s="39" t="s">
        <v>192</v>
      </c>
      <c r="D4949" t="s">
        <v>4243</v>
      </c>
      <c r="F4949" s="56"/>
    </row>
    <row r="4950" spans="1:6" ht="15">
      <c r="A4950" s="51">
        <v>293430</v>
      </c>
      <c r="B4950" t="s">
        <v>3276</v>
      </c>
      <c r="C4950" s="39" t="s">
        <v>192</v>
      </c>
      <c r="D4950">
        <v>7</v>
      </c>
      <c r="F4950" s="56"/>
    </row>
    <row r="4951" spans="1:6" ht="15">
      <c r="A4951" s="51">
        <v>293433</v>
      </c>
      <c r="B4951">
        <v>461</v>
      </c>
      <c r="C4951" s="39" t="s">
        <v>2818</v>
      </c>
      <c r="D4951" t="s">
        <v>4243</v>
      </c>
      <c r="F4951" s="56"/>
    </row>
    <row r="4952" spans="1:6" ht="15">
      <c r="A4952" s="51">
        <v>293434</v>
      </c>
      <c r="B4952">
        <v>462</v>
      </c>
      <c r="C4952" s="39" t="s">
        <v>1484</v>
      </c>
      <c r="D4952">
        <v>8</v>
      </c>
      <c r="F4952" s="56"/>
    </row>
    <row r="4953" spans="1:6" ht="15">
      <c r="A4953" s="51">
        <v>293443</v>
      </c>
      <c r="B4953" t="s">
        <v>3277</v>
      </c>
      <c r="C4953" s="39" t="s">
        <v>2298</v>
      </c>
      <c r="D4953" t="s">
        <v>4245</v>
      </c>
      <c r="F4953" s="56"/>
    </row>
    <row r="4954" spans="1:6" ht="15">
      <c r="A4954" s="51">
        <v>293444</v>
      </c>
      <c r="B4954" t="s">
        <v>3278</v>
      </c>
      <c r="C4954" s="39" t="s">
        <v>2298</v>
      </c>
      <c r="D4954" t="s">
        <v>4246</v>
      </c>
      <c r="F4954" s="56"/>
    </row>
    <row r="4955" spans="1:6" ht="15">
      <c r="A4955" s="51">
        <v>293445</v>
      </c>
      <c r="B4955" t="s">
        <v>3279</v>
      </c>
      <c r="C4955" s="39" t="s">
        <v>2298</v>
      </c>
      <c r="D4955" t="s">
        <v>4244</v>
      </c>
      <c r="F4955" s="56"/>
    </row>
    <row r="4956" spans="1:6" ht="15">
      <c r="A4956" s="51">
        <v>293452</v>
      </c>
      <c r="B4956" t="s">
        <v>3280</v>
      </c>
      <c r="C4956" s="39" t="s">
        <v>983</v>
      </c>
      <c r="D4956" t="s">
        <v>1596</v>
      </c>
      <c r="F4956" s="56"/>
    </row>
    <row r="4957" spans="1:6" ht="15">
      <c r="A4957" s="51">
        <v>293453</v>
      </c>
      <c r="B4957" t="s">
        <v>3281</v>
      </c>
      <c r="C4957" s="39" t="s">
        <v>983</v>
      </c>
      <c r="D4957" t="s">
        <v>471</v>
      </c>
      <c r="F4957" s="56"/>
    </row>
    <row r="4958" spans="1:6" ht="15">
      <c r="A4958" s="51">
        <v>293454</v>
      </c>
      <c r="B4958" t="s">
        <v>3282</v>
      </c>
      <c r="C4958" s="39" t="s">
        <v>983</v>
      </c>
      <c r="D4958">
        <v>7</v>
      </c>
      <c r="F4958" s="56"/>
    </row>
    <row r="4959" spans="1:6" ht="15">
      <c r="A4959" s="51">
        <v>293455</v>
      </c>
      <c r="B4959" t="s">
        <v>3283</v>
      </c>
      <c r="C4959" s="39" t="s">
        <v>983</v>
      </c>
      <c r="D4959">
        <v>8</v>
      </c>
      <c r="F4959" s="56"/>
    </row>
    <row r="4960" spans="1:6" ht="15">
      <c r="A4960" s="51">
        <v>293460</v>
      </c>
      <c r="B4960" t="s">
        <v>3284</v>
      </c>
      <c r="C4960" s="39" t="s">
        <v>1350</v>
      </c>
      <c r="D4960" t="s">
        <v>1595</v>
      </c>
      <c r="F4960" s="56"/>
    </row>
    <row r="4961" spans="1:6" ht="15">
      <c r="A4961" s="51">
        <v>293461</v>
      </c>
      <c r="B4961" t="s">
        <v>3285</v>
      </c>
      <c r="C4961" s="39" t="s">
        <v>1350</v>
      </c>
      <c r="D4961" t="s">
        <v>468</v>
      </c>
      <c r="F4961" s="56"/>
    </row>
    <row r="4962" spans="1:6" ht="15">
      <c r="A4962" s="51">
        <v>3118094</v>
      </c>
      <c r="B4962" t="s">
        <v>1924</v>
      </c>
      <c r="C4962" s="39" t="s">
        <v>1925</v>
      </c>
      <c r="D4962">
        <v>8</v>
      </c>
      <c r="F4962" s="56"/>
    </row>
    <row r="4963" spans="1:6" ht="15">
      <c r="A4963" s="51">
        <v>3118095</v>
      </c>
      <c r="B4963" t="s">
        <v>1294</v>
      </c>
      <c r="C4963" s="39" t="s">
        <v>1295</v>
      </c>
      <c r="D4963">
        <v>9</v>
      </c>
      <c r="F4963" s="56"/>
    </row>
    <row r="4964" spans="1:6" ht="15">
      <c r="A4964" s="51">
        <v>3118096</v>
      </c>
      <c r="B4964" t="s">
        <v>1296</v>
      </c>
      <c r="C4964" s="39" t="s">
        <v>1297</v>
      </c>
      <c r="D4964">
        <v>9</v>
      </c>
      <c r="F4964" s="56"/>
    </row>
    <row r="4965" spans="1:6" ht="15">
      <c r="A4965" s="51">
        <v>3118097</v>
      </c>
      <c r="B4965" t="s">
        <v>1298</v>
      </c>
      <c r="C4965" s="39" t="s">
        <v>1299</v>
      </c>
      <c r="D4965">
        <v>9</v>
      </c>
      <c r="F4965" s="56"/>
    </row>
    <row r="4966" spans="1:6" ht="15">
      <c r="A4966" s="51">
        <v>3118098</v>
      </c>
      <c r="B4966" t="s">
        <v>1300</v>
      </c>
      <c r="C4966" s="39" t="s">
        <v>1301</v>
      </c>
      <c r="D4966">
        <v>9</v>
      </c>
      <c r="F4966" s="56"/>
    </row>
    <row r="4967" spans="1:6" ht="15">
      <c r="A4967" s="51">
        <v>3118099</v>
      </c>
      <c r="B4967" t="s">
        <v>1303</v>
      </c>
      <c r="C4967" s="39" t="s">
        <v>1304</v>
      </c>
      <c r="D4967">
        <v>9</v>
      </c>
      <c r="F4967" s="56"/>
    </row>
    <row r="4968" spans="1:6" ht="15">
      <c r="A4968" s="51">
        <v>3118100</v>
      </c>
      <c r="B4968" t="s">
        <v>1305</v>
      </c>
      <c r="C4968" s="39" t="s">
        <v>1306</v>
      </c>
      <c r="D4968">
        <v>9</v>
      </c>
      <c r="F4968" s="56"/>
    </row>
    <row r="4969" spans="1:6" ht="15">
      <c r="A4969" s="51">
        <v>1469035</v>
      </c>
      <c r="B4969" t="s">
        <v>3286</v>
      </c>
      <c r="C4969" s="39" t="s">
        <v>185</v>
      </c>
      <c r="D4969" t="s">
        <v>4244</v>
      </c>
      <c r="F4969" s="56"/>
    </row>
    <row r="4970" spans="1:6" ht="15">
      <c r="A4970" s="51">
        <v>1459569</v>
      </c>
      <c r="B4970" t="s">
        <v>2150</v>
      </c>
      <c r="C4970" s="39" t="s">
        <v>185</v>
      </c>
      <c r="D4970" t="s">
        <v>4244</v>
      </c>
      <c r="F4970" s="56"/>
    </row>
    <row r="4971" spans="1:6" ht="15">
      <c r="A4971" s="51">
        <v>1459571</v>
      </c>
      <c r="B4971" t="s">
        <v>3287</v>
      </c>
      <c r="C4971" s="39" t="s">
        <v>185</v>
      </c>
      <c r="D4971" t="s">
        <v>4243</v>
      </c>
      <c r="F4971" s="56"/>
    </row>
    <row r="4972" spans="1:6" ht="15">
      <c r="A4972" s="51">
        <v>293483</v>
      </c>
      <c r="B4972" t="s">
        <v>3288</v>
      </c>
      <c r="C4972" s="39" t="s">
        <v>908</v>
      </c>
      <c r="D4972" t="s">
        <v>4244</v>
      </c>
      <c r="F4972" s="56"/>
    </row>
    <row r="4973" spans="1:6" ht="15">
      <c r="A4973" s="51">
        <v>293492</v>
      </c>
      <c r="B4973" t="s">
        <v>3289</v>
      </c>
      <c r="C4973" s="39" t="s">
        <v>120</v>
      </c>
      <c r="D4973" t="s">
        <v>4245</v>
      </c>
      <c r="F4973" s="56"/>
    </row>
    <row r="4974" spans="1:6" ht="15">
      <c r="A4974" s="51">
        <v>293493</v>
      </c>
      <c r="B4974" t="s">
        <v>3290</v>
      </c>
      <c r="C4974" s="39" t="s">
        <v>120</v>
      </c>
      <c r="D4974" t="s">
        <v>4246</v>
      </c>
      <c r="F4974" s="56"/>
    </row>
    <row r="4975" spans="1:6" ht="15">
      <c r="A4975" s="51">
        <v>293494</v>
      </c>
      <c r="B4975" t="s">
        <v>3291</v>
      </c>
      <c r="C4975" s="39" t="s">
        <v>120</v>
      </c>
      <c r="D4975" t="s">
        <v>4244</v>
      </c>
      <c r="F4975" s="56"/>
    </row>
    <row r="4976" spans="1:6" ht="15">
      <c r="A4976" s="51">
        <v>1460171</v>
      </c>
      <c r="B4976" t="s">
        <v>3292</v>
      </c>
      <c r="C4976" s="39" t="s">
        <v>971</v>
      </c>
      <c r="D4976">
        <v>8</v>
      </c>
      <c r="F4976" s="56"/>
    </row>
    <row r="4977" spans="1:6" ht="15">
      <c r="A4977" s="51">
        <v>1460173</v>
      </c>
      <c r="B4977" t="s">
        <v>3293</v>
      </c>
      <c r="C4977" s="39" t="s">
        <v>971</v>
      </c>
      <c r="D4977" t="s">
        <v>4244</v>
      </c>
      <c r="F4977" s="56"/>
    </row>
    <row r="4978" spans="1:6" ht="15">
      <c r="A4978" s="51">
        <v>1459510</v>
      </c>
      <c r="B4978" t="s">
        <v>3294</v>
      </c>
      <c r="C4978" s="39" t="s">
        <v>3201</v>
      </c>
      <c r="D4978">
        <v>8</v>
      </c>
      <c r="F4978" s="56"/>
    </row>
    <row r="4979" spans="1:6" ht="15">
      <c r="A4979" s="51">
        <v>1459512</v>
      </c>
      <c r="B4979" t="s">
        <v>3295</v>
      </c>
      <c r="C4979" s="39" t="s">
        <v>3201</v>
      </c>
      <c r="D4979">
        <v>8</v>
      </c>
      <c r="F4979" s="56"/>
    </row>
    <row r="4980" spans="1:6" ht="15">
      <c r="A4980" s="51">
        <v>1460188</v>
      </c>
      <c r="B4980">
        <v>804</v>
      </c>
      <c r="C4980" s="39" t="s">
        <v>651</v>
      </c>
      <c r="D4980">
        <v>7</v>
      </c>
      <c r="F4980" s="56"/>
    </row>
    <row r="4981" spans="1:6" ht="15">
      <c r="A4981" s="51">
        <v>1460159</v>
      </c>
      <c r="B4981" t="s">
        <v>3296</v>
      </c>
      <c r="C4981" s="39" t="s">
        <v>185</v>
      </c>
      <c r="D4981" t="s">
        <v>4244</v>
      </c>
      <c r="F4981" s="56"/>
    </row>
    <row r="4982" spans="1:6" ht="15">
      <c r="A4982" s="51">
        <v>1460161</v>
      </c>
      <c r="B4982" t="s">
        <v>3297</v>
      </c>
      <c r="C4982" s="39" t="s">
        <v>185</v>
      </c>
      <c r="D4982" t="s">
        <v>4244</v>
      </c>
      <c r="F4982" s="56"/>
    </row>
    <row r="4983" spans="1:6" ht="15">
      <c r="A4983" s="51">
        <v>1460163</v>
      </c>
      <c r="B4983" t="s">
        <v>3298</v>
      </c>
      <c r="C4983" s="39" t="s">
        <v>185</v>
      </c>
      <c r="D4983">
        <v>7</v>
      </c>
      <c r="F4983" s="56"/>
    </row>
    <row r="4984" spans="1:6" ht="15">
      <c r="A4984" s="51">
        <v>1459507</v>
      </c>
      <c r="B4984" t="s">
        <v>3299</v>
      </c>
      <c r="C4984" s="39" t="s">
        <v>2199</v>
      </c>
      <c r="D4984" t="s">
        <v>4244</v>
      </c>
      <c r="F4984" s="56"/>
    </row>
    <row r="4985" spans="1:6" ht="15">
      <c r="A4985" s="51">
        <v>1459509</v>
      </c>
      <c r="B4985" t="s">
        <v>3300</v>
      </c>
      <c r="C4985" s="39" t="s">
        <v>2199</v>
      </c>
      <c r="D4985">
        <v>7</v>
      </c>
      <c r="F4985" s="56"/>
    </row>
    <row r="4986" spans="1:6" ht="15">
      <c r="A4986" s="51">
        <v>1460167</v>
      </c>
      <c r="B4986" t="s">
        <v>3301</v>
      </c>
      <c r="C4986" s="39" t="s">
        <v>642</v>
      </c>
      <c r="D4986">
        <v>7</v>
      </c>
      <c r="F4986" s="56"/>
    </row>
    <row r="4987" spans="1:6" ht="15">
      <c r="A4987" s="51">
        <v>1460169</v>
      </c>
      <c r="B4987" t="s">
        <v>3302</v>
      </c>
      <c r="C4987" s="39" t="s">
        <v>642</v>
      </c>
      <c r="D4987">
        <v>8</v>
      </c>
      <c r="F4987" s="56"/>
    </row>
    <row r="4988" spans="1:6" ht="15">
      <c r="A4988" s="51">
        <v>1460165</v>
      </c>
      <c r="B4988">
        <v>814</v>
      </c>
      <c r="C4988" s="39" t="s">
        <v>3303</v>
      </c>
      <c r="D4988">
        <v>7</v>
      </c>
      <c r="F4988" s="56"/>
    </row>
    <row r="4989" spans="1:6" ht="15">
      <c r="A4989" s="51">
        <v>643761</v>
      </c>
      <c r="B4989" t="s">
        <v>3304</v>
      </c>
      <c r="C4989" s="39" t="s">
        <v>148</v>
      </c>
      <c r="D4989" t="s">
        <v>4247</v>
      </c>
      <c r="F4989" s="56"/>
    </row>
    <row r="4990" spans="1:6" ht="15">
      <c r="A4990" s="51">
        <v>293374</v>
      </c>
      <c r="B4990" t="s">
        <v>3305</v>
      </c>
      <c r="C4990" s="39" t="s">
        <v>1426</v>
      </c>
      <c r="D4990" t="s">
        <v>4246</v>
      </c>
      <c r="F4990" s="56"/>
    </row>
    <row r="4991" spans="1:6" ht="15">
      <c r="A4991" s="51">
        <v>1460153</v>
      </c>
      <c r="B4991" t="s">
        <v>3306</v>
      </c>
      <c r="C4991" s="39" t="s">
        <v>1426</v>
      </c>
      <c r="D4991" t="s">
        <v>4243</v>
      </c>
      <c r="F4991" s="56"/>
    </row>
    <row r="4992" spans="1:6" ht="15">
      <c r="A4992" s="51">
        <v>1460155</v>
      </c>
      <c r="B4992" t="s">
        <v>3307</v>
      </c>
      <c r="C4992" s="39" t="s">
        <v>1426</v>
      </c>
      <c r="D4992">
        <v>7</v>
      </c>
      <c r="F4992" s="56"/>
    </row>
    <row r="4993" spans="1:6" ht="15">
      <c r="A4993" s="51">
        <v>1460157</v>
      </c>
      <c r="B4993" t="s">
        <v>3308</v>
      </c>
      <c r="C4993" s="39" t="s">
        <v>1426</v>
      </c>
      <c r="D4993">
        <v>9</v>
      </c>
      <c r="F4993" s="56"/>
    </row>
    <row r="4994" spans="1:6" ht="15">
      <c r="A4994" s="51">
        <v>1459526</v>
      </c>
      <c r="B4994" t="s">
        <v>3309</v>
      </c>
      <c r="C4994" s="39" t="s">
        <v>1046</v>
      </c>
      <c r="D4994" t="s">
        <v>469</v>
      </c>
      <c r="F4994" s="56"/>
    </row>
    <row r="4995" spans="1:6" ht="15">
      <c r="A4995" s="51">
        <v>1459524</v>
      </c>
      <c r="B4995" t="s">
        <v>3310</v>
      </c>
      <c r="C4995" s="39" t="s">
        <v>1046</v>
      </c>
      <c r="D4995" t="s">
        <v>469</v>
      </c>
      <c r="F4995" s="56"/>
    </row>
    <row r="4996" spans="1:6" ht="15">
      <c r="A4996" s="51">
        <v>1460175</v>
      </c>
      <c r="B4996" t="s">
        <v>3311</v>
      </c>
      <c r="C4996" s="39" t="s">
        <v>1439</v>
      </c>
      <c r="D4996" t="s">
        <v>4243</v>
      </c>
      <c r="F4996" s="56"/>
    </row>
    <row r="4997" spans="1:6" ht="15">
      <c r="A4997" s="51">
        <v>1460177</v>
      </c>
      <c r="B4997" t="s">
        <v>3312</v>
      </c>
      <c r="C4997" s="39" t="s">
        <v>1439</v>
      </c>
      <c r="D4997" t="s">
        <v>4243</v>
      </c>
      <c r="F4997" s="56"/>
    </row>
    <row r="4998" spans="1:6" ht="15">
      <c r="A4998" s="51">
        <v>1460179</v>
      </c>
      <c r="B4998" t="s">
        <v>3313</v>
      </c>
      <c r="C4998" s="39" t="s">
        <v>1439</v>
      </c>
      <c r="D4998">
        <v>7</v>
      </c>
      <c r="F4998" s="56"/>
    </row>
    <row r="4999" spans="1:6" ht="15">
      <c r="A4999" s="51">
        <v>1460181</v>
      </c>
      <c r="B4999" t="s">
        <v>3314</v>
      </c>
      <c r="C4999" s="39" t="s">
        <v>2884</v>
      </c>
      <c r="D4999" t="s">
        <v>4247</v>
      </c>
      <c r="F4999" s="56"/>
    </row>
    <row r="5000" spans="1:6" ht="15">
      <c r="A5000" s="51">
        <v>1460183</v>
      </c>
      <c r="B5000" t="s">
        <v>3315</v>
      </c>
      <c r="C5000" s="39" t="s">
        <v>2884</v>
      </c>
      <c r="D5000" t="s">
        <v>4243</v>
      </c>
      <c r="F5000" s="56"/>
    </row>
    <row r="5001" spans="1:6" ht="15">
      <c r="A5001" s="51">
        <v>1460185</v>
      </c>
      <c r="B5001" t="s">
        <v>3316</v>
      </c>
      <c r="C5001" s="39" t="s">
        <v>2884</v>
      </c>
      <c r="D5001">
        <v>7</v>
      </c>
      <c r="F5001" s="56"/>
    </row>
    <row r="5002" spans="1:6" ht="15">
      <c r="A5002" s="51">
        <v>1460149</v>
      </c>
      <c r="B5002">
        <v>831</v>
      </c>
      <c r="C5002" s="39" t="s">
        <v>2903</v>
      </c>
      <c r="D5002">
        <v>8</v>
      </c>
      <c r="F5002" s="56"/>
    </row>
    <row r="5003" spans="1:6" ht="15">
      <c r="A5003" s="51">
        <v>1459528</v>
      </c>
      <c r="B5003" t="s">
        <v>3317</v>
      </c>
      <c r="C5003" s="39" t="s">
        <v>2908</v>
      </c>
      <c r="D5003">
        <v>7</v>
      </c>
      <c r="F5003" s="56"/>
    </row>
    <row r="5004" spans="1:6" ht="15">
      <c r="A5004" s="51">
        <v>1459530</v>
      </c>
      <c r="B5004" t="s">
        <v>3318</v>
      </c>
      <c r="C5004" s="39" t="s">
        <v>2908</v>
      </c>
      <c r="D5004">
        <v>7</v>
      </c>
      <c r="F5004" s="56"/>
    </row>
    <row r="5005" spans="1:6" ht="15">
      <c r="A5005" s="51">
        <v>1459516</v>
      </c>
      <c r="B5005" t="s">
        <v>3319</v>
      </c>
      <c r="C5005" s="39" t="s">
        <v>2167</v>
      </c>
      <c r="D5005" t="s">
        <v>4247</v>
      </c>
      <c r="F5005" s="56"/>
    </row>
    <row r="5006" spans="1:6" ht="15">
      <c r="A5006" s="51">
        <v>1459518</v>
      </c>
      <c r="B5006" t="s">
        <v>3320</v>
      </c>
      <c r="C5006" s="39" t="s">
        <v>2167</v>
      </c>
      <c r="D5006" t="s">
        <v>4243</v>
      </c>
      <c r="F5006" s="56"/>
    </row>
    <row r="5007" spans="1:6" ht="15">
      <c r="A5007" s="51">
        <v>1459520</v>
      </c>
      <c r="B5007" t="s">
        <v>3321</v>
      </c>
      <c r="C5007" s="39" t="s">
        <v>2167</v>
      </c>
      <c r="D5007">
        <v>7</v>
      </c>
      <c r="F5007" s="56"/>
    </row>
    <row r="5008" spans="1:6" ht="15">
      <c r="A5008" s="51">
        <v>1459522</v>
      </c>
      <c r="B5008" t="s">
        <v>3322</v>
      </c>
      <c r="C5008" s="39" t="s">
        <v>2167</v>
      </c>
      <c r="D5008">
        <v>8</v>
      </c>
      <c r="F5008" s="56"/>
    </row>
    <row r="5009" spans="1:6" ht="15">
      <c r="A5009" s="51">
        <v>1459534</v>
      </c>
      <c r="B5009" t="s">
        <v>3323</v>
      </c>
      <c r="C5009" s="39" t="s">
        <v>132</v>
      </c>
      <c r="D5009">
        <v>7</v>
      </c>
      <c r="F5009" s="56"/>
    </row>
    <row r="5010" spans="1:6" ht="15">
      <c r="A5010" s="51">
        <v>1459532</v>
      </c>
      <c r="B5010" t="s">
        <v>3324</v>
      </c>
      <c r="C5010" s="39" t="s">
        <v>3325</v>
      </c>
      <c r="D5010">
        <v>9</v>
      </c>
      <c r="F5010" s="56"/>
    </row>
    <row r="5011" spans="1:6" ht="15">
      <c r="A5011" s="51">
        <v>1460206</v>
      </c>
      <c r="B5011" t="s">
        <v>3326</v>
      </c>
      <c r="C5011" s="39" t="s">
        <v>2298</v>
      </c>
      <c r="D5011" t="s">
        <v>4246</v>
      </c>
      <c r="F5011" s="56"/>
    </row>
    <row r="5012" spans="1:6" ht="15">
      <c r="A5012" s="51">
        <v>1460210</v>
      </c>
      <c r="B5012" t="s">
        <v>3327</v>
      </c>
      <c r="C5012" s="39" t="s">
        <v>2298</v>
      </c>
      <c r="D5012" t="s">
        <v>4243</v>
      </c>
      <c r="F5012" s="56"/>
    </row>
    <row r="5013" spans="1:6" ht="15">
      <c r="A5013" s="51">
        <v>1460198</v>
      </c>
      <c r="B5013" t="s">
        <v>3328</v>
      </c>
      <c r="C5013" s="39" t="s">
        <v>108</v>
      </c>
      <c r="D5013" t="s">
        <v>4245</v>
      </c>
      <c r="F5013" s="56"/>
    </row>
    <row r="5014" spans="1:6" ht="15">
      <c r="A5014" s="51">
        <v>1460192</v>
      </c>
      <c r="B5014" t="s">
        <v>3329</v>
      </c>
      <c r="C5014" s="39" t="s">
        <v>108</v>
      </c>
      <c r="D5014" t="s">
        <v>4245</v>
      </c>
      <c r="F5014" s="56"/>
    </row>
    <row r="5015" spans="1:6" ht="15">
      <c r="A5015" s="51">
        <v>1460190</v>
      </c>
      <c r="B5015" t="s">
        <v>3330</v>
      </c>
      <c r="C5015" s="39" t="s">
        <v>108</v>
      </c>
      <c r="D5015" t="s">
        <v>4244</v>
      </c>
      <c r="F5015" s="56"/>
    </row>
    <row r="5016" spans="1:6" ht="15">
      <c r="A5016" s="51">
        <v>293416</v>
      </c>
      <c r="B5016" t="s">
        <v>3331</v>
      </c>
      <c r="C5016" s="39" t="s">
        <v>108</v>
      </c>
      <c r="D5016" t="s">
        <v>4243</v>
      </c>
      <c r="F5016" s="56"/>
    </row>
    <row r="5017" spans="1:6" ht="15">
      <c r="A5017" s="51">
        <v>1460196</v>
      </c>
      <c r="B5017" t="s">
        <v>3332</v>
      </c>
      <c r="C5017" s="39" t="s">
        <v>108</v>
      </c>
      <c r="D5017">
        <v>8</v>
      </c>
      <c r="F5017" s="56"/>
    </row>
    <row r="5018" spans="1:6" ht="15">
      <c r="A5018" s="51">
        <v>293509</v>
      </c>
      <c r="B5018">
        <v>982</v>
      </c>
      <c r="C5018" s="39" t="s">
        <v>2907</v>
      </c>
      <c r="D5018">
        <v>8</v>
      </c>
      <c r="F5018" s="56"/>
    </row>
    <row r="5019" spans="1:6" ht="15">
      <c r="A5019" s="51">
        <v>3118104</v>
      </c>
      <c r="B5019" t="s">
        <v>2645</v>
      </c>
      <c r="C5019" s="39" t="s">
        <v>2646</v>
      </c>
      <c r="D5019" t="s">
        <v>4243</v>
      </c>
      <c r="F5019" s="56"/>
    </row>
    <row r="5020" spans="1:6" ht="15">
      <c r="A5020" s="51">
        <v>3118105</v>
      </c>
      <c r="B5020" t="s">
        <v>2778</v>
      </c>
      <c r="C5020" s="39" t="s">
        <v>2779</v>
      </c>
      <c r="D5020">
        <v>7</v>
      </c>
      <c r="F5020" s="56"/>
    </row>
    <row r="5021" spans="1:6" ht="15">
      <c r="A5021" s="51">
        <v>3118101</v>
      </c>
      <c r="B5021" t="s">
        <v>2162</v>
      </c>
      <c r="C5021" s="39" t="s">
        <v>2163</v>
      </c>
      <c r="D5021">
        <v>8</v>
      </c>
      <c r="F5021" s="56"/>
    </row>
    <row r="5022" spans="1:6" ht="15">
      <c r="A5022" s="51">
        <v>3118102</v>
      </c>
      <c r="B5022" t="s">
        <v>2164</v>
      </c>
      <c r="C5022" s="39" t="s">
        <v>2165</v>
      </c>
      <c r="D5022">
        <v>8</v>
      </c>
      <c r="F5022" s="56"/>
    </row>
    <row r="5023" spans="1:6" ht="15">
      <c r="A5023" s="51">
        <v>3118106</v>
      </c>
      <c r="B5023" t="s">
        <v>2647</v>
      </c>
      <c r="C5023" s="39" t="s">
        <v>2648</v>
      </c>
      <c r="D5023">
        <v>8</v>
      </c>
      <c r="F5023" s="56"/>
    </row>
    <row r="5024" spans="1:6" ht="15">
      <c r="A5024" s="51">
        <v>3118103</v>
      </c>
      <c r="B5024" t="s">
        <v>2166</v>
      </c>
      <c r="C5024" s="39" t="s">
        <v>2167</v>
      </c>
      <c r="D5024">
        <v>7</v>
      </c>
      <c r="F5024" s="56"/>
    </row>
    <row r="5025" spans="1:6" ht="15">
      <c r="A5025" s="51">
        <v>3118107</v>
      </c>
      <c r="B5025" t="s">
        <v>2780</v>
      </c>
      <c r="C5025" s="39" t="s">
        <v>2781</v>
      </c>
      <c r="D5025">
        <v>7</v>
      </c>
      <c r="F5025" s="56"/>
    </row>
    <row r="5026" spans="1:6" ht="15">
      <c r="A5026" s="51">
        <v>3118108</v>
      </c>
      <c r="B5026" t="s">
        <v>2785</v>
      </c>
      <c r="C5026" s="39" t="s">
        <v>2786</v>
      </c>
      <c r="D5026">
        <v>8</v>
      </c>
      <c r="F5026" s="56"/>
    </row>
    <row r="5027" spans="1:6" ht="15">
      <c r="A5027" s="51">
        <v>293515</v>
      </c>
      <c r="B5027" t="s">
        <v>1142</v>
      </c>
      <c r="C5027" s="39" t="s">
        <v>971</v>
      </c>
      <c r="D5027" t="s">
        <v>4246</v>
      </c>
      <c r="F5027" s="56"/>
    </row>
    <row r="5028" spans="1:6" ht="15">
      <c r="A5028" s="51">
        <v>293516</v>
      </c>
      <c r="B5028" t="s">
        <v>1143</v>
      </c>
      <c r="C5028" s="39" t="s">
        <v>971</v>
      </c>
      <c r="D5028" t="s">
        <v>4246</v>
      </c>
      <c r="F5028" s="56"/>
    </row>
    <row r="5029" spans="1:6" ht="15">
      <c r="A5029" s="51">
        <v>293517</v>
      </c>
      <c r="B5029" t="s">
        <v>2674</v>
      </c>
      <c r="C5029" s="39" t="s">
        <v>971</v>
      </c>
      <c r="D5029" t="s">
        <v>4244</v>
      </c>
      <c r="F5029" s="56"/>
    </row>
    <row r="5030" spans="1:6" ht="15">
      <c r="A5030" s="51">
        <v>293518</v>
      </c>
      <c r="B5030" t="s">
        <v>321</v>
      </c>
      <c r="C5030" s="39" t="s">
        <v>3333</v>
      </c>
      <c r="D5030" t="s">
        <v>4243</v>
      </c>
      <c r="F5030" s="56"/>
    </row>
    <row r="5031" spans="1:6" ht="15">
      <c r="A5031" s="51">
        <v>293519</v>
      </c>
      <c r="B5031" t="s">
        <v>322</v>
      </c>
      <c r="C5031" s="39" t="s">
        <v>3333</v>
      </c>
      <c r="D5031">
        <v>7</v>
      </c>
      <c r="F5031" s="56"/>
    </row>
    <row r="5032" spans="1:6" ht="15">
      <c r="A5032" s="51">
        <v>293520</v>
      </c>
      <c r="B5032" t="s">
        <v>1786</v>
      </c>
      <c r="C5032" s="39" t="s">
        <v>1352</v>
      </c>
      <c r="D5032" t="s">
        <v>469</v>
      </c>
      <c r="F5032" s="56"/>
    </row>
    <row r="5033" spans="1:6" ht="15">
      <c r="A5033" s="51">
        <v>293521</v>
      </c>
      <c r="B5033" t="s">
        <v>1788</v>
      </c>
      <c r="C5033" s="39" t="s">
        <v>1352</v>
      </c>
      <c r="D5033" t="s">
        <v>469</v>
      </c>
      <c r="F5033" s="56"/>
    </row>
    <row r="5034" spans="1:6" ht="15">
      <c r="A5034" s="51">
        <v>293522</v>
      </c>
      <c r="B5034" t="s">
        <v>1789</v>
      </c>
      <c r="C5034" s="39" t="s">
        <v>1352</v>
      </c>
      <c r="D5034" t="s">
        <v>469</v>
      </c>
      <c r="F5034" s="56"/>
    </row>
    <row r="5035" spans="1:6" ht="15">
      <c r="A5035" s="51">
        <v>293523</v>
      </c>
      <c r="B5035" t="s">
        <v>975</v>
      </c>
      <c r="C5035" s="39" t="s">
        <v>536</v>
      </c>
      <c r="D5035" t="s">
        <v>4246</v>
      </c>
      <c r="F5035" s="56"/>
    </row>
    <row r="5036" spans="1:6" ht="15">
      <c r="A5036" s="51">
        <v>293524</v>
      </c>
      <c r="B5036" t="s">
        <v>323</v>
      </c>
      <c r="C5036" s="39" t="s">
        <v>536</v>
      </c>
      <c r="D5036" t="s">
        <v>4247</v>
      </c>
      <c r="F5036" s="56"/>
    </row>
    <row r="5037" spans="1:6" ht="15">
      <c r="A5037" s="51">
        <v>293525</v>
      </c>
      <c r="B5037" t="s">
        <v>836</v>
      </c>
      <c r="C5037" s="39" t="s">
        <v>536</v>
      </c>
      <c r="D5037" t="s">
        <v>4243</v>
      </c>
      <c r="F5037" s="56"/>
    </row>
    <row r="5038" spans="1:6" ht="15">
      <c r="A5038" s="51">
        <v>293512</v>
      </c>
      <c r="B5038" t="s">
        <v>3334</v>
      </c>
      <c r="C5038" s="39" t="s">
        <v>324</v>
      </c>
      <c r="D5038" t="s">
        <v>4243</v>
      </c>
      <c r="F5038" s="56"/>
    </row>
    <row r="5039" spans="1:6" ht="15">
      <c r="A5039" s="51">
        <v>293513</v>
      </c>
      <c r="B5039" t="s">
        <v>3335</v>
      </c>
      <c r="C5039" s="39" t="s">
        <v>2513</v>
      </c>
      <c r="D5039">
        <v>9</v>
      </c>
      <c r="F5039" s="56"/>
    </row>
    <row r="5040" spans="1:6" ht="15">
      <c r="A5040" s="51">
        <v>293526</v>
      </c>
      <c r="B5040" t="s">
        <v>982</v>
      </c>
      <c r="C5040" s="39" t="s">
        <v>983</v>
      </c>
      <c r="D5040" t="s">
        <v>1596</v>
      </c>
      <c r="F5040" s="56"/>
    </row>
    <row r="5041" spans="1:6" ht="15">
      <c r="A5041" s="51">
        <v>293527</v>
      </c>
      <c r="B5041" t="s">
        <v>984</v>
      </c>
      <c r="C5041" s="39" t="s">
        <v>983</v>
      </c>
      <c r="D5041" t="s">
        <v>469</v>
      </c>
      <c r="F5041" s="56"/>
    </row>
    <row r="5042" spans="1:6" ht="15">
      <c r="A5042" s="51">
        <v>293528</v>
      </c>
      <c r="B5042" t="s">
        <v>2517</v>
      </c>
      <c r="C5042" s="39" t="s">
        <v>983</v>
      </c>
      <c r="D5042">
        <v>7</v>
      </c>
      <c r="F5042" s="56"/>
    </row>
    <row r="5043" spans="1:6" ht="15">
      <c r="A5043" s="51">
        <v>293529</v>
      </c>
      <c r="B5043" t="s">
        <v>3336</v>
      </c>
      <c r="C5043" s="39" t="s">
        <v>983</v>
      </c>
      <c r="D5043">
        <v>8</v>
      </c>
      <c r="F5043" s="56"/>
    </row>
    <row r="5044" spans="1:6" ht="15">
      <c r="A5044" s="51">
        <v>293514</v>
      </c>
      <c r="B5044" t="s">
        <v>3337</v>
      </c>
      <c r="C5044" s="39" t="s">
        <v>3338</v>
      </c>
      <c r="D5044">
        <v>9</v>
      </c>
      <c r="F5044" s="56"/>
    </row>
    <row r="5045" spans="1:6" ht="15">
      <c r="A5045" s="51">
        <v>293533</v>
      </c>
      <c r="B5045" t="s">
        <v>994</v>
      </c>
      <c r="C5045" s="39" t="s">
        <v>312</v>
      </c>
      <c r="D5045" t="s">
        <v>471</v>
      </c>
      <c r="F5045" s="56"/>
    </row>
    <row r="5046" spans="1:6" ht="15">
      <c r="A5046" s="51">
        <v>293534</v>
      </c>
      <c r="B5046" t="s">
        <v>311</v>
      </c>
      <c r="C5046" s="39" t="s">
        <v>312</v>
      </c>
      <c r="D5046">
        <v>8</v>
      </c>
      <c r="F5046" s="56"/>
    </row>
    <row r="5047" spans="1:6" ht="15">
      <c r="A5047" s="51">
        <v>293530</v>
      </c>
      <c r="B5047" t="s">
        <v>3339</v>
      </c>
      <c r="C5047" s="39" t="s">
        <v>3340</v>
      </c>
      <c r="D5047">
        <v>8</v>
      </c>
      <c r="F5047" s="56"/>
    </row>
    <row r="5048" spans="1:6" ht="15">
      <c r="A5048" s="51">
        <v>293531</v>
      </c>
      <c r="B5048" t="s">
        <v>3341</v>
      </c>
      <c r="C5048" s="39" t="s">
        <v>3340</v>
      </c>
      <c r="D5048">
        <v>9</v>
      </c>
      <c r="F5048" s="56"/>
    </row>
    <row r="5049" spans="1:6" ht="15">
      <c r="A5049" s="51">
        <v>293535</v>
      </c>
      <c r="B5049" t="s">
        <v>1967</v>
      </c>
      <c r="C5049" s="39" t="s">
        <v>1363</v>
      </c>
      <c r="D5049" t="s">
        <v>4245</v>
      </c>
      <c r="F5049" s="56"/>
    </row>
    <row r="5050" spans="1:6" ht="15">
      <c r="A5050" s="51">
        <v>293538</v>
      </c>
      <c r="B5050" t="s">
        <v>838</v>
      </c>
      <c r="C5050" s="39" t="s">
        <v>997</v>
      </c>
      <c r="D5050" t="s">
        <v>468</v>
      </c>
      <c r="F5050" s="56"/>
    </row>
    <row r="5051" spans="1:6" ht="15">
      <c r="A5051" s="51">
        <v>293539</v>
      </c>
      <c r="B5051" t="s">
        <v>839</v>
      </c>
      <c r="C5051" s="39" t="s">
        <v>997</v>
      </c>
      <c r="D5051" t="s">
        <v>469</v>
      </c>
      <c r="F5051" s="56"/>
    </row>
    <row r="5052" spans="1:6" ht="15">
      <c r="A5052" s="51">
        <v>293540</v>
      </c>
      <c r="B5052" t="s">
        <v>3342</v>
      </c>
      <c r="C5052" s="39" t="s">
        <v>997</v>
      </c>
      <c r="D5052" t="s">
        <v>469</v>
      </c>
      <c r="F5052" s="56"/>
    </row>
    <row r="5053" spans="1:6" ht="15">
      <c r="A5053" s="51">
        <v>293541</v>
      </c>
      <c r="B5053" t="s">
        <v>3343</v>
      </c>
      <c r="C5053" s="39" t="s">
        <v>997</v>
      </c>
      <c r="D5053">
        <v>7</v>
      </c>
      <c r="F5053" s="56"/>
    </row>
    <row r="5054" spans="1:6" ht="15">
      <c r="A5054" s="51">
        <v>293536</v>
      </c>
      <c r="B5054" t="s">
        <v>3344</v>
      </c>
      <c r="C5054" s="39" t="s">
        <v>3345</v>
      </c>
      <c r="D5054">
        <v>8</v>
      </c>
      <c r="F5054" s="56"/>
    </row>
    <row r="5055" spans="1:6" ht="15">
      <c r="A5055" s="51">
        <v>293542</v>
      </c>
      <c r="B5055" t="s">
        <v>101</v>
      </c>
      <c r="C5055" s="39" t="s">
        <v>99</v>
      </c>
      <c r="D5055">
        <v>7</v>
      </c>
      <c r="F5055" s="56"/>
    </row>
    <row r="5056" spans="1:6" ht="15">
      <c r="A5056" s="51">
        <v>293543</v>
      </c>
      <c r="B5056" t="s">
        <v>103</v>
      </c>
      <c r="C5056" s="39" t="s">
        <v>104</v>
      </c>
      <c r="D5056" t="s">
        <v>4243</v>
      </c>
      <c r="F5056" s="56"/>
    </row>
    <row r="5057" spans="1:6" ht="15">
      <c r="A5057" s="51">
        <v>293544</v>
      </c>
      <c r="B5057" t="s">
        <v>107</v>
      </c>
      <c r="C5057" s="39" t="s">
        <v>999</v>
      </c>
      <c r="D5057" t="s">
        <v>468</v>
      </c>
      <c r="F5057" s="56"/>
    </row>
    <row r="5058" spans="1:6" ht="15">
      <c r="A5058" s="51">
        <v>293545</v>
      </c>
      <c r="B5058" t="s">
        <v>1152</v>
      </c>
      <c r="C5058" s="39" t="s">
        <v>999</v>
      </c>
      <c r="D5058" t="s">
        <v>469</v>
      </c>
      <c r="F5058" s="56"/>
    </row>
    <row r="5059" spans="1:6" ht="15">
      <c r="A5059" s="51">
        <v>293546</v>
      </c>
      <c r="B5059" t="s">
        <v>3346</v>
      </c>
      <c r="C5059" s="39" t="s">
        <v>999</v>
      </c>
      <c r="D5059" t="s">
        <v>471</v>
      </c>
      <c r="F5059" s="56"/>
    </row>
    <row r="5060" spans="1:6" ht="15">
      <c r="A5060" s="51">
        <v>293547</v>
      </c>
      <c r="B5060" t="s">
        <v>3347</v>
      </c>
      <c r="C5060" s="39" t="s">
        <v>999</v>
      </c>
      <c r="D5060" t="s">
        <v>471</v>
      </c>
      <c r="F5060" s="56"/>
    </row>
    <row r="5061" spans="1:6" ht="15">
      <c r="A5061" s="51">
        <v>293548</v>
      </c>
      <c r="B5061" t="s">
        <v>109</v>
      </c>
      <c r="C5061" s="39" t="s">
        <v>542</v>
      </c>
      <c r="D5061" t="s">
        <v>4245</v>
      </c>
      <c r="F5061" s="56"/>
    </row>
    <row r="5062" spans="1:6" ht="15">
      <c r="A5062" s="51">
        <v>293549</v>
      </c>
      <c r="B5062" t="s">
        <v>111</v>
      </c>
      <c r="C5062" s="39" t="s">
        <v>542</v>
      </c>
      <c r="D5062" t="s">
        <v>4246</v>
      </c>
      <c r="F5062" s="56"/>
    </row>
    <row r="5063" spans="1:6" ht="15">
      <c r="A5063" s="51">
        <v>293550</v>
      </c>
      <c r="B5063" t="s">
        <v>347</v>
      </c>
      <c r="C5063" s="39" t="s">
        <v>349</v>
      </c>
      <c r="D5063" t="s">
        <v>4247</v>
      </c>
      <c r="F5063" s="56"/>
    </row>
    <row r="5064" spans="1:6" ht="15">
      <c r="A5064" s="51">
        <v>293551</v>
      </c>
      <c r="B5064" t="s">
        <v>1371</v>
      </c>
      <c r="C5064" s="39" t="s">
        <v>349</v>
      </c>
      <c r="D5064" t="s">
        <v>4243</v>
      </c>
      <c r="F5064" s="56"/>
    </row>
    <row r="5065" spans="1:6" ht="15">
      <c r="A5065" s="51">
        <v>293552</v>
      </c>
      <c r="B5065" t="s">
        <v>348</v>
      </c>
      <c r="C5065" s="39" t="s">
        <v>120</v>
      </c>
      <c r="D5065" t="s">
        <v>4245</v>
      </c>
      <c r="F5065" s="56"/>
    </row>
    <row r="5066" spans="1:6" ht="15">
      <c r="A5066" s="51">
        <v>293553</v>
      </c>
      <c r="B5066" t="s">
        <v>350</v>
      </c>
      <c r="C5066" s="39" t="s">
        <v>120</v>
      </c>
      <c r="D5066" t="s">
        <v>4246</v>
      </c>
      <c r="F5066" s="56"/>
    </row>
    <row r="5067" spans="1:6" ht="15">
      <c r="A5067" s="51">
        <v>293554</v>
      </c>
      <c r="B5067" t="s">
        <v>1705</v>
      </c>
      <c r="C5067" s="39" t="s">
        <v>1388</v>
      </c>
      <c r="D5067" t="s">
        <v>4247</v>
      </c>
      <c r="F5067" s="56"/>
    </row>
    <row r="5068" spans="1:6" ht="15">
      <c r="A5068" s="51">
        <v>293555</v>
      </c>
      <c r="B5068" t="s">
        <v>3348</v>
      </c>
      <c r="C5068" s="39" t="s">
        <v>914</v>
      </c>
      <c r="D5068" t="s">
        <v>4244</v>
      </c>
      <c r="F5068" s="56"/>
    </row>
    <row r="5069" spans="1:6" ht="15">
      <c r="A5069" s="51">
        <v>293556</v>
      </c>
      <c r="B5069" t="s">
        <v>1720</v>
      </c>
      <c r="C5069" s="39" t="s">
        <v>781</v>
      </c>
      <c r="D5069" t="s">
        <v>4247</v>
      </c>
      <c r="F5069" s="56"/>
    </row>
    <row r="5070" spans="1:6" ht="15">
      <c r="A5070" s="51">
        <v>293557</v>
      </c>
      <c r="B5070" t="s">
        <v>129</v>
      </c>
      <c r="C5070" s="39" t="s">
        <v>130</v>
      </c>
      <c r="D5070" t="s">
        <v>4243</v>
      </c>
      <c r="F5070" s="56"/>
    </row>
    <row r="5071" spans="1:6" ht="15">
      <c r="A5071" s="51">
        <v>293558</v>
      </c>
      <c r="B5071" t="s">
        <v>3349</v>
      </c>
      <c r="C5071" s="39" t="s">
        <v>3350</v>
      </c>
      <c r="D5071">
        <v>8</v>
      </c>
      <c r="F5071" s="56"/>
    </row>
    <row r="5072" spans="1:6" ht="15">
      <c r="A5072" s="51">
        <v>293559</v>
      </c>
      <c r="B5072" t="s">
        <v>3102</v>
      </c>
      <c r="C5072" s="39" t="s">
        <v>3103</v>
      </c>
      <c r="D5072">
        <v>9</v>
      </c>
      <c r="F5072" s="56"/>
    </row>
    <row r="5073" spans="1:6" ht="15">
      <c r="A5073" s="51">
        <v>293560</v>
      </c>
      <c r="B5073" t="s">
        <v>139</v>
      </c>
      <c r="C5073" s="39" t="s">
        <v>140</v>
      </c>
      <c r="D5073">
        <v>7</v>
      </c>
      <c r="F5073" s="56"/>
    </row>
    <row r="5074" spans="1:6" ht="15">
      <c r="A5074" s="51">
        <v>293561</v>
      </c>
      <c r="B5074" t="s">
        <v>1023</v>
      </c>
      <c r="C5074" s="39" t="s">
        <v>1024</v>
      </c>
      <c r="D5074" t="s">
        <v>4243</v>
      </c>
      <c r="F5074" s="56"/>
    </row>
    <row r="5075" spans="1:6" ht="15">
      <c r="A5075" s="51">
        <v>293563</v>
      </c>
      <c r="B5075" t="s">
        <v>1027</v>
      </c>
      <c r="C5075" s="39" t="s">
        <v>1028</v>
      </c>
      <c r="D5075" t="s">
        <v>4245</v>
      </c>
      <c r="F5075" s="56"/>
    </row>
    <row r="5076" spans="1:6" ht="15">
      <c r="A5076" s="51">
        <v>293564</v>
      </c>
      <c r="B5076" t="s">
        <v>1029</v>
      </c>
      <c r="C5076" s="39" t="s">
        <v>1028</v>
      </c>
      <c r="D5076" t="s">
        <v>4246</v>
      </c>
      <c r="F5076" s="56"/>
    </row>
    <row r="5077" spans="1:6" ht="15">
      <c r="A5077" s="51">
        <v>293568</v>
      </c>
      <c r="B5077" t="s">
        <v>372</v>
      </c>
      <c r="C5077" s="39" t="s">
        <v>896</v>
      </c>
      <c r="D5077">
        <v>8</v>
      </c>
      <c r="F5077" s="56"/>
    </row>
    <row r="5078" spans="1:6" ht="15">
      <c r="A5078" s="51">
        <v>293569</v>
      </c>
      <c r="B5078" t="s">
        <v>143</v>
      </c>
      <c r="C5078" s="39" t="s">
        <v>373</v>
      </c>
      <c r="D5078" t="s">
        <v>4248</v>
      </c>
      <c r="F5078" s="56"/>
    </row>
    <row r="5079" spans="1:6" ht="15">
      <c r="A5079" s="51">
        <v>293570</v>
      </c>
      <c r="B5079" t="s">
        <v>2718</v>
      </c>
      <c r="C5079" s="39" t="s">
        <v>373</v>
      </c>
      <c r="D5079" t="s">
        <v>4248</v>
      </c>
      <c r="F5079" s="56"/>
    </row>
    <row r="5080" spans="1:6" ht="15">
      <c r="A5080" s="51">
        <v>293571</v>
      </c>
      <c r="B5080" t="s">
        <v>1176</v>
      </c>
      <c r="C5080" s="39" t="s">
        <v>148</v>
      </c>
      <c r="D5080" t="s">
        <v>4245</v>
      </c>
      <c r="F5080" s="56"/>
    </row>
    <row r="5081" spans="1:6" ht="15">
      <c r="A5081" s="51">
        <v>293572</v>
      </c>
      <c r="B5081" t="s">
        <v>1034</v>
      </c>
      <c r="C5081" s="39" t="s">
        <v>1035</v>
      </c>
      <c r="D5081" t="s">
        <v>1595</v>
      </c>
      <c r="F5081" s="56"/>
    </row>
    <row r="5082" spans="1:6" ht="15">
      <c r="A5082" s="51">
        <v>293573</v>
      </c>
      <c r="B5082" t="s">
        <v>1036</v>
      </c>
      <c r="C5082" s="39" t="s">
        <v>1035</v>
      </c>
      <c r="D5082" t="s">
        <v>1595</v>
      </c>
      <c r="F5082" s="56"/>
    </row>
    <row r="5083" spans="1:6" ht="15">
      <c r="A5083" s="51">
        <v>293574</v>
      </c>
      <c r="B5083" t="s">
        <v>150</v>
      </c>
      <c r="C5083" s="39" t="s">
        <v>151</v>
      </c>
      <c r="D5083" t="s">
        <v>1595</v>
      </c>
      <c r="F5083" s="56"/>
    </row>
    <row r="5084" spans="1:6" ht="15">
      <c r="A5084" s="51">
        <v>293575</v>
      </c>
      <c r="B5084" t="s">
        <v>152</v>
      </c>
      <c r="C5084" s="39" t="s">
        <v>151</v>
      </c>
      <c r="D5084" t="s">
        <v>469</v>
      </c>
      <c r="F5084" s="56"/>
    </row>
    <row r="5085" spans="1:6" ht="15">
      <c r="A5085" s="51">
        <v>293577</v>
      </c>
      <c r="B5085" t="s">
        <v>1216</v>
      </c>
      <c r="C5085" s="39" t="s">
        <v>155</v>
      </c>
      <c r="D5085" t="s">
        <v>471</v>
      </c>
      <c r="F5085" s="56"/>
    </row>
    <row r="5086" spans="1:6" ht="15">
      <c r="A5086" s="51">
        <v>293565</v>
      </c>
      <c r="B5086" t="s">
        <v>3351</v>
      </c>
      <c r="C5086" s="39" t="s">
        <v>151</v>
      </c>
      <c r="D5086">
        <v>8</v>
      </c>
      <c r="F5086" s="56"/>
    </row>
    <row r="5087" spans="1:6" ht="15">
      <c r="A5087" s="51">
        <v>293566</v>
      </c>
      <c r="B5087" t="s">
        <v>3352</v>
      </c>
      <c r="C5087" s="39" t="s">
        <v>3353</v>
      </c>
      <c r="D5087">
        <v>8</v>
      </c>
      <c r="F5087" s="56"/>
    </row>
    <row r="5088" spans="1:6" ht="15">
      <c r="A5088" s="51">
        <v>293567</v>
      </c>
      <c r="B5088" t="s">
        <v>3105</v>
      </c>
      <c r="C5088" s="39" t="s">
        <v>3353</v>
      </c>
      <c r="D5088">
        <v>9</v>
      </c>
      <c r="F5088" s="56"/>
    </row>
    <row r="5089" spans="1:6" ht="15">
      <c r="A5089" s="51">
        <v>293578</v>
      </c>
      <c r="B5089" t="s">
        <v>1038</v>
      </c>
      <c r="C5089" s="39" t="s">
        <v>157</v>
      </c>
      <c r="D5089" t="s">
        <v>4245</v>
      </c>
      <c r="F5089" s="56"/>
    </row>
    <row r="5090" spans="1:6" ht="15">
      <c r="A5090" s="51">
        <v>293579</v>
      </c>
      <c r="B5090" t="s">
        <v>1039</v>
      </c>
      <c r="C5090" s="39" t="s">
        <v>157</v>
      </c>
      <c r="D5090" t="s">
        <v>4245</v>
      </c>
      <c r="F5090" s="56"/>
    </row>
    <row r="5091" spans="1:6" ht="15">
      <c r="A5091" s="51">
        <v>293580</v>
      </c>
      <c r="B5091" t="s">
        <v>1040</v>
      </c>
      <c r="C5091" s="39" t="s">
        <v>157</v>
      </c>
      <c r="D5091" t="s">
        <v>4244</v>
      </c>
      <c r="F5091" s="56"/>
    </row>
    <row r="5092" spans="1:6" ht="15">
      <c r="A5092" s="51">
        <v>293581</v>
      </c>
      <c r="B5092" t="s">
        <v>3037</v>
      </c>
      <c r="C5092" s="39" t="s">
        <v>157</v>
      </c>
      <c r="D5092" t="s">
        <v>4245</v>
      </c>
      <c r="F5092" s="56"/>
    </row>
    <row r="5093" spans="1:6" ht="15">
      <c r="A5093" s="51">
        <v>293582</v>
      </c>
      <c r="B5093" t="s">
        <v>3038</v>
      </c>
      <c r="C5093" s="39" t="s">
        <v>157</v>
      </c>
      <c r="D5093" t="s">
        <v>4245</v>
      </c>
      <c r="F5093" s="56"/>
    </row>
    <row r="5094" spans="1:6" ht="15">
      <c r="A5094" s="51">
        <v>293583</v>
      </c>
      <c r="B5094" t="s">
        <v>3039</v>
      </c>
      <c r="C5094" s="39" t="s">
        <v>157</v>
      </c>
      <c r="D5094" t="s">
        <v>4244</v>
      </c>
      <c r="F5094" s="56"/>
    </row>
    <row r="5095" spans="1:6" ht="15">
      <c r="A5095" s="51">
        <v>293584</v>
      </c>
      <c r="B5095" t="s">
        <v>3354</v>
      </c>
      <c r="C5095" s="39" t="s">
        <v>157</v>
      </c>
      <c r="D5095" t="s">
        <v>4245</v>
      </c>
      <c r="F5095" s="56"/>
    </row>
    <row r="5096" spans="1:6" ht="15">
      <c r="A5096" s="51">
        <v>293585</v>
      </c>
      <c r="B5096" t="s">
        <v>2625</v>
      </c>
      <c r="C5096" s="39" t="s">
        <v>157</v>
      </c>
      <c r="D5096" t="s">
        <v>4245</v>
      </c>
      <c r="F5096" s="56"/>
    </row>
    <row r="5097" spans="1:6" ht="15">
      <c r="A5097" s="51">
        <v>293586</v>
      </c>
      <c r="B5097" t="s">
        <v>3355</v>
      </c>
      <c r="C5097" s="39" t="s">
        <v>1046</v>
      </c>
      <c r="D5097" t="s">
        <v>469</v>
      </c>
      <c r="F5097" s="56"/>
    </row>
    <row r="5098" spans="1:6" ht="15">
      <c r="A5098" s="51">
        <v>293587</v>
      </c>
      <c r="B5098" t="s">
        <v>386</v>
      </c>
      <c r="C5098" s="39" t="s">
        <v>1046</v>
      </c>
      <c r="D5098" t="s">
        <v>469</v>
      </c>
      <c r="F5098" s="56"/>
    </row>
    <row r="5099" spans="1:6" ht="15">
      <c r="A5099" s="51">
        <v>293590</v>
      </c>
      <c r="B5099" t="s">
        <v>160</v>
      </c>
      <c r="C5099" s="39" t="s">
        <v>2630</v>
      </c>
      <c r="D5099" t="s">
        <v>4247</v>
      </c>
      <c r="F5099" s="56"/>
    </row>
    <row r="5100" spans="1:6" ht="15">
      <c r="A5100" s="51">
        <v>293591</v>
      </c>
      <c r="B5100" t="s">
        <v>3356</v>
      </c>
      <c r="C5100" s="39" t="s">
        <v>2630</v>
      </c>
      <c r="D5100" t="s">
        <v>4243</v>
      </c>
      <c r="F5100" s="56"/>
    </row>
    <row r="5101" spans="1:6" ht="15">
      <c r="A5101" s="51">
        <v>293592</v>
      </c>
      <c r="B5101" t="s">
        <v>2631</v>
      </c>
      <c r="C5101" s="39" t="s">
        <v>1052</v>
      </c>
      <c r="D5101" t="s">
        <v>4243</v>
      </c>
      <c r="F5101" s="56"/>
    </row>
    <row r="5102" spans="1:6" ht="15">
      <c r="A5102" s="51">
        <v>293593</v>
      </c>
      <c r="B5102" t="s">
        <v>3043</v>
      </c>
      <c r="C5102" s="39" t="s">
        <v>955</v>
      </c>
      <c r="D5102">
        <v>7</v>
      </c>
      <c r="F5102" s="56"/>
    </row>
    <row r="5103" spans="1:6" ht="15">
      <c r="A5103" s="51">
        <v>293594</v>
      </c>
      <c r="B5103" t="s">
        <v>1064</v>
      </c>
      <c r="C5103" s="39" t="s">
        <v>166</v>
      </c>
      <c r="D5103" t="s">
        <v>4245</v>
      </c>
      <c r="F5103" s="56"/>
    </row>
    <row r="5104" spans="1:6" ht="15">
      <c r="A5104" s="51">
        <v>293595</v>
      </c>
      <c r="B5104" t="s">
        <v>1065</v>
      </c>
      <c r="C5104" s="39" t="s">
        <v>166</v>
      </c>
      <c r="D5104" t="s">
        <v>4244</v>
      </c>
      <c r="F5104" s="56"/>
    </row>
    <row r="5105" spans="1:6" ht="15">
      <c r="A5105" s="51">
        <v>293597</v>
      </c>
      <c r="B5105" t="s">
        <v>1066</v>
      </c>
      <c r="C5105" s="39" t="s">
        <v>177</v>
      </c>
      <c r="D5105" t="s">
        <v>1595</v>
      </c>
      <c r="F5105" s="56"/>
    </row>
    <row r="5106" spans="1:6" ht="15">
      <c r="A5106" s="51">
        <v>293598</v>
      </c>
      <c r="B5106" t="s">
        <v>1067</v>
      </c>
      <c r="C5106" s="39" t="s">
        <v>177</v>
      </c>
      <c r="D5106" t="s">
        <v>468</v>
      </c>
      <c r="F5106" s="56"/>
    </row>
    <row r="5107" spans="1:6" ht="15">
      <c r="A5107" s="51">
        <v>293599</v>
      </c>
      <c r="B5107" t="s">
        <v>3047</v>
      </c>
      <c r="C5107" s="39" t="s">
        <v>3357</v>
      </c>
      <c r="D5107" t="s">
        <v>4244</v>
      </c>
      <c r="F5107" s="56"/>
    </row>
    <row r="5108" spans="1:6" ht="15">
      <c r="A5108" s="51">
        <v>293588</v>
      </c>
      <c r="B5108" t="s">
        <v>3358</v>
      </c>
      <c r="C5108" s="39" t="s">
        <v>390</v>
      </c>
      <c r="D5108" t="s">
        <v>4243</v>
      </c>
      <c r="F5108" s="56"/>
    </row>
    <row r="5109" spans="1:6" ht="15">
      <c r="A5109" s="51">
        <v>293589</v>
      </c>
      <c r="B5109" t="s">
        <v>3359</v>
      </c>
      <c r="C5109" s="39" t="s">
        <v>180</v>
      </c>
      <c r="D5109">
        <v>7</v>
      </c>
      <c r="F5109" s="56"/>
    </row>
    <row r="5110" spans="1:6" ht="15">
      <c r="A5110" s="51">
        <v>293600</v>
      </c>
      <c r="B5110" t="s">
        <v>182</v>
      </c>
      <c r="C5110" s="39" t="s">
        <v>183</v>
      </c>
      <c r="D5110">
        <v>7</v>
      </c>
      <c r="F5110" s="56"/>
    </row>
    <row r="5111" spans="1:6" ht="15">
      <c r="A5111" s="51">
        <v>293602</v>
      </c>
      <c r="B5111" t="s">
        <v>393</v>
      </c>
      <c r="C5111" s="39" t="s">
        <v>862</v>
      </c>
      <c r="D5111">
        <v>9</v>
      </c>
      <c r="F5111" s="56"/>
    </row>
    <row r="5112" spans="1:6" ht="15">
      <c r="A5112" s="51">
        <v>293603</v>
      </c>
      <c r="B5112" t="s">
        <v>1186</v>
      </c>
      <c r="C5112" s="39" t="s">
        <v>1437</v>
      </c>
      <c r="D5112" t="s">
        <v>4245</v>
      </c>
      <c r="F5112" s="56"/>
    </row>
    <row r="5113" spans="1:6" ht="15">
      <c r="A5113" s="51">
        <v>293604</v>
      </c>
      <c r="B5113" t="s">
        <v>1187</v>
      </c>
      <c r="C5113" s="39" t="s">
        <v>1437</v>
      </c>
      <c r="D5113" t="s">
        <v>4244</v>
      </c>
      <c r="F5113" s="56"/>
    </row>
    <row r="5114" spans="1:6" ht="15">
      <c r="A5114" s="51">
        <v>293605</v>
      </c>
      <c r="B5114" t="s">
        <v>3360</v>
      </c>
      <c r="C5114" s="39" t="s">
        <v>1437</v>
      </c>
      <c r="D5114" t="s">
        <v>4244</v>
      </c>
      <c r="F5114" s="56"/>
    </row>
    <row r="5115" spans="1:6" ht="15">
      <c r="A5115" s="51">
        <v>293606</v>
      </c>
      <c r="B5115" t="s">
        <v>3361</v>
      </c>
      <c r="C5115" s="39" t="s">
        <v>1437</v>
      </c>
      <c r="D5115" t="s">
        <v>4244</v>
      </c>
      <c r="F5115" s="56"/>
    </row>
    <row r="5116" spans="1:6" ht="15">
      <c r="A5116" s="51">
        <v>293607</v>
      </c>
      <c r="B5116" t="s">
        <v>2860</v>
      </c>
      <c r="C5116" s="39" t="s">
        <v>1437</v>
      </c>
      <c r="D5116" t="s">
        <v>4245</v>
      </c>
      <c r="F5116" s="56"/>
    </row>
    <row r="5117" spans="1:6" ht="15">
      <c r="A5117" s="51">
        <v>293608</v>
      </c>
      <c r="B5117" t="s">
        <v>2861</v>
      </c>
      <c r="C5117" s="39" t="s">
        <v>1437</v>
      </c>
      <c r="D5117" t="s">
        <v>4244</v>
      </c>
      <c r="F5117" s="56"/>
    </row>
    <row r="5118" spans="1:6" ht="15">
      <c r="A5118" s="51">
        <v>293609</v>
      </c>
      <c r="B5118" t="s">
        <v>2219</v>
      </c>
      <c r="C5118" s="39" t="s">
        <v>185</v>
      </c>
      <c r="D5118" t="s">
        <v>4244</v>
      </c>
      <c r="F5118" s="56"/>
    </row>
    <row r="5119" spans="1:6" ht="15">
      <c r="A5119" s="51">
        <v>293610</v>
      </c>
      <c r="B5119" t="s">
        <v>863</v>
      </c>
      <c r="C5119" s="39" t="s">
        <v>185</v>
      </c>
      <c r="D5119" t="s">
        <v>4244</v>
      </c>
      <c r="F5119" s="56"/>
    </row>
    <row r="5120" spans="1:6" ht="15">
      <c r="A5120" s="51">
        <v>293612</v>
      </c>
      <c r="B5120" t="s">
        <v>196</v>
      </c>
      <c r="C5120" s="39" t="s">
        <v>189</v>
      </c>
      <c r="D5120" t="s">
        <v>4247</v>
      </c>
      <c r="F5120" s="56"/>
    </row>
    <row r="5121" spans="1:6" ht="15">
      <c r="A5121" s="51">
        <v>293613</v>
      </c>
      <c r="B5121" t="s">
        <v>868</v>
      </c>
      <c r="C5121" s="39" t="s">
        <v>189</v>
      </c>
      <c r="D5121" t="s">
        <v>4243</v>
      </c>
      <c r="F5121" s="56"/>
    </row>
    <row r="5122" spans="1:6" ht="15">
      <c r="A5122" s="51">
        <v>293614</v>
      </c>
      <c r="B5122" t="s">
        <v>870</v>
      </c>
      <c r="C5122" s="39" t="s">
        <v>189</v>
      </c>
      <c r="D5122">
        <v>7</v>
      </c>
      <c r="F5122" s="56"/>
    </row>
    <row r="5123" spans="1:6" ht="15">
      <c r="A5123" s="51">
        <v>293615</v>
      </c>
      <c r="B5123" t="s">
        <v>199</v>
      </c>
      <c r="C5123" s="39" t="s">
        <v>192</v>
      </c>
      <c r="D5123" t="s">
        <v>4247</v>
      </c>
      <c r="F5123" s="56"/>
    </row>
    <row r="5124" spans="1:6" ht="15">
      <c r="A5124" s="51">
        <v>293616</v>
      </c>
      <c r="B5124" t="s">
        <v>201</v>
      </c>
      <c r="C5124" s="39" t="s">
        <v>192</v>
      </c>
      <c r="D5124" t="s">
        <v>4243</v>
      </c>
      <c r="F5124" s="56"/>
    </row>
    <row r="5125" spans="1:6" ht="15">
      <c r="A5125" s="51">
        <v>293617</v>
      </c>
      <c r="B5125" t="s">
        <v>2479</v>
      </c>
      <c r="C5125" s="39" t="s">
        <v>192</v>
      </c>
      <c r="D5125">
        <v>7</v>
      </c>
      <c r="F5125" s="56"/>
    </row>
    <row r="5126" spans="1:6" ht="15">
      <c r="A5126" s="51">
        <v>293601</v>
      </c>
      <c r="B5126" t="s">
        <v>3114</v>
      </c>
      <c r="C5126" s="39" t="s">
        <v>192</v>
      </c>
      <c r="D5126">
        <v>8</v>
      </c>
      <c r="F5126" s="56"/>
    </row>
    <row r="5127" spans="1:6" ht="15">
      <c r="A5127" s="51">
        <v>293618</v>
      </c>
      <c r="B5127" t="s">
        <v>403</v>
      </c>
      <c r="C5127" s="39" t="s">
        <v>192</v>
      </c>
      <c r="D5127" t="s">
        <v>4244</v>
      </c>
      <c r="F5127" s="56"/>
    </row>
    <row r="5128" spans="1:6" ht="15">
      <c r="A5128" s="51">
        <v>293619</v>
      </c>
      <c r="B5128" t="s">
        <v>1668</v>
      </c>
      <c r="C5128" s="39" t="s">
        <v>192</v>
      </c>
      <c r="D5128">
        <v>7</v>
      </c>
      <c r="F5128" s="56"/>
    </row>
    <row r="5129" spans="1:6" ht="15">
      <c r="A5129" s="51">
        <v>293620</v>
      </c>
      <c r="B5129" t="s">
        <v>872</v>
      </c>
      <c r="C5129" s="39" t="s">
        <v>3362</v>
      </c>
      <c r="D5129" t="s">
        <v>4243</v>
      </c>
      <c r="F5129" s="56"/>
    </row>
    <row r="5130" spans="1:6" ht="15">
      <c r="A5130" s="51">
        <v>293621</v>
      </c>
      <c r="B5130" t="s">
        <v>3118</v>
      </c>
      <c r="C5130" s="39" t="s">
        <v>908</v>
      </c>
      <c r="D5130" t="s">
        <v>4244</v>
      </c>
      <c r="F5130" s="56"/>
    </row>
    <row r="5131" spans="1:6" ht="15">
      <c r="A5131" s="51">
        <v>293622</v>
      </c>
      <c r="B5131" t="s">
        <v>873</v>
      </c>
      <c r="C5131" s="39" t="s">
        <v>908</v>
      </c>
      <c r="D5131" t="s">
        <v>4244</v>
      </c>
      <c r="F5131" s="56"/>
    </row>
    <row r="5132" spans="1:6" ht="15">
      <c r="A5132" s="51">
        <v>293623</v>
      </c>
      <c r="B5132" t="s">
        <v>1453</v>
      </c>
      <c r="C5132" s="39" t="s">
        <v>2301</v>
      </c>
      <c r="D5132" t="s">
        <v>468</v>
      </c>
      <c r="F5132" s="56"/>
    </row>
    <row r="5133" spans="1:6" ht="15">
      <c r="A5133" s="51">
        <v>293624</v>
      </c>
      <c r="B5133" t="s">
        <v>2029</v>
      </c>
      <c r="C5133" s="39" t="s">
        <v>2301</v>
      </c>
      <c r="D5133" t="s">
        <v>469</v>
      </c>
      <c r="F5133" s="56"/>
    </row>
    <row r="5134" spans="1:6" ht="15">
      <c r="A5134" s="51">
        <v>293625</v>
      </c>
      <c r="B5134" t="s">
        <v>2030</v>
      </c>
      <c r="C5134" s="39" t="s">
        <v>2301</v>
      </c>
      <c r="D5134" t="s">
        <v>471</v>
      </c>
      <c r="F5134" s="56"/>
    </row>
    <row r="5135" spans="1:6" ht="15">
      <c r="A5135" s="51">
        <v>293626</v>
      </c>
      <c r="B5135" t="s">
        <v>1076</v>
      </c>
      <c r="C5135" s="39" t="s">
        <v>2032</v>
      </c>
      <c r="D5135" t="s">
        <v>4243</v>
      </c>
      <c r="F5135" s="56"/>
    </row>
    <row r="5136" spans="1:6" ht="15">
      <c r="A5136" s="51">
        <v>293627</v>
      </c>
      <c r="B5136" t="s">
        <v>1191</v>
      </c>
      <c r="C5136" s="39" t="s">
        <v>561</v>
      </c>
      <c r="D5136" t="s">
        <v>4247</v>
      </c>
      <c r="F5136" s="56"/>
    </row>
    <row r="5137" spans="1:6" ht="15">
      <c r="A5137" s="51">
        <v>293629</v>
      </c>
      <c r="B5137" t="s">
        <v>1079</v>
      </c>
      <c r="C5137" s="39" t="s">
        <v>1080</v>
      </c>
      <c r="D5137" t="s">
        <v>4244</v>
      </c>
      <c r="F5137" s="56"/>
    </row>
    <row r="5138" spans="1:6" ht="15">
      <c r="A5138" s="51">
        <v>293630</v>
      </c>
      <c r="B5138" t="s">
        <v>1081</v>
      </c>
      <c r="C5138" s="39" t="s">
        <v>1080</v>
      </c>
      <c r="D5138" t="s">
        <v>4244</v>
      </c>
      <c r="F5138" s="56"/>
    </row>
    <row r="5139" spans="1:6" ht="15">
      <c r="A5139" s="51">
        <v>293631</v>
      </c>
      <c r="B5139" t="s">
        <v>212</v>
      </c>
      <c r="C5139" s="39" t="s">
        <v>1083</v>
      </c>
      <c r="D5139" t="s">
        <v>1595</v>
      </c>
      <c r="F5139" s="56"/>
    </row>
    <row r="5140" spans="1:6" ht="15">
      <c r="A5140" s="51">
        <v>293632</v>
      </c>
      <c r="B5140" t="s">
        <v>1086</v>
      </c>
      <c r="C5140" s="39" t="s">
        <v>1083</v>
      </c>
      <c r="D5140" t="s">
        <v>469</v>
      </c>
      <c r="F5140" s="56"/>
    </row>
    <row r="5141" spans="1:6" ht="15">
      <c r="A5141" s="51">
        <v>293635</v>
      </c>
      <c r="B5141" t="s">
        <v>220</v>
      </c>
      <c r="C5141" s="39" t="s">
        <v>3363</v>
      </c>
      <c r="D5141">
        <v>7</v>
      </c>
      <c r="F5141" s="56"/>
    </row>
    <row r="5142" spans="1:6" ht="15">
      <c r="A5142" s="51">
        <v>293636</v>
      </c>
      <c r="B5142" t="s">
        <v>3364</v>
      </c>
      <c r="C5142" s="39" t="s">
        <v>3193</v>
      </c>
      <c r="D5142" t="s">
        <v>4244</v>
      </c>
      <c r="F5142" s="56"/>
    </row>
    <row r="5143" spans="1:6" ht="15">
      <c r="A5143" s="51">
        <v>293637</v>
      </c>
      <c r="B5143" t="s">
        <v>3365</v>
      </c>
      <c r="C5143" s="39" t="s">
        <v>3193</v>
      </c>
      <c r="D5143" t="s">
        <v>4243</v>
      </c>
      <c r="F5143" s="56"/>
    </row>
    <row r="5144" spans="1:6" ht="15">
      <c r="A5144" s="51">
        <v>293638</v>
      </c>
      <c r="B5144" t="s">
        <v>1094</v>
      </c>
      <c r="C5144" s="39" t="s">
        <v>1095</v>
      </c>
      <c r="D5144" t="s">
        <v>469</v>
      </c>
      <c r="F5144" s="56"/>
    </row>
    <row r="5145" spans="1:6" ht="15">
      <c r="A5145" s="51">
        <v>293639</v>
      </c>
      <c r="B5145" t="s">
        <v>1096</v>
      </c>
      <c r="C5145" s="39" t="s">
        <v>1095</v>
      </c>
      <c r="D5145" t="s">
        <v>469</v>
      </c>
      <c r="F5145" s="56"/>
    </row>
    <row r="5146" spans="1:6" ht="15">
      <c r="A5146" s="51">
        <v>293643</v>
      </c>
      <c r="B5146" t="s">
        <v>1097</v>
      </c>
      <c r="C5146" s="39" t="s">
        <v>2314</v>
      </c>
      <c r="D5146" t="s">
        <v>1596</v>
      </c>
      <c r="F5146" s="56"/>
    </row>
    <row r="5147" spans="1:6" ht="15">
      <c r="A5147" s="51">
        <v>293644</v>
      </c>
      <c r="B5147" t="s">
        <v>1099</v>
      </c>
      <c r="C5147" s="39" t="s">
        <v>2314</v>
      </c>
      <c r="D5147" t="s">
        <v>471</v>
      </c>
      <c r="F5147" s="56"/>
    </row>
    <row r="5148" spans="1:6" ht="15">
      <c r="A5148" s="51">
        <v>293645</v>
      </c>
      <c r="B5148" t="s">
        <v>3055</v>
      </c>
      <c r="C5148" s="39" t="s">
        <v>224</v>
      </c>
      <c r="D5148" t="s">
        <v>4243</v>
      </c>
      <c r="F5148" s="56"/>
    </row>
    <row r="5149" spans="1:6" ht="15">
      <c r="A5149" s="51">
        <v>293646</v>
      </c>
      <c r="B5149" t="s">
        <v>1100</v>
      </c>
      <c r="C5149" s="39" t="s">
        <v>1098</v>
      </c>
      <c r="D5149" t="s">
        <v>466</v>
      </c>
      <c r="F5149" s="56"/>
    </row>
    <row r="5150" spans="1:6" ht="15">
      <c r="A5150" s="51">
        <v>293647</v>
      </c>
      <c r="B5150" t="s">
        <v>1101</v>
      </c>
      <c r="C5150" s="39" t="s">
        <v>1098</v>
      </c>
      <c r="D5150" t="s">
        <v>1595</v>
      </c>
      <c r="F5150" s="56"/>
    </row>
    <row r="5151" spans="1:6" ht="15">
      <c r="A5151" s="51">
        <v>293648</v>
      </c>
      <c r="B5151" t="s">
        <v>1102</v>
      </c>
      <c r="C5151" s="39" t="s">
        <v>1098</v>
      </c>
      <c r="D5151" t="s">
        <v>469</v>
      </c>
      <c r="F5151" s="56"/>
    </row>
    <row r="5152" spans="1:6" ht="15">
      <c r="A5152" s="51">
        <v>293640</v>
      </c>
      <c r="B5152" t="s">
        <v>3366</v>
      </c>
      <c r="C5152" s="39" t="s">
        <v>2637</v>
      </c>
      <c r="D5152" t="s">
        <v>471</v>
      </c>
      <c r="F5152" s="56"/>
    </row>
    <row r="5153" spans="1:6" ht="15">
      <c r="A5153" s="51">
        <v>293641</v>
      </c>
      <c r="B5153" t="s">
        <v>3367</v>
      </c>
      <c r="C5153" s="39" t="s">
        <v>2637</v>
      </c>
      <c r="D5153">
        <v>8</v>
      </c>
      <c r="F5153" s="56"/>
    </row>
    <row r="5154" spans="1:6" ht="15">
      <c r="A5154" s="51">
        <v>293642</v>
      </c>
      <c r="B5154" t="s">
        <v>3368</v>
      </c>
      <c r="C5154" s="39" t="s">
        <v>2637</v>
      </c>
      <c r="D5154">
        <v>9</v>
      </c>
      <c r="F5154" s="56"/>
    </row>
    <row r="5155" spans="1:6" ht="15">
      <c r="A5155" s="51">
        <v>293649</v>
      </c>
      <c r="B5155" t="s">
        <v>3063</v>
      </c>
      <c r="C5155" s="39" t="s">
        <v>1107</v>
      </c>
      <c r="D5155" t="s">
        <v>4245</v>
      </c>
      <c r="F5155" s="56"/>
    </row>
    <row r="5156" spans="1:6" ht="15">
      <c r="A5156" s="51">
        <v>293650</v>
      </c>
      <c r="B5156" t="s">
        <v>2639</v>
      </c>
      <c r="C5156" s="39" t="s">
        <v>1107</v>
      </c>
      <c r="D5156" t="s">
        <v>4245</v>
      </c>
      <c r="F5156" s="56"/>
    </row>
    <row r="5157" spans="1:6" ht="15">
      <c r="A5157" s="51">
        <v>293652</v>
      </c>
      <c r="B5157" t="s">
        <v>1199</v>
      </c>
      <c r="C5157" s="39" t="s">
        <v>235</v>
      </c>
      <c r="D5157" t="s">
        <v>4244</v>
      </c>
      <c r="F5157" s="56"/>
    </row>
    <row r="5158" spans="1:6" ht="15">
      <c r="A5158" s="51">
        <v>293653</v>
      </c>
      <c r="B5158" t="s">
        <v>3123</v>
      </c>
      <c r="C5158" s="39" t="s">
        <v>3369</v>
      </c>
      <c r="D5158" t="s">
        <v>4249</v>
      </c>
      <c r="F5158" s="56"/>
    </row>
    <row r="5159" spans="1:6" ht="15">
      <c r="A5159" s="51">
        <v>293655</v>
      </c>
      <c r="B5159" t="s">
        <v>245</v>
      </c>
      <c r="C5159" s="39" t="s">
        <v>1114</v>
      </c>
      <c r="D5159" t="s">
        <v>4246</v>
      </c>
      <c r="F5159" s="56"/>
    </row>
    <row r="5160" spans="1:6" ht="15">
      <c r="A5160" s="51">
        <v>293656</v>
      </c>
      <c r="B5160" t="s">
        <v>2249</v>
      </c>
      <c r="C5160" s="39" t="s">
        <v>1114</v>
      </c>
      <c r="D5160" t="s">
        <v>4247</v>
      </c>
      <c r="F5160" s="56"/>
    </row>
    <row r="5161" spans="1:6" ht="15">
      <c r="A5161" s="51">
        <v>293657</v>
      </c>
      <c r="B5161" t="s">
        <v>2250</v>
      </c>
      <c r="C5161" s="39" t="s">
        <v>1114</v>
      </c>
      <c r="D5161" t="s">
        <v>4243</v>
      </c>
      <c r="F5161" s="56"/>
    </row>
    <row r="5162" spans="1:6" ht="15">
      <c r="A5162" s="51">
        <v>293654</v>
      </c>
      <c r="B5162" t="s">
        <v>3066</v>
      </c>
      <c r="C5162" s="39" t="s">
        <v>1114</v>
      </c>
      <c r="D5162">
        <v>8</v>
      </c>
      <c r="F5162" s="56"/>
    </row>
    <row r="5163" spans="1:6" ht="15">
      <c r="A5163" s="51">
        <v>293658</v>
      </c>
      <c r="B5163" t="s">
        <v>432</v>
      </c>
      <c r="C5163" s="39" t="s">
        <v>433</v>
      </c>
      <c r="D5163" t="s">
        <v>4245</v>
      </c>
      <c r="F5163" s="56"/>
    </row>
    <row r="5164" spans="1:6" ht="15">
      <c r="A5164" s="51">
        <v>293659</v>
      </c>
      <c r="B5164" t="s">
        <v>2768</v>
      </c>
      <c r="C5164" s="39" t="s">
        <v>450</v>
      </c>
      <c r="D5164">
        <v>9</v>
      </c>
      <c r="F5164" s="56"/>
    </row>
    <row r="5165" spans="1:6" ht="15">
      <c r="A5165" s="51">
        <v>293660</v>
      </c>
      <c r="B5165" t="s">
        <v>1131</v>
      </c>
      <c r="C5165" s="39" t="s">
        <v>1132</v>
      </c>
      <c r="D5165">
        <v>7</v>
      </c>
      <c r="F5165" s="56"/>
    </row>
    <row r="5166" spans="1:6" ht="15">
      <c r="A5166" s="51">
        <v>293661</v>
      </c>
      <c r="B5166" t="s">
        <v>74</v>
      </c>
      <c r="C5166" s="39" t="s">
        <v>274</v>
      </c>
      <c r="D5166" t="s">
        <v>4243</v>
      </c>
      <c r="F5166" s="56"/>
    </row>
    <row r="5167" spans="1:6" ht="15">
      <c r="A5167" s="51">
        <v>293662</v>
      </c>
      <c r="B5167" t="s">
        <v>75</v>
      </c>
      <c r="C5167" s="39" t="s">
        <v>274</v>
      </c>
      <c r="D5167">
        <v>7</v>
      </c>
      <c r="F5167" s="56"/>
    </row>
    <row r="5168" spans="1:6" ht="15">
      <c r="A5168" s="51">
        <v>293663</v>
      </c>
      <c r="B5168" t="s">
        <v>3370</v>
      </c>
      <c r="C5168" s="39" t="s">
        <v>274</v>
      </c>
      <c r="D5168">
        <v>7</v>
      </c>
      <c r="F5168" s="56"/>
    </row>
    <row r="5169" spans="1:6" ht="15">
      <c r="A5169" s="51">
        <v>293667</v>
      </c>
      <c r="B5169" t="s">
        <v>1133</v>
      </c>
      <c r="C5169" s="39" t="s">
        <v>1134</v>
      </c>
      <c r="D5169" t="s">
        <v>4248</v>
      </c>
      <c r="F5169" s="56"/>
    </row>
    <row r="5170" spans="1:6" ht="15">
      <c r="A5170" s="51">
        <v>293668</v>
      </c>
      <c r="B5170" t="s">
        <v>1135</v>
      </c>
      <c r="C5170" s="39" t="s">
        <v>1134</v>
      </c>
      <c r="D5170" t="s">
        <v>4245</v>
      </c>
      <c r="F5170" s="56"/>
    </row>
    <row r="5171" spans="1:6" ht="15">
      <c r="A5171" s="51">
        <v>293669</v>
      </c>
      <c r="B5171" t="s">
        <v>2268</v>
      </c>
      <c r="C5171" s="39" t="s">
        <v>1134</v>
      </c>
      <c r="D5171" t="s">
        <v>4247</v>
      </c>
      <c r="F5171" s="56"/>
    </row>
    <row r="5172" spans="1:6" ht="15">
      <c r="A5172" s="51">
        <v>1611065</v>
      </c>
      <c r="B5172" t="s">
        <v>3371</v>
      </c>
      <c r="C5172" s="39" t="s">
        <v>177</v>
      </c>
      <c r="D5172" t="s">
        <v>1595</v>
      </c>
      <c r="F5172" s="56"/>
    </row>
    <row r="5173" spans="1:6" ht="15">
      <c r="A5173" s="51">
        <v>293670</v>
      </c>
      <c r="B5173" t="s">
        <v>275</v>
      </c>
      <c r="C5173" s="39" t="s">
        <v>2270</v>
      </c>
      <c r="D5173" t="s">
        <v>4243</v>
      </c>
      <c r="F5173" s="56"/>
    </row>
    <row r="5174" spans="1:6" ht="15">
      <c r="A5174" s="51">
        <v>293671</v>
      </c>
      <c r="B5174" t="s">
        <v>458</v>
      </c>
      <c r="C5174" s="39" t="s">
        <v>278</v>
      </c>
      <c r="D5174" t="s">
        <v>468</v>
      </c>
      <c r="F5174" s="56"/>
    </row>
    <row r="5175" spans="1:6" ht="15">
      <c r="A5175" s="51">
        <v>293672</v>
      </c>
      <c r="B5175" t="s">
        <v>459</v>
      </c>
      <c r="C5175" s="39" t="s">
        <v>278</v>
      </c>
      <c r="D5175" t="s">
        <v>469</v>
      </c>
      <c r="F5175" s="56"/>
    </row>
    <row r="5176" spans="1:6" ht="15">
      <c r="A5176" s="51">
        <v>293665</v>
      </c>
      <c r="B5176" t="s">
        <v>3372</v>
      </c>
      <c r="C5176" s="39" t="s">
        <v>3373</v>
      </c>
      <c r="D5176">
        <v>7</v>
      </c>
      <c r="F5176" s="56"/>
    </row>
    <row r="5177" spans="1:6" ht="15">
      <c r="A5177" s="51">
        <v>293673</v>
      </c>
      <c r="B5177" t="s">
        <v>1516</v>
      </c>
      <c r="C5177" s="39" t="s">
        <v>283</v>
      </c>
      <c r="D5177">
        <v>8</v>
      </c>
      <c r="F5177" s="56"/>
    </row>
    <row r="5178" spans="1:6" ht="15">
      <c r="A5178" s="51">
        <v>293674</v>
      </c>
      <c r="B5178" t="s">
        <v>3071</v>
      </c>
      <c r="C5178" s="39" t="s">
        <v>3072</v>
      </c>
      <c r="D5178" t="s">
        <v>1595</v>
      </c>
      <c r="F5178" s="56"/>
    </row>
    <row r="5179" spans="1:6" ht="15">
      <c r="A5179" s="51">
        <v>293675</v>
      </c>
      <c r="B5179" t="s">
        <v>3374</v>
      </c>
      <c r="C5179" s="39" t="s">
        <v>898</v>
      </c>
      <c r="D5179" t="s">
        <v>4246</v>
      </c>
      <c r="F5179" s="56"/>
    </row>
    <row r="5180" spans="1:6" ht="15">
      <c r="A5180" s="51">
        <v>293676</v>
      </c>
      <c r="B5180" t="s">
        <v>3375</v>
      </c>
      <c r="C5180" s="39" t="s">
        <v>898</v>
      </c>
      <c r="D5180" t="s">
        <v>4247</v>
      </c>
      <c r="F5180" s="56"/>
    </row>
    <row r="5181" spans="1:6" ht="15">
      <c r="A5181" s="51">
        <v>293677</v>
      </c>
      <c r="B5181" t="s">
        <v>3376</v>
      </c>
      <c r="C5181" s="39" t="s">
        <v>898</v>
      </c>
      <c r="D5181" t="s">
        <v>4244</v>
      </c>
      <c r="F5181" s="56"/>
    </row>
    <row r="5182" spans="1:6" ht="15">
      <c r="A5182" s="51">
        <v>293678</v>
      </c>
      <c r="B5182" t="s">
        <v>3377</v>
      </c>
      <c r="C5182" s="39" t="s">
        <v>898</v>
      </c>
      <c r="D5182" t="s">
        <v>4243</v>
      </c>
      <c r="F5182" s="56"/>
    </row>
    <row r="5183" spans="1:6" ht="15">
      <c r="A5183" s="51">
        <v>2421205</v>
      </c>
      <c r="B5183" t="s">
        <v>466</v>
      </c>
      <c r="C5183" s="39" t="s">
        <v>138</v>
      </c>
      <c r="D5183">
        <v>9</v>
      </c>
      <c r="F5183" s="56"/>
    </row>
    <row r="5184" spans="1:6" ht="15">
      <c r="A5184" s="51">
        <v>2421203</v>
      </c>
      <c r="B5184" t="s">
        <v>1595</v>
      </c>
      <c r="C5184" s="39" t="s">
        <v>1598</v>
      </c>
      <c r="D5184" t="s">
        <v>4248</v>
      </c>
      <c r="F5184" s="56"/>
    </row>
    <row r="5185" spans="1:6" ht="15">
      <c r="A5185" s="51">
        <v>2378451</v>
      </c>
      <c r="B5185" t="s">
        <v>468</v>
      </c>
      <c r="C5185" s="39" t="s">
        <v>1601</v>
      </c>
      <c r="D5185" t="s">
        <v>4245</v>
      </c>
      <c r="F5185" s="56"/>
    </row>
    <row r="5186" spans="1:6" ht="15">
      <c r="A5186" s="51">
        <v>2421206</v>
      </c>
      <c r="B5186" t="s">
        <v>1596</v>
      </c>
      <c r="C5186" s="39" t="s">
        <v>3378</v>
      </c>
      <c r="D5186" t="s">
        <v>4245</v>
      </c>
      <c r="F5186" s="56"/>
    </row>
    <row r="5187" spans="1:6" ht="15">
      <c r="A5187" s="51">
        <v>2421204</v>
      </c>
      <c r="B5187" t="s">
        <v>469</v>
      </c>
      <c r="C5187" s="39" t="s">
        <v>283</v>
      </c>
      <c r="D5187">
        <v>8</v>
      </c>
      <c r="F5187" s="56"/>
    </row>
    <row r="5188" spans="1:6" ht="15">
      <c r="A5188" s="51">
        <v>2504259</v>
      </c>
      <c r="B5188" t="s">
        <v>484</v>
      </c>
      <c r="C5188" s="39" t="s">
        <v>1684</v>
      </c>
      <c r="D5188">
        <v>7</v>
      </c>
      <c r="F5188" s="56"/>
    </row>
    <row r="5189" spans="1:6" ht="15">
      <c r="A5189" s="51">
        <v>2504918</v>
      </c>
      <c r="B5189" t="s">
        <v>2292</v>
      </c>
      <c r="C5189" s="39" t="s">
        <v>507</v>
      </c>
      <c r="D5189">
        <v>9</v>
      </c>
      <c r="F5189" s="56"/>
    </row>
    <row r="5190" spans="1:6" ht="15">
      <c r="A5190" s="51">
        <v>2504255</v>
      </c>
      <c r="B5190" t="s">
        <v>491</v>
      </c>
      <c r="C5190" s="39" t="s">
        <v>1634</v>
      </c>
      <c r="D5190" t="s">
        <v>4243</v>
      </c>
      <c r="F5190" s="56"/>
    </row>
    <row r="5191" spans="1:6" ht="15">
      <c r="A5191" s="51">
        <v>2454163</v>
      </c>
      <c r="B5191" t="s">
        <v>493</v>
      </c>
      <c r="C5191" s="39" t="s">
        <v>2912</v>
      </c>
      <c r="D5191" t="s">
        <v>4246</v>
      </c>
      <c r="F5191" s="56"/>
    </row>
    <row r="5192" spans="1:6" ht="15">
      <c r="A5192" s="51">
        <v>2454162</v>
      </c>
      <c r="B5192" t="s">
        <v>494</v>
      </c>
      <c r="C5192" s="39" t="s">
        <v>2912</v>
      </c>
      <c r="D5192" t="s">
        <v>4246</v>
      </c>
      <c r="F5192" s="56"/>
    </row>
    <row r="5193" spans="1:6" ht="15">
      <c r="A5193" s="51">
        <v>2454219</v>
      </c>
      <c r="B5193" t="s">
        <v>497</v>
      </c>
      <c r="C5193" s="39" t="s">
        <v>498</v>
      </c>
      <c r="D5193" t="s">
        <v>4243</v>
      </c>
      <c r="F5193" s="56"/>
    </row>
    <row r="5194" spans="1:6" ht="15">
      <c r="A5194" s="51">
        <v>2454218</v>
      </c>
      <c r="B5194" t="s">
        <v>499</v>
      </c>
      <c r="C5194" s="39" t="s">
        <v>498</v>
      </c>
      <c r="D5194" t="s">
        <v>4243</v>
      </c>
      <c r="F5194" s="56"/>
    </row>
    <row r="5195" spans="1:6" ht="15">
      <c r="A5195" s="51">
        <v>2454217</v>
      </c>
      <c r="B5195" t="s">
        <v>500</v>
      </c>
      <c r="C5195" s="39" t="s">
        <v>498</v>
      </c>
      <c r="D5195">
        <v>8</v>
      </c>
      <c r="F5195" s="56"/>
    </row>
    <row r="5196" spans="1:6" ht="15">
      <c r="A5196" s="51">
        <v>2454239</v>
      </c>
      <c r="B5196" t="s">
        <v>892</v>
      </c>
      <c r="C5196" s="39" t="s">
        <v>1215</v>
      </c>
      <c r="D5196" t="s">
        <v>4244</v>
      </c>
      <c r="F5196" s="56"/>
    </row>
    <row r="5197" spans="1:6" ht="15">
      <c r="A5197" s="51">
        <v>2454241</v>
      </c>
      <c r="B5197" t="s">
        <v>508</v>
      </c>
      <c r="C5197" s="39" t="s">
        <v>3379</v>
      </c>
      <c r="D5197">
        <v>7</v>
      </c>
      <c r="F5197" s="56"/>
    </row>
    <row r="5198" spans="1:6" ht="15">
      <c r="A5198" s="51">
        <v>2454238</v>
      </c>
      <c r="B5198" t="s">
        <v>511</v>
      </c>
      <c r="C5198" s="39" t="s">
        <v>3380</v>
      </c>
      <c r="D5198">
        <v>7</v>
      </c>
      <c r="F5198" s="56"/>
    </row>
    <row r="5199" spans="1:6" ht="15">
      <c r="A5199" s="51">
        <v>2378305</v>
      </c>
      <c r="B5199" t="s">
        <v>2568</v>
      </c>
      <c r="C5199" s="39" t="s">
        <v>157</v>
      </c>
      <c r="D5199" t="s">
        <v>4245</v>
      </c>
      <c r="F5199" s="56"/>
    </row>
    <row r="5200" spans="1:6" ht="15">
      <c r="A5200" s="51">
        <v>2378304</v>
      </c>
      <c r="B5200" t="s">
        <v>2299</v>
      </c>
      <c r="C5200" s="39" t="s">
        <v>157</v>
      </c>
      <c r="D5200" t="s">
        <v>4245</v>
      </c>
      <c r="F5200" s="56"/>
    </row>
    <row r="5201" spans="1:6" ht="15">
      <c r="A5201" s="51">
        <v>2378306</v>
      </c>
      <c r="B5201" t="s">
        <v>2300</v>
      </c>
      <c r="C5201" s="39" t="s">
        <v>157</v>
      </c>
      <c r="D5201" t="s">
        <v>4244</v>
      </c>
      <c r="F5201" s="56"/>
    </row>
    <row r="5202" spans="1:6" ht="15">
      <c r="A5202" s="51">
        <v>2378302</v>
      </c>
      <c r="B5202" t="s">
        <v>2917</v>
      </c>
      <c r="C5202" s="39" t="s">
        <v>157</v>
      </c>
      <c r="D5202" t="s">
        <v>4243</v>
      </c>
      <c r="F5202" s="56"/>
    </row>
    <row r="5203" spans="1:6" ht="15">
      <c r="A5203" s="51">
        <v>2454230</v>
      </c>
      <c r="B5203" t="s">
        <v>524</v>
      </c>
      <c r="C5203" s="39" t="s">
        <v>108</v>
      </c>
      <c r="D5203" t="s">
        <v>4245</v>
      </c>
      <c r="F5203" s="56"/>
    </row>
    <row r="5204" spans="1:6" ht="15">
      <c r="A5204" s="51">
        <v>2454073</v>
      </c>
      <c r="B5204" t="s">
        <v>525</v>
      </c>
      <c r="C5204" s="39" t="s">
        <v>108</v>
      </c>
      <c r="D5204" t="s">
        <v>4245</v>
      </c>
      <c r="F5204" s="56"/>
    </row>
    <row r="5205" spans="1:6" ht="15">
      <c r="A5205" s="51">
        <v>2454072</v>
      </c>
      <c r="B5205" t="s">
        <v>526</v>
      </c>
      <c r="C5205" s="39" t="s">
        <v>108</v>
      </c>
      <c r="D5205" t="s">
        <v>4244</v>
      </c>
      <c r="F5205" s="56"/>
    </row>
    <row r="5206" spans="1:6" ht="15">
      <c r="A5206" s="51">
        <v>2454082</v>
      </c>
      <c r="B5206" t="s">
        <v>527</v>
      </c>
      <c r="C5206" s="39" t="s">
        <v>108</v>
      </c>
      <c r="D5206" t="s">
        <v>4243</v>
      </c>
      <c r="F5206" s="56"/>
    </row>
    <row r="5207" spans="1:6" ht="15">
      <c r="A5207" s="51">
        <v>2454080</v>
      </c>
      <c r="B5207" t="s">
        <v>528</v>
      </c>
      <c r="C5207" s="39" t="s">
        <v>108</v>
      </c>
      <c r="D5207">
        <v>8</v>
      </c>
      <c r="F5207" s="56"/>
    </row>
    <row r="5208" spans="1:6" ht="15">
      <c r="A5208" s="51">
        <v>2421214</v>
      </c>
      <c r="B5208" t="s">
        <v>531</v>
      </c>
      <c r="C5208" s="39" t="s">
        <v>108</v>
      </c>
      <c r="D5208" t="s">
        <v>4244</v>
      </c>
      <c r="F5208" s="56"/>
    </row>
    <row r="5209" spans="1:6" ht="15">
      <c r="A5209" s="51">
        <v>2454076</v>
      </c>
      <c r="B5209" t="s">
        <v>533</v>
      </c>
      <c r="C5209" s="39" t="s">
        <v>106</v>
      </c>
      <c r="D5209" t="s">
        <v>4245</v>
      </c>
      <c r="F5209" s="56"/>
    </row>
    <row r="5210" spans="1:6" ht="15">
      <c r="A5210" s="51">
        <v>2378286</v>
      </c>
      <c r="B5210" t="s">
        <v>541</v>
      </c>
      <c r="C5210" s="39" t="s">
        <v>542</v>
      </c>
      <c r="D5210" t="s">
        <v>4245</v>
      </c>
      <c r="F5210" s="56"/>
    </row>
    <row r="5211" spans="1:6" ht="15">
      <c r="A5211" s="51">
        <v>2378288</v>
      </c>
      <c r="B5211" t="s">
        <v>543</v>
      </c>
      <c r="C5211" s="39" t="s">
        <v>542</v>
      </c>
      <c r="D5211" t="s">
        <v>4246</v>
      </c>
      <c r="F5211" s="56"/>
    </row>
    <row r="5212" spans="1:6" ht="15">
      <c r="A5212" s="51">
        <v>2378287</v>
      </c>
      <c r="B5212" t="s">
        <v>544</v>
      </c>
      <c r="C5212" s="39" t="s">
        <v>542</v>
      </c>
      <c r="D5212" t="s">
        <v>4244</v>
      </c>
      <c r="F5212" s="56"/>
    </row>
    <row r="5213" spans="1:6" ht="15">
      <c r="A5213" s="51">
        <v>2378285</v>
      </c>
      <c r="B5213" t="s">
        <v>545</v>
      </c>
      <c r="C5213" s="39" t="s">
        <v>542</v>
      </c>
      <c r="D5213" t="s">
        <v>4243</v>
      </c>
      <c r="F5213" s="56"/>
    </row>
    <row r="5214" spans="1:6" ht="15">
      <c r="A5214" s="51">
        <v>2378484</v>
      </c>
      <c r="B5214" t="s">
        <v>546</v>
      </c>
      <c r="C5214" s="39" t="s">
        <v>781</v>
      </c>
      <c r="D5214" t="s">
        <v>4245</v>
      </c>
      <c r="F5214" s="56"/>
    </row>
    <row r="5215" spans="1:6" ht="15">
      <c r="A5215" s="51">
        <v>2378477</v>
      </c>
      <c r="B5215" t="s">
        <v>548</v>
      </c>
      <c r="C5215" s="39" t="s">
        <v>781</v>
      </c>
      <c r="D5215" t="s">
        <v>4245</v>
      </c>
      <c r="F5215" s="56"/>
    </row>
    <row r="5216" spans="1:6" ht="15">
      <c r="A5216" s="51">
        <v>2378491</v>
      </c>
      <c r="B5216" t="s">
        <v>549</v>
      </c>
      <c r="C5216" s="39" t="s">
        <v>781</v>
      </c>
      <c r="D5216" t="s">
        <v>4245</v>
      </c>
      <c r="F5216" s="56"/>
    </row>
    <row r="5217" spans="1:6" ht="15">
      <c r="A5217" s="51">
        <v>2378490</v>
      </c>
      <c r="B5217" t="s">
        <v>2304</v>
      </c>
      <c r="C5217" s="39" t="s">
        <v>781</v>
      </c>
      <c r="D5217" t="s">
        <v>4245</v>
      </c>
      <c r="F5217" s="56"/>
    </row>
    <row r="5218" spans="1:6" ht="15">
      <c r="A5218" s="51">
        <v>2378489</v>
      </c>
      <c r="B5218" t="s">
        <v>2921</v>
      </c>
      <c r="C5218" s="39" t="s">
        <v>781</v>
      </c>
      <c r="D5218" t="s">
        <v>4244</v>
      </c>
      <c r="F5218" s="56"/>
    </row>
    <row r="5219" spans="1:6" ht="15">
      <c r="A5219" s="51">
        <v>2378488</v>
      </c>
      <c r="B5219" t="s">
        <v>2922</v>
      </c>
      <c r="C5219" s="39" t="s">
        <v>781</v>
      </c>
      <c r="D5219" t="s">
        <v>4243</v>
      </c>
      <c r="F5219" s="56"/>
    </row>
    <row r="5220" spans="1:6" ht="15">
      <c r="A5220" s="51">
        <v>2379125</v>
      </c>
      <c r="B5220" t="s">
        <v>3381</v>
      </c>
      <c r="C5220" s="39" t="s">
        <v>781</v>
      </c>
      <c r="D5220">
        <v>8</v>
      </c>
      <c r="F5220" s="56"/>
    </row>
    <row r="5221" spans="1:6" ht="15">
      <c r="A5221" s="51">
        <v>2378449</v>
      </c>
      <c r="B5221" t="s">
        <v>551</v>
      </c>
      <c r="C5221" s="39" t="s">
        <v>1052</v>
      </c>
      <c r="D5221" t="s">
        <v>4243</v>
      </c>
      <c r="F5221" s="56"/>
    </row>
    <row r="5222" spans="1:6" ht="15">
      <c r="A5222" s="51">
        <v>2378400</v>
      </c>
      <c r="B5222" t="s">
        <v>552</v>
      </c>
      <c r="C5222" s="39" t="s">
        <v>1080</v>
      </c>
      <c r="D5222" t="s">
        <v>4244</v>
      </c>
      <c r="F5222" s="56"/>
    </row>
    <row r="5223" spans="1:6" ht="15">
      <c r="A5223" s="51">
        <v>2378399</v>
      </c>
      <c r="B5223" t="s">
        <v>553</v>
      </c>
      <c r="C5223" s="39" t="s">
        <v>1080</v>
      </c>
      <c r="D5223" t="s">
        <v>4244</v>
      </c>
      <c r="F5223" s="56"/>
    </row>
    <row r="5224" spans="1:6" ht="15">
      <c r="A5224" s="51">
        <v>2378425</v>
      </c>
      <c r="B5224" t="s">
        <v>555</v>
      </c>
      <c r="C5224" s="39" t="s">
        <v>1114</v>
      </c>
      <c r="D5224" t="s">
        <v>4246</v>
      </c>
      <c r="F5224" s="56"/>
    </row>
    <row r="5225" spans="1:6" ht="15">
      <c r="A5225" s="51">
        <v>2378423</v>
      </c>
      <c r="B5225" t="s">
        <v>2923</v>
      </c>
      <c r="C5225" s="39" t="s">
        <v>1114</v>
      </c>
      <c r="D5225" t="s">
        <v>4246</v>
      </c>
      <c r="F5225" s="56"/>
    </row>
    <row r="5226" spans="1:6" ht="15">
      <c r="A5226" s="51">
        <v>2378416</v>
      </c>
      <c r="B5226" t="s">
        <v>2924</v>
      </c>
      <c r="C5226" s="39" t="s">
        <v>1114</v>
      </c>
      <c r="D5226" t="s">
        <v>4244</v>
      </c>
      <c r="F5226" s="56"/>
    </row>
    <row r="5227" spans="1:6" ht="15">
      <c r="A5227" s="51">
        <v>2378424</v>
      </c>
      <c r="B5227" t="s">
        <v>2925</v>
      </c>
      <c r="C5227" s="39" t="s">
        <v>1114</v>
      </c>
      <c r="D5227">
        <v>8</v>
      </c>
      <c r="F5227" s="56"/>
    </row>
    <row r="5228" spans="1:6" ht="15">
      <c r="A5228" s="51">
        <v>2378422</v>
      </c>
      <c r="B5228" t="s">
        <v>2926</v>
      </c>
      <c r="C5228" s="39" t="s">
        <v>1114</v>
      </c>
      <c r="D5228">
        <v>8</v>
      </c>
      <c r="F5228" s="56"/>
    </row>
    <row r="5229" spans="1:6" ht="15">
      <c r="A5229" s="51">
        <v>2378432</v>
      </c>
      <c r="B5229" t="s">
        <v>557</v>
      </c>
      <c r="C5229" s="39" t="s">
        <v>1114</v>
      </c>
      <c r="D5229" t="s">
        <v>4246</v>
      </c>
      <c r="F5229" s="56"/>
    </row>
    <row r="5230" spans="1:6" ht="15">
      <c r="A5230" s="51">
        <v>2378428</v>
      </c>
      <c r="B5230" t="s">
        <v>559</v>
      </c>
      <c r="C5230" s="39" t="s">
        <v>1114</v>
      </c>
      <c r="D5230" t="s">
        <v>4246</v>
      </c>
      <c r="F5230" s="56"/>
    </row>
    <row r="5231" spans="1:6" ht="15">
      <c r="A5231" s="51">
        <v>2425905</v>
      </c>
      <c r="B5231" t="s">
        <v>560</v>
      </c>
      <c r="C5231" s="39" t="s">
        <v>561</v>
      </c>
      <c r="D5231" t="s">
        <v>4247</v>
      </c>
      <c r="F5231" s="56"/>
    </row>
    <row r="5232" spans="1:6" ht="15">
      <c r="A5232" s="51">
        <v>2400527</v>
      </c>
      <c r="B5232" t="s">
        <v>562</v>
      </c>
      <c r="C5232" s="39" t="s">
        <v>561</v>
      </c>
      <c r="D5232" t="s">
        <v>4247</v>
      </c>
      <c r="F5232" s="56"/>
    </row>
    <row r="5233" spans="1:6" ht="15">
      <c r="A5233" s="51">
        <v>2400526</v>
      </c>
      <c r="B5233" t="s">
        <v>564</v>
      </c>
      <c r="C5233" s="39" t="s">
        <v>235</v>
      </c>
      <c r="D5233" t="s">
        <v>4244</v>
      </c>
      <c r="F5233" s="56"/>
    </row>
    <row r="5234" spans="1:6" ht="15">
      <c r="A5234" s="51">
        <v>1914314</v>
      </c>
      <c r="B5234" t="s">
        <v>901</v>
      </c>
      <c r="C5234" s="39" t="s">
        <v>2350</v>
      </c>
      <c r="D5234">
        <v>7</v>
      </c>
      <c r="F5234" s="56"/>
    </row>
    <row r="5235" spans="1:6" ht="15">
      <c r="A5235" s="51">
        <v>2378518</v>
      </c>
      <c r="B5235" t="s">
        <v>565</v>
      </c>
      <c r="C5235" s="39" t="s">
        <v>99</v>
      </c>
      <c r="D5235" t="s">
        <v>4243</v>
      </c>
      <c r="F5235" s="56"/>
    </row>
    <row r="5236" spans="1:6" ht="15">
      <c r="A5236" s="51">
        <v>2378509</v>
      </c>
      <c r="B5236" t="s">
        <v>566</v>
      </c>
      <c r="C5236" s="39" t="s">
        <v>99</v>
      </c>
      <c r="D5236" t="s">
        <v>4243</v>
      </c>
      <c r="F5236" s="56"/>
    </row>
    <row r="5237" spans="1:6" ht="15">
      <c r="A5237" s="51">
        <v>2400437</v>
      </c>
      <c r="B5237" t="s">
        <v>3382</v>
      </c>
      <c r="C5237" s="39" t="s">
        <v>140</v>
      </c>
      <c r="D5237">
        <v>7</v>
      </c>
      <c r="F5237" s="56"/>
    </row>
    <row r="5238" spans="1:6" ht="15">
      <c r="A5238" s="51">
        <v>1914310</v>
      </c>
      <c r="B5238" t="s">
        <v>567</v>
      </c>
      <c r="C5238" s="39" t="s">
        <v>1028</v>
      </c>
      <c r="D5238" t="s">
        <v>4246</v>
      </c>
      <c r="F5238" s="56"/>
    </row>
    <row r="5239" spans="1:6" ht="15">
      <c r="A5239" s="51">
        <v>1914309</v>
      </c>
      <c r="B5239" t="s">
        <v>568</v>
      </c>
      <c r="C5239" s="39" t="s">
        <v>1028</v>
      </c>
      <c r="D5239" t="s">
        <v>4246</v>
      </c>
      <c r="F5239" s="56"/>
    </row>
    <row r="5240" spans="1:6" ht="15">
      <c r="A5240" s="51">
        <v>1914307</v>
      </c>
      <c r="B5240" t="s">
        <v>909</v>
      </c>
      <c r="C5240" s="39" t="s">
        <v>536</v>
      </c>
      <c r="D5240" t="s">
        <v>4245</v>
      </c>
      <c r="F5240" s="56"/>
    </row>
    <row r="5241" spans="1:6" ht="15">
      <c r="A5241" s="51">
        <v>1914306</v>
      </c>
      <c r="B5241" t="s">
        <v>910</v>
      </c>
      <c r="C5241" s="39" t="s">
        <v>536</v>
      </c>
      <c r="D5241" t="s">
        <v>4246</v>
      </c>
      <c r="F5241" s="56"/>
    </row>
    <row r="5242" spans="1:6" ht="15">
      <c r="A5242" s="51">
        <v>1914308</v>
      </c>
      <c r="B5242" t="s">
        <v>911</v>
      </c>
      <c r="C5242" s="39" t="s">
        <v>536</v>
      </c>
      <c r="D5242" t="s">
        <v>4244</v>
      </c>
      <c r="F5242" s="56"/>
    </row>
    <row r="5243" spans="1:6" ht="15">
      <c r="A5243" s="51">
        <v>1914303</v>
      </c>
      <c r="B5243" t="s">
        <v>2932</v>
      </c>
      <c r="C5243" s="39" t="s">
        <v>536</v>
      </c>
      <c r="D5243" t="s">
        <v>4243</v>
      </c>
      <c r="F5243" s="56"/>
    </row>
    <row r="5244" spans="1:6" ht="15">
      <c r="B5244" t="s">
        <v>569</v>
      </c>
      <c r="C5244" s="39" t="s">
        <v>536</v>
      </c>
      <c r="D5244" t="s">
        <v>4245</v>
      </c>
      <c r="F5244" s="56"/>
    </row>
    <row r="5245" spans="1:6" ht="15">
      <c r="A5245" s="51">
        <v>2512741</v>
      </c>
      <c r="B5245" t="s">
        <v>3383</v>
      </c>
      <c r="C5245" s="39" t="s">
        <v>536</v>
      </c>
      <c r="D5245" t="s">
        <v>4245</v>
      </c>
      <c r="F5245" s="56"/>
    </row>
    <row r="5246" spans="1:6" ht="15">
      <c r="A5246" s="51">
        <v>2379601</v>
      </c>
      <c r="B5246" t="s">
        <v>3384</v>
      </c>
      <c r="C5246" s="39" t="s">
        <v>536</v>
      </c>
      <c r="D5246" t="s">
        <v>4243</v>
      </c>
      <c r="F5246" s="56"/>
    </row>
    <row r="5247" spans="1:6" ht="15">
      <c r="A5247" s="51">
        <v>2378497</v>
      </c>
      <c r="B5247" t="s">
        <v>3385</v>
      </c>
      <c r="C5247" s="39" t="s">
        <v>536</v>
      </c>
      <c r="D5247">
        <v>9</v>
      </c>
      <c r="F5247" s="56"/>
    </row>
    <row r="5248" spans="1:6" ht="15">
      <c r="A5248" s="51">
        <v>2512742</v>
      </c>
      <c r="B5248" t="s">
        <v>3386</v>
      </c>
      <c r="C5248" s="39" t="s">
        <v>536</v>
      </c>
      <c r="D5248">
        <v>9</v>
      </c>
      <c r="F5248" s="56"/>
    </row>
    <row r="5249" spans="1:6" ht="15">
      <c r="A5249" s="51">
        <v>2378537</v>
      </c>
      <c r="B5249" t="s">
        <v>572</v>
      </c>
      <c r="C5249" s="39" t="s">
        <v>3186</v>
      </c>
      <c r="D5249" t="s">
        <v>4247</v>
      </c>
      <c r="F5249" s="56"/>
    </row>
    <row r="5250" spans="1:6" ht="15">
      <c r="A5250" s="51">
        <v>2378536</v>
      </c>
      <c r="B5250" t="s">
        <v>573</v>
      </c>
      <c r="C5250" s="39" t="s">
        <v>3186</v>
      </c>
      <c r="D5250" t="s">
        <v>4243</v>
      </c>
      <c r="F5250" s="56"/>
    </row>
    <row r="5251" spans="1:6" ht="15">
      <c r="A5251" s="51">
        <v>2379129</v>
      </c>
      <c r="B5251" t="s">
        <v>2934</v>
      </c>
      <c r="C5251" s="39" t="s">
        <v>3186</v>
      </c>
      <c r="D5251">
        <v>8</v>
      </c>
      <c r="F5251" s="56"/>
    </row>
    <row r="5252" spans="1:6" ht="15">
      <c r="A5252" s="51">
        <v>1914312</v>
      </c>
      <c r="B5252" t="s">
        <v>3387</v>
      </c>
      <c r="C5252" s="39" t="s">
        <v>955</v>
      </c>
      <c r="D5252">
        <v>7</v>
      </c>
      <c r="F5252" s="56"/>
    </row>
    <row r="5253" spans="1:6" ht="15">
      <c r="A5253" s="51">
        <v>1914313</v>
      </c>
      <c r="B5253" t="s">
        <v>2936</v>
      </c>
      <c r="C5253" s="39" t="s">
        <v>955</v>
      </c>
      <c r="D5253" t="s">
        <v>4243</v>
      </c>
      <c r="F5253" s="56"/>
    </row>
    <row r="5254" spans="1:6" ht="15">
      <c r="A5254" s="51">
        <v>1914311</v>
      </c>
      <c r="B5254" t="s">
        <v>2938</v>
      </c>
      <c r="C5254" s="39" t="s">
        <v>362</v>
      </c>
      <c r="D5254" t="s">
        <v>4247</v>
      </c>
      <c r="F5254" s="56"/>
    </row>
    <row r="5255" spans="1:6" ht="15">
      <c r="A5255" s="51">
        <v>1914305</v>
      </c>
      <c r="B5255" t="s">
        <v>589</v>
      </c>
      <c r="C5255" s="39" t="s">
        <v>349</v>
      </c>
      <c r="D5255" t="s">
        <v>4247</v>
      </c>
      <c r="F5255" s="56"/>
    </row>
    <row r="5256" spans="1:6" ht="15">
      <c r="A5256" s="51">
        <v>1914304</v>
      </c>
      <c r="B5256" t="s">
        <v>590</v>
      </c>
      <c r="C5256" s="39" t="s">
        <v>349</v>
      </c>
      <c r="D5256" t="s">
        <v>4243</v>
      </c>
      <c r="F5256" s="56"/>
    </row>
    <row r="5257" spans="1:6" ht="15">
      <c r="A5257" s="51">
        <v>2482499</v>
      </c>
      <c r="B5257" t="s">
        <v>608</v>
      </c>
      <c r="C5257" s="39" t="s">
        <v>192</v>
      </c>
      <c r="D5257" t="s">
        <v>4247</v>
      </c>
      <c r="F5257" s="56"/>
    </row>
    <row r="5258" spans="1:6" ht="15">
      <c r="A5258" s="51">
        <v>2482498</v>
      </c>
      <c r="B5258" t="s">
        <v>609</v>
      </c>
      <c r="C5258" s="39" t="s">
        <v>192</v>
      </c>
      <c r="D5258" t="s">
        <v>4243</v>
      </c>
      <c r="F5258" s="56"/>
    </row>
    <row r="5259" spans="1:6" ht="15">
      <c r="A5259" s="51">
        <v>2482497</v>
      </c>
      <c r="B5259" t="s">
        <v>610</v>
      </c>
      <c r="C5259" s="39" t="s">
        <v>192</v>
      </c>
      <c r="D5259">
        <v>7</v>
      </c>
      <c r="F5259" s="56"/>
    </row>
    <row r="5260" spans="1:6" ht="15">
      <c r="A5260" s="51">
        <v>2512426</v>
      </c>
      <c r="B5260" t="s">
        <v>611</v>
      </c>
      <c r="C5260" s="39" t="s">
        <v>192</v>
      </c>
      <c r="D5260">
        <v>8</v>
      </c>
      <c r="F5260" s="56"/>
    </row>
    <row r="5261" spans="1:6" ht="15">
      <c r="A5261" s="51">
        <v>2512413</v>
      </c>
      <c r="B5261" t="s">
        <v>923</v>
      </c>
      <c r="C5261" s="39" t="s">
        <v>924</v>
      </c>
      <c r="D5261" t="s">
        <v>4246</v>
      </c>
      <c r="F5261" s="56"/>
    </row>
    <row r="5262" spans="1:6" ht="15">
      <c r="A5262" s="51">
        <v>2482458</v>
      </c>
      <c r="B5262" t="s">
        <v>925</v>
      </c>
      <c r="C5262" s="39" t="s">
        <v>924</v>
      </c>
      <c r="D5262" t="s">
        <v>4243</v>
      </c>
      <c r="F5262" s="56"/>
    </row>
    <row r="5263" spans="1:6" ht="15">
      <c r="A5263" s="51">
        <v>2512416</v>
      </c>
      <c r="B5263" t="s">
        <v>926</v>
      </c>
      <c r="C5263" s="39" t="s">
        <v>924</v>
      </c>
      <c r="D5263">
        <v>7</v>
      </c>
      <c r="F5263" s="56"/>
    </row>
    <row r="5264" spans="1:6" ht="15">
      <c r="A5264" s="51">
        <v>2504265</v>
      </c>
      <c r="B5264" t="s">
        <v>2943</v>
      </c>
      <c r="C5264" s="39" t="s">
        <v>3388</v>
      </c>
      <c r="D5264" t="s">
        <v>4246</v>
      </c>
      <c r="F5264" s="56"/>
    </row>
    <row r="5265" spans="1:6" ht="15">
      <c r="A5265" s="51">
        <v>2378521</v>
      </c>
      <c r="B5265" t="s">
        <v>2948</v>
      </c>
      <c r="C5265" s="39" t="s">
        <v>183</v>
      </c>
      <c r="D5265">
        <v>7</v>
      </c>
      <c r="F5265" s="56"/>
    </row>
    <row r="5266" spans="1:6" ht="15">
      <c r="A5266" s="51">
        <v>2482462</v>
      </c>
      <c r="B5266" t="s">
        <v>621</v>
      </c>
      <c r="C5266" s="39" t="s">
        <v>274</v>
      </c>
      <c r="D5266" t="s">
        <v>4243</v>
      </c>
      <c r="F5266" s="56"/>
    </row>
    <row r="5267" spans="1:6" ht="15">
      <c r="A5267" s="51">
        <v>2482461</v>
      </c>
      <c r="B5267" t="s">
        <v>622</v>
      </c>
      <c r="C5267" s="39" t="s">
        <v>274</v>
      </c>
      <c r="D5267" t="s">
        <v>4243</v>
      </c>
      <c r="F5267" s="56"/>
    </row>
    <row r="5268" spans="1:6" ht="15">
      <c r="A5268" s="51">
        <v>294218</v>
      </c>
      <c r="B5268" t="s">
        <v>150</v>
      </c>
      <c r="C5268" s="39" t="s">
        <v>151</v>
      </c>
      <c r="D5268" t="s">
        <v>1595</v>
      </c>
      <c r="F5268" s="56"/>
    </row>
    <row r="5269" spans="1:6" ht="15">
      <c r="A5269" s="51">
        <v>2482460</v>
      </c>
      <c r="B5269" t="s">
        <v>623</v>
      </c>
      <c r="C5269" s="39" t="s">
        <v>274</v>
      </c>
      <c r="D5269">
        <v>7</v>
      </c>
      <c r="F5269" s="56"/>
    </row>
    <row r="5270" spans="1:6" ht="15">
      <c r="A5270" s="51">
        <v>2482463</v>
      </c>
      <c r="B5270" t="s">
        <v>624</v>
      </c>
      <c r="C5270" s="39" t="s">
        <v>274</v>
      </c>
      <c r="D5270">
        <v>8</v>
      </c>
      <c r="F5270" s="56"/>
    </row>
    <row r="5271" spans="1:6" ht="15">
      <c r="A5271" s="51">
        <v>2482457</v>
      </c>
      <c r="B5271" t="s">
        <v>625</v>
      </c>
      <c r="C5271" s="39" t="s">
        <v>626</v>
      </c>
      <c r="D5271" t="s">
        <v>4243</v>
      </c>
      <c r="F5271" s="56"/>
    </row>
    <row r="5272" spans="1:6" ht="15">
      <c r="A5272" s="51">
        <v>2482456</v>
      </c>
      <c r="B5272" t="s">
        <v>627</v>
      </c>
      <c r="C5272" s="39" t="s">
        <v>626</v>
      </c>
      <c r="D5272" t="s">
        <v>4243</v>
      </c>
      <c r="F5272" s="56"/>
    </row>
    <row r="5273" spans="1:6" ht="15">
      <c r="A5273" s="51">
        <v>2482455</v>
      </c>
      <c r="B5273" t="s">
        <v>628</v>
      </c>
      <c r="C5273" s="39" t="s">
        <v>626</v>
      </c>
      <c r="D5273">
        <v>7</v>
      </c>
      <c r="F5273" s="56"/>
    </row>
    <row r="5274" spans="1:6" ht="15">
      <c r="A5274" s="51">
        <v>1914317</v>
      </c>
      <c r="B5274" t="s">
        <v>3389</v>
      </c>
      <c r="C5274" s="39" t="s">
        <v>914</v>
      </c>
      <c r="D5274" t="s">
        <v>4244</v>
      </c>
      <c r="F5274" s="56"/>
    </row>
    <row r="5275" spans="1:6" ht="15">
      <c r="A5275" s="51">
        <v>1914315</v>
      </c>
      <c r="B5275" t="s">
        <v>629</v>
      </c>
      <c r="C5275" s="39" t="s">
        <v>914</v>
      </c>
      <c r="D5275" t="s">
        <v>4244</v>
      </c>
      <c r="F5275" s="56"/>
    </row>
    <row r="5276" spans="1:6" ht="15">
      <c r="A5276" s="51">
        <v>1914316</v>
      </c>
      <c r="B5276" t="s">
        <v>631</v>
      </c>
      <c r="C5276" s="39" t="s">
        <v>914</v>
      </c>
      <c r="D5276">
        <v>7</v>
      </c>
      <c r="F5276" s="56"/>
    </row>
    <row r="5277" spans="1:6" ht="15">
      <c r="A5277" s="51">
        <v>1914319</v>
      </c>
      <c r="B5277" t="s">
        <v>3390</v>
      </c>
      <c r="C5277" s="39" t="s">
        <v>3391</v>
      </c>
      <c r="D5277" t="s">
        <v>4243</v>
      </c>
      <c r="F5277" s="56"/>
    </row>
    <row r="5278" spans="1:6" ht="15">
      <c r="A5278" s="51">
        <v>1914318</v>
      </c>
      <c r="B5278" t="s">
        <v>636</v>
      </c>
      <c r="C5278" s="39" t="s">
        <v>3391</v>
      </c>
      <c r="D5278" t="s">
        <v>4243</v>
      </c>
      <c r="F5278" s="56"/>
    </row>
    <row r="5279" spans="1:6" ht="15">
      <c r="A5279" s="51">
        <v>2454171</v>
      </c>
      <c r="B5279" t="s">
        <v>643</v>
      </c>
      <c r="C5279" s="39" t="s">
        <v>642</v>
      </c>
      <c r="D5279">
        <v>7</v>
      </c>
      <c r="F5279" s="56"/>
    </row>
    <row r="5280" spans="1:6" ht="15">
      <c r="A5280" s="51">
        <v>2454170</v>
      </c>
      <c r="B5280" t="s">
        <v>644</v>
      </c>
      <c r="C5280" s="39" t="s">
        <v>642</v>
      </c>
      <c r="D5280">
        <v>8</v>
      </c>
      <c r="F5280" s="56"/>
    </row>
    <row r="5281" spans="1:6" ht="15">
      <c r="A5281" s="51">
        <v>2512411</v>
      </c>
      <c r="B5281" t="s">
        <v>3392</v>
      </c>
      <c r="C5281" s="39" t="s">
        <v>642</v>
      </c>
      <c r="D5281">
        <v>8</v>
      </c>
      <c r="F5281" s="56"/>
    </row>
    <row r="5282" spans="1:6" ht="15">
      <c r="A5282" s="51">
        <v>2454169</v>
      </c>
      <c r="B5282" t="s">
        <v>648</v>
      </c>
      <c r="C5282" s="39" t="s">
        <v>647</v>
      </c>
      <c r="D5282" t="s">
        <v>4243</v>
      </c>
      <c r="F5282" s="56"/>
    </row>
    <row r="5283" spans="1:6" ht="15">
      <c r="A5283" s="51">
        <v>2454168</v>
      </c>
      <c r="B5283" t="s">
        <v>649</v>
      </c>
      <c r="C5283" s="39" t="s">
        <v>647</v>
      </c>
      <c r="D5283">
        <v>7</v>
      </c>
      <c r="F5283" s="56"/>
    </row>
    <row r="5284" spans="1:6" ht="15">
      <c r="A5284" s="51">
        <v>2512412</v>
      </c>
      <c r="B5284" t="s">
        <v>3393</v>
      </c>
      <c r="C5284" s="39" t="s">
        <v>647</v>
      </c>
      <c r="D5284">
        <v>8</v>
      </c>
      <c r="F5284" s="56"/>
    </row>
    <row r="5285" spans="1:6" ht="15">
      <c r="A5285" s="51">
        <v>2482867</v>
      </c>
      <c r="B5285" t="s">
        <v>650</v>
      </c>
      <c r="C5285" s="39" t="s">
        <v>651</v>
      </c>
      <c r="D5285">
        <v>7</v>
      </c>
      <c r="F5285" s="56"/>
    </row>
    <row r="5286" spans="1:6" ht="15">
      <c r="A5286" s="51">
        <v>2482866</v>
      </c>
      <c r="B5286" t="s">
        <v>652</v>
      </c>
      <c r="C5286" s="39" t="s">
        <v>651</v>
      </c>
      <c r="D5286">
        <v>7</v>
      </c>
      <c r="F5286" s="56"/>
    </row>
    <row r="5287" spans="1:6" ht="15">
      <c r="A5287" s="51">
        <v>2504262</v>
      </c>
      <c r="B5287" t="s">
        <v>2957</v>
      </c>
      <c r="C5287" s="39" t="s">
        <v>189</v>
      </c>
      <c r="D5287" t="s">
        <v>4247</v>
      </c>
      <c r="F5287" s="56"/>
    </row>
    <row r="5288" spans="1:6" ht="15">
      <c r="A5288" s="51">
        <v>2504264</v>
      </c>
      <c r="B5288" t="s">
        <v>2958</v>
      </c>
      <c r="C5288" s="39" t="s">
        <v>189</v>
      </c>
      <c r="D5288" t="s">
        <v>4243</v>
      </c>
      <c r="F5288" s="56"/>
    </row>
    <row r="5289" spans="1:6" ht="15">
      <c r="A5289" s="51">
        <v>2504263</v>
      </c>
      <c r="B5289" t="s">
        <v>2959</v>
      </c>
      <c r="C5289" s="39" t="s">
        <v>189</v>
      </c>
      <c r="D5289">
        <v>7</v>
      </c>
      <c r="F5289" s="56"/>
    </row>
    <row r="5290" spans="1:6" ht="15">
      <c r="A5290" s="51">
        <v>2378532</v>
      </c>
      <c r="B5290" t="s">
        <v>695</v>
      </c>
      <c r="C5290" s="39" t="s">
        <v>224</v>
      </c>
      <c r="D5290" t="s">
        <v>4243</v>
      </c>
      <c r="F5290" s="56"/>
    </row>
    <row r="5291" spans="1:6" ht="15">
      <c r="A5291" s="51">
        <v>2378531</v>
      </c>
      <c r="B5291" t="s">
        <v>697</v>
      </c>
      <c r="C5291" s="39" t="s">
        <v>104</v>
      </c>
      <c r="D5291" t="s">
        <v>4243</v>
      </c>
      <c r="F5291" s="56"/>
    </row>
    <row r="5292" spans="1:6" ht="15">
      <c r="A5292" s="51">
        <v>2378530</v>
      </c>
      <c r="B5292" t="s">
        <v>699</v>
      </c>
      <c r="C5292" s="39" t="s">
        <v>130</v>
      </c>
      <c r="D5292" t="s">
        <v>4243</v>
      </c>
      <c r="F5292" s="56"/>
    </row>
    <row r="5293" spans="1:6" ht="15">
      <c r="A5293" s="51">
        <v>2378534</v>
      </c>
      <c r="B5293" t="s">
        <v>2965</v>
      </c>
      <c r="C5293" s="39" t="s">
        <v>3394</v>
      </c>
      <c r="D5293" t="s">
        <v>4243</v>
      </c>
      <c r="F5293" s="56"/>
    </row>
    <row r="5294" spans="1:6" ht="15">
      <c r="A5294" s="51">
        <v>2421585</v>
      </c>
      <c r="B5294" t="s">
        <v>3395</v>
      </c>
      <c r="C5294" s="39" t="s">
        <v>938</v>
      </c>
      <c r="D5294" t="s">
        <v>4249</v>
      </c>
      <c r="F5294" s="56"/>
    </row>
    <row r="5295" spans="1:6" ht="15">
      <c r="A5295" s="51">
        <v>1611054</v>
      </c>
      <c r="B5295" t="s">
        <v>3396</v>
      </c>
      <c r="C5295" s="39" t="s">
        <v>151</v>
      </c>
      <c r="D5295" t="s">
        <v>466</v>
      </c>
      <c r="F5295" s="56"/>
    </row>
    <row r="5296" spans="1:6" ht="15">
      <c r="A5296" s="51">
        <v>1611055</v>
      </c>
      <c r="B5296" t="s">
        <v>3397</v>
      </c>
      <c r="C5296" s="39" t="s">
        <v>151</v>
      </c>
      <c r="D5296" t="s">
        <v>1595</v>
      </c>
      <c r="F5296" s="56"/>
    </row>
    <row r="5297" spans="1:6" ht="15">
      <c r="A5297" s="51">
        <v>1611056</v>
      </c>
      <c r="B5297" t="s">
        <v>3398</v>
      </c>
      <c r="C5297" s="39" t="s">
        <v>151</v>
      </c>
      <c r="D5297" t="s">
        <v>469</v>
      </c>
      <c r="F5297" s="56"/>
    </row>
    <row r="5298" spans="1:6" ht="15">
      <c r="A5298" s="51">
        <v>1611057</v>
      </c>
      <c r="B5298" t="s">
        <v>725</v>
      </c>
      <c r="C5298" s="39" t="s">
        <v>151</v>
      </c>
      <c r="D5298" t="s">
        <v>471</v>
      </c>
      <c r="F5298" s="56"/>
    </row>
    <row r="5299" spans="1:6" ht="15">
      <c r="A5299" s="51">
        <v>2512417</v>
      </c>
      <c r="B5299" t="s">
        <v>3399</v>
      </c>
      <c r="C5299" s="39" t="s">
        <v>151</v>
      </c>
      <c r="D5299">
        <v>8</v>
      </c>
      <c r="F5299" s="56"/>
    </row>
    <row r="5300" spans="1:6" ht="15">
      <c r="A5300" s="51">
        <v>1611058</v>
      </c>
      <c r="B5300" t="s">
        <v>3400</v>
      </c>
      <c r="C5300" s="39" t="s">
        <v>151</v>
      </c>
      <c r="D5300" t="s">
        <v>466</v>
      </c>
      <c r="F5300" s="56"/>
    </row>
    <row r="5301" spans="1:6" ht="15">
      <c r="A5301" s="51">
        <v>1611059</v>
      </c>
      <c r="B5301" t="s">
        <v>946</v>
      </c>
      <c r="C5301" s="39" t="s">
        <v>151</v>
      </c>
      <c r="D5301" t="s">
        <v>1595</v>
      </c>
      <c r="F5301" s="56"/>
    </row>
    <row r="5302" spans="1:6" ht="15">
      <c r="A5302" s="51">
        <v>1611060</v>
      </c>
      <c r="B5302" t="s">
        <v>948</v>
      </c>
      <c r="C5302" s="39" t="s">
        <v>151</v>
      </c>
      <c r="D5302" t="s">
        <v>469</v>
      </c>
      <c r="F5302" s="56"/>
    </row>
    <row r="5303" spans="1:6" ht="15">
      <c r="A5303" s="51">
        <v>2454236</v>
      </c>
      <c r="B5303" t="s">
        <v>3401</v>
      </c>
      <c r="C5303" s="39" t="s">
        <v>3402</v>
      </c>
      <c r="D5303" t="s">
        <v>4246</v>
      </c>
      <c r="F5303" s="56"/>
    </row>
    <row r="5304" spans="1:6" ht="15">
      <c r="A5304" s="51">
        <v>2454235</v>
      </c>
      <c r="B5304" t="s">
        <v>1608</v>
      </c>
      <c r="C5304" s="39" t="s">
        <v>3403</v>
      </c>
      <c r="D5304" t="s">
        <v>4246</v>
      </c>
      <c r="F5304" s="56"/>
    </row>
    <row r="5305" spans="1:6" ht="15">
      <c r="A5305" s="51">
        <v>2454234</v>
      </c>
      <c r="B5305" t="s">
        <v>1610</v>
      </c>
      <c r="C5305" s="39" t="s">
        <v>166</v>
      </c>
      <c r="D5305" t="s">
        <v>4244</v>
      </c>
      <c r="F5305" s="56"/>
    </row>
    <row r="5306" spans="1:6" ht="15">
      <c r="A5306" s="51">
        <v>2454233</v>
      </c>
      <c r="B5306" t="s">
        <v>951</v>
      </c>
      <c r="C5306" s="39" t="s">
        <v>166</v>
      </c>
      <c r="D5306" t="s">
        <v>4243</v>
      </c>
      <c r="F5306" s="56"/>
    </row>
    <row r="5307" spans="1:6" ht="15">
      <c r="A5307" s="51">
        <v>2454232</v>
      </c>
      <c r="B5307" t="s">
        <v>953</v>
      </c>
      <c r="C5307" s="39" t="s">
        <v>166</v>
      </c>
      <c r="D5307">
        <v>8</v>
      </c>
      <c r="F5307" s="56"/>
    </row>
    <row r="5308" spans="1:6" ht="15">
      <c r="A5308" s="51">
        <v>1727607</v>
      </c>
      <c r="B5308" t="s">
        <v>3404</v>
      </c>
      <c r="C5308" s="39" t="s">
        <v>1083</v>
      </c>
      <c r="D5308" t="s">
        <v>1595</v>
      </c>
      <c r="F5308" s="56"/>
    </row>
    <row r="5309" spans="1:6" ht="15">
      <c r="A5309" s="51">
        <v>1727608</v>
      </c>
      <c r="B5309" t="s">
        <v>3405</v>
      </c>
      <c r="C5309" s="39" t="s">
        <v>1083</v>
      </c>
      <c r="D5309" t="s">
        <v>4244</v>
      </c>
      <c r="F5309" s="56"/>
    </row>
    <row r="5310" spans="1:6" ht="15">
      <c r="A5310" s="51">
        <v>1727610</v>
      </c>
      <c r="B5310" t="s">
        <v>3406</v>
      </c>
      <c r="C5310" s="39" t="s">
        <v>1083</v>
      </c>
      <c r="D5310" t="s">
        <v>471</v>
      </c>
      <c r="F5310" s="56"/>
    </row>
    <row r="5311" spans="1:6" ht="15">
      <c r="A5311" s="51">
        <v>1727609</v>
      </c>
      <c r="B5311" t="s">
        <v>3407</v>
      </c>
      <c r="C5311" s="39" t="s">
        <v>1083</v>
      </c>
      <c r="D5311">
        <v>8</v>
      </c>
      <c r="F5311" s="56"/>
    </row>
    <row r="5312" spans="1:6" ht="15">
      <c r="A5312" s="51">
        <v>1727612</v>
      </c>
      <c r="B5312" t="s">
        <v>732</v>
      </c>
      <c r="C5312" s="39" t="s">
        <v>1083</v>
      </c>
      <c r="D5312" t="s">
        <v>1595</v>
      </c>
      <c r="F5312" s="56"/>
    </row>
    <row r="5313" spans="1:6" ht="15">
      <c r="A5313" s="51">
        <v>1727611</v>
      </c>
      <c r="B5313" t="s">
        <v>733</v>
      </c>
      <c r="C5313" s="39" t="s">
        <v>1083</v>
      </c>
      <c r="D5313" t="s">
        <v>469</v>
      </c>
      <c r="F5313" s="56"/>
    </row>
    <row r="5314" spans="1:6" ht="15">
      <c r="A5314" s="51">
        <v>2512747</v>
      </c>
      <c r="B5314" t="s">
        <v>734</v>
      </c>
      <c r="C5314" s="39" t="s">
        <v>1083</v>
      </c>
      <c r="D5314" t="s">
        <v>471</v>
      </c>
      <c r="F5314" s="56"/>
    </row>
    <row r="5315" spans="1:6" ht="15">
      <c r="A5315" s="51">
        <v>1727615</v>
      </c>
      <c r="B5315" t="s">
        <v>740</v>
      </c>
      <c r="C5315" s="39" t="s">
        <v>1083</v>
      </c>
      <c r="D5315" t="s">
        <v>1595</v>
      </c>
      <c r="F5315" s="56"/>
    </row>
    <row r="5316" spans="1:6" ht="15">
      <c r="A5316" s="51">
        <v>1727614</v>
      </c>
      <c r="B5316" t="s">
        <v>741</v>
      </c>
      <c r="C5316" s="39" t="s">
        <v>1083</v>
      </c>
      <c r="D5316" t="s">
        <v>471</v>
      </c>
      <c r="F5316" s="56"/>
    </row>
    <row r="5317" spans="1:6" ht="15">
      <c r="A5317" s="51">
        <v>1727613</v>
      </c>
      <c r="B5317" t="s">
        <v>3408</v>
      </c>
      <c r="C5317" s="39" t="s">
        <v>1083</v>
      </c>
      <c r="D5317" t="s">
        <v>471</v>
      </c>
      <c r="F5317" s="56"/>
    </row>
    <row r="5318" spans="1:6" ht="15">
      <c r="A5318" s="51">
        <v>1727616</v>
      </c>
      <c r="B5318" t="s">
        <v>3409</v>
      </c>
      <c r="C5318" s="39" t="s">
        <v>1092</v>
      </c>
      <c r="D5318">
        <v>9</v>
      </c>
      <c r="F5318" s="56"/>
    </row>
    <row r="5319" spans="1:6" ht="15">
      <c r="A5319" s="51">
        <v>1727617</v>
      </c>
      <c r="B5319" t="s">
        <v>3410</v>
      </c>
      <c r="C5319" s="39" t="s">
        <v>2637</v>
      </c>
      <c r="D5319">
        <v>8</v>
      </c>
      <c r="F5319" s="56"/>
    </row>
    <row r="5320" spans="1:6" ht="15">
      <c r="A5320" s="51">
        <v>1727618</v>
      </c>
      <c r="B5320" t="s">
        <v>1611</v>
      </c>
      <c r="C5320" s="39" t="s">
        <v>1098</v>
      </c>
      <c r="D5320" t="s">
        <v>1595</v>
      </c>
      <c r="F5320" s="56"/>
    </row>
    <row r="5321" spans="1:6" ht="15">
      <c r="A5321" s="51">
        <v>2512422</v>
      </c>
      <c r="B5321" t="s">
        <v>749</v>
      </c>
      <c r="C5321" s="39" t="s">
        <v>1098</v>
      </c>
      <c r="D5321" t="s">
        <v>1595</v>
      </c>
      <c r="F5321" s="56"/>
    </row>
    <row r="5322" spans="1:6" ht="15">
      <c r="A5322" s="51">
        <v>1727619</v>
      </c>
      <c r="B5322" t="s">
        <v>3411</v>
      </c>
      <c r="C5322" s="39" t="s">
        <v>1098</v>
      </c>
      <c r="D5322" t="s">
        <v>1595</v>
      </c>
      <c r="F5322" s="56"/>
    </row>
    <row r="5323" spans="1:6" ht="15">
      <c r="A5323" s="51">
        <v>2512743</v>
      </c>
      <c r="B5323" t="s">
        <v>754</v>
      </c>
      <c r="C5323" s="39" t="s">
        <v>1098</v>
      </c>
      <c r="D5323" t="s">
        <v>1595</v>
      </c>
      <c r="F5323" s="56"/>
    </row>
    <row r="5324" spans="1:6" ht="15">
      <c r="A5324" s="51">
        <v>1727623</v>
      </c>
      <c r="B5324" t="s">
        <v>764</v>
      </c>
      <c r="C5324" s="39" t="s">
        <v>1098</v>
      </c>
      <c r="D5324" t="s">
        <v>466</v>
      </c>
      <c r="F5324" s="56"/>
    </row>
    <row r="5325" spans="1:6" ht="15">
      <c r="A5325" s="51">
        <v>1727622</v>
      </c>
      <c r="B5325" t="s">
        <v>765</v>
      </c>
      <c r="C5325" s="39" t="s">
        <v>1098</v>
      </c>
      <c r="D5325" t="s">
        <v>1595</v>
      </c>
      <c r="F5325" s="56"/>
    </row>
    <row r="5326" spans="1:6" ht="15">
      <c r="A5326" s="51">
        <v>1727621</v>
      </c>
      <c r="B5326" t="s">
        <v>766</v>
      </c>
      <c r="C5326" s="39" t="s">
        <v>1098</v>
      </c>
      <c r="D5326" t="s">
        <v>469</v>
      </c>
      <c r="F5326" s="56"/>
    </row>
    <row r="5327" spans="1:6" ht="15">
      <c r="A5327" s="51">
        <v>1727620</v>
      </c>
      <c r="B5327" t="s">
        <v>767</v>
      </c>
      <c r="C5327" s="39" t="s">
        <v>1098</v>
      </c>
      <c r="D5327" t="s">
        <v>471</v>
      </c>
      <c r="F5327" s="56"/>
    </row>
    <row r="5328" spans="1:6" ht="15">
      <c r="A5328" s="51">
        <v>1727625</v>
      </c>
      <c r="B5328" t="s">
        <v>3412</v>
      </c>
      <c r="C5328" s="39" t="s">
        <v>1098</v>
      </c>
      <c r="D5328" t="s">
        <v>466</v>
      </c>
      <c r="F5328" s="56"/>
    </row>
    <row r="5329" spans="1:6" ht="15">
      <c r="A5329" s="51">
        <v>1727624</v>
      </c>
      <c r="B5329" t="s">
        <v>3413</v>
      </c>
      <c r="C5329" s="39" t="s">
        <v>1098</v>
      </c>
      <c r="D5329" t="s">
        <v>1595</v>
      </c>
      <c r="F5329" s="56"/>
    </row>
    <row r="5330" spans="1:6" ht="15">
      <c r="A5330" s="51">
        <v>2512744</v>
      </c>
      <c r="B5330" t="s">
        <v>3414</v>
      </c>
      <c r="C5330" s="39" t="s">
        <v>1098</v>
      </c>
      <c r="D5330" t="s">
        <v>469</v>
      </c>
      <c r="F5330" s="56"/>
    </row>
    <row r="5331" spans="1:6" ht="15">
      <c r="A5331" s="51">
        <v>1727628</v>
      </c>
      <c r="B5331" t="s">
        <v>3415</v>
      </c>
      <c r="C5331" s="39" t="s">
        <v>132</v>
      </c>
      <c r="D5331" t="s">
        <v>471</v>
      </c>
      <c r="F5331" s="56"/>
    </row>
    <row r="5332" spans="1:6" ht="15">
      <c r="A5332" s="51">
        <v>2512420</v>
      </c>
      <c r="B5332" t="s">
        <v>2327</v>
      </c>
      <c r="C5332" s="39" t="s">
        <v>132</v>
      </c>
      <c r="D5332" t="s">
        <v>471</v>
      </c>
      <c r="F5332" s="56"/>
    </row>
    <row r="5333" spans="1:6" ht="15">
      <c r="A5333" s="51">
        <v>2512421</v>
      </c>
      <c r="B5333" t="s">
        <v>768</v>
      </c>
      <c r="C5333" s="39" t="s">
        <v>3416</v>
      </c>
      <c r="D5333">
        <v>8</v>
      </c>
      <c r="F5333" s="56"/>
    </row>
    <row r="5334" spans="1:6" ht="15">
      <c r="A5334" s="51">
        <v>1727629</v>
      </c>
      <c r="B5334" t="s">
        <v>770</v>
      </c>
      <c r="C5334" s="39" t="s">
        <v>3416</v>
      </c>
      <c r="D5334">
        <v>8</v>
      </c>
      <c r="F5334" s="56"/>
    </row>
    <row r="5335" spans="1:6" ht="15">
      <c r="A5335" s="51">
        <v>2421591</v>
      </c>
      <c r="B5335" t="s">
        <v>2329</v>
      </c>
      <c r="C5335" s="39" t="s">
        <v>997</v>
      </c>
      <c r="D5335" t="s">
        <v>468</v>
      </c>
      <c r="F5335" s="56"/>
    </row>
    <row r="5336" spans="1:6" ht="15">
      <c r="A5336" s="51">
        <v>2512418</v>
      </c>
      <c r="B5336" t="s">
        <v>1614</v>
      </c>
      <c r="C5336" s="39" t="s">
        <v>997</v>
      </c>
      <c r="D5336" t="s">
        <v>468</v>
      </c>
      <c r="F5336" s="56"/>
    </row>
    <row r="5337" spans="1:6" ht="15">
      <c r="A5337" s="51">
        <v>2482919</v>
      </c>
      <c r="B5337" t="s">
        <v>2982</v>
      </c>
      <c r="C5337" s="39" t="s">
        <v>3417</v>
      </c>
      <c r="D5337">
        <v>7</v>
      </c>
      <c r="F5337" s="56"/>
    </row>
    <row r="5338" spans="1:6" ht="15">
      <c r="A5338" s="51">
        <v>2504914</v>
      </c>
      <c r="B5338" t="s">
        <v>2334</v>
      </c>
      <c r="C5338" s="39" t="s">
        <v>264</v>
      </c>
      <c r="D5338" t="s">
        <v>4245</v>
      </c>
      <c r="F5338" s="56"/>
    </row>
    <row r="5339" spans="1:6" ht="15">
      <c r="A5339" s="51">
        <v>2504915</v>
      </c>
      <c r="B5339" t="s">
        <v>2985</v>
      </c>
      <c r="C5339" s="39" t="s">
        <v>264</v>
      </c>
      <c r="D5339" t="s">
        <v>4244</v>
      </c>
      <c r="F5339" s="56"/>
    </row>
    <row r="5340" spans="1:6" ht="15">
      <c r="A5340" s="51">
        <v>2504916</v>
      </c>
      <c r="B5340" t="s">
        <v>3418</v>
      </c>
      <c r="C5340" s="39" t="s">
        <v>264</v>
      </c>
      <c r="D5340" t="s">
        <v>4243</v>
      </c>
      <c r="F5340" s="56"/>
    </row>
    <row r="5341" spans="1:6" ht="15">
      <c r="A5341" s="51">
        <v>2504917</v>
      </c>
      <c r="B5341" t="s">
        <v>3419</v>
      </c>
      <c r="C5341" s="39" t="s">
        <v>264</v>
      </c>
      <c r="D5341">
        <v>8</v>
      </c>
      <c r="F5341" s="56"/>
    </row>
    <row r="5342" spans="1:6" ht="15">
      <c r="A5342" s="51">
        <v>2504919</v>
      </c>
      <c r="B5342" t="s">
        <v>3420</v>
      </c>
      <c r="C5342" s="39" t="s">
        <v>264</v>
      </c>
      <c r="D5342" t="s">
        <v>4246</v>
      </c>
      <c r="F5342" s="56"/>
    </row>
    <row r="5343" spans="1:6" ht="15">
      <c r="A5343" s="51">
        <v>2504920</v>
      </c>
      <c r="B5343" t="s">
        <v>3243</v>
      </c>
      <c r="C5343" s="39" t="s">
        <v>264</v>
      </c>
      <c r="D5343" t="s">
        <v>4244</v>
      </c>
      <c r="F5343" s="56"/>
    </row>
    <row r="5344" spans="1:6" ht="15">
      <c r="A5344" s="51">
        <v>2504921</v>
      </c>
      <c r="B5344" t="s">
        <v>3244</v>
      </c>
      <c r="C5344" s="39" t="s">
        <v>264</v>
      </c>
      <c r="D5344" t="s">
        <v>4243</v>
      </c>
      <c r="F5344" s="56"/>
    </row>
    <row r="5345" spans="1:6" ht="15">
      <c r="A5345" s="51">
        <v>2504922</v>
      </c>
      <c r="B5345" t="s">
        <v>3421</v>
      </c>
      <c r="C5345" s="39" t="s">
        <v>264</v>
      </c>
      <c r="D5345">
        <v>8</v>
      </c>
      <c r="F5345" s="56"/>
    </row>
    <row r="5346" spans="1:6" ht="15">
      <c r="A5346" s="51">
        <v>2482502</v>
      </c>
      <c r="B5346" t="s">
        <v>1615</v>
      </c>
      <c r="C5346" s="39" t="s">
        <v>291</v>
      </c>
      <c r="D5346" t="s">
        <v>4244</v>
      </c>
      <c r="F5346" s="56"/>
    </row>
    <row r="5347" spans="1:6" ht="15">
      <c r="A5347" s="51">
        <v>2482501</v>
      </c>
      <c r="B5347" t="s">
        <v>1616</v>
      </c>
      <c r="C5347" s="39" t="s">
        <v>291</v>
      </c>
      <c r="D5347">
        <v>7</v>
      </c>
      <c r="F5347" s="56"/>
    </row>
    <row r="5348" spans="1:6" ht="15">
      <c r="A5348" s="51">
        <v>2482500</v>
      </c>
      <c r="B5348" t="s">
        <v>1617</v>
      </c>
      <c r="C5348" s="39" t="s">
        <v>291</v>
      </c>
      <c r="D5348">
        <v>8</v>
      </c>
      <c r="F5348" s="56"/>
    </row>
    <row r="5349" spans="1:6" ht="15">
      <c r="A5349" s="51">
        <v>2482469</v>
      </c>
      <c r="B5349" t="s">
        <v>2998</v>
      </c>
      <c r="C5349" s="39" t="s">
        <v>210</v>
      </c>
      <c r="D5349">
        <v>7</v>
      </c>
      <c r="F5349" s="56"/>
    </row>
    <row r="5350" spans="1:6" ht="15">
      <c r="A5350" s="51">
        <v>2482468</v>
      </c>
      <c r="B5350" t="s">
        <v>2999</v>
      </c>
      <c r="C5350" s="39" t="s">
        <v>210</v>
      </c>
      <c r="D5350">
        <v>7</v>
      </c>
      <c r="F5350" s="56"/>
    </row>
    <row r="5351" spans="1:6" ht="15">
      <c r="A5351" s="51">
        <v>2482467</v>
      </c>
      <c r="B5351" t="s">
        <v>3000</v>
      </c>
      <c r="C5351" s="39" t="s">
        <v>210</v>
      </c>
      <c r="D5351">
        <v>8</v>
      </c>
      <c r="F5351" s="56"/>
    </row>
    <row r="5352" spans="1:6" ht="15">
      <c r="A5352" s="51">
        <v>2482466</v>
      </c>
      <c r="B5352" t="s">
        <v>3001</v>
      </c>
      <c r="C5352" s="39" t="s">
        <v>210</v>
      </c>
      <c r="D5352">
        <v>8</v>
      </c>
      <c r="F5352" s="56"/>
    </row>
    <row r="5353" spans="1:6" ht="15">
      <c r="A5353" s="51">
        <v>2512424</v>
      </c>
      <c r="B5353" t="s">
        <v>785</v>
      </c>
      <c r="C5353" s="39" t="s">
        <v>2956</v>
      </c>
      <c r="D5353">
        <v>8</v>
      </c>
      <c r="F5353" s="56"/>
    </row>
    <row r="5354" spans="1:6" ht="15">
      <c r="A5354" s="51">
        <v>2504252</v>
      </c>
      <c r="B5354" t="s">
        <v>786</v>
      </c>
      <c r="C5354" s="39" t="s">
        <v>2956</v>
      </c>
      <c r="D5354">
        <v>8</v>
      </c>
      <c r="F5354" s="56"/>
    </row>
    <row r="5355" spans="1:6" ht="15">
      <c r="A5355" s="51">
        <v>2504253</v>
      </c>
      <c r="B5355" t="s">
        <v>788</v>
      </c>
      <c r="C5355" s="39" t="s">
        <v>2956</v>
      </c>
      <c r="D5355">
        <v>8</v>
      </c>
      <c r="F5355" s="56"/>
    </row>
    <row r="5356" spans="1:6" ht="15">
      <c r="A5356" s="51">
        <v>2504254</v>
      </c>
      <c r="B5356" t="s">
        <v>789</v>
      </c>
      <c r="C5356" s="39" t="s">
        <v>2956</v>
      </c>
      <c r="D5356">
        <v>8</v>
      </c>
      <c r="F5356" s="56"/>
    </row>
    <row r="5357" spans="1:6" ht="15">
      <c r="A5357" s="51">
        <v>2482870</v>
      </c>
      <c r="B5357" t="s">
        <v>790</v>
      </c>
      <c r="C5357" s="39" t="s">
        <v>205</v>
      </c>
      <c r="D5357">
        <v>7</v>
      </c>
      <c r="F5357" s="56"/>
    </row>
    <row r="5358" spans="1:6" ht="15">
      <c r="A5358" s="51">
        <v>2482869</v>
      </c>
      <c r="B5358" t="s">
        <v>791</v>
      </c>
      <c r="C5358" s="39" t="s">
        <v>205</v>
      </c>
      <c r="D5358">
        <v>7</v>
      </c>
      <c r="F5358" s="56"/>
    </row>
    <row r="5359" spans="1:6" ht="15">
      <c r="A5359" s="51">
        <v>2504934</v>
      </c>
      <c r="B5359" t="s">
        <v>3007</v>
      </c>
      <c r="C5359" s="39" t="s">
        <v>633</v>
      </c>
      <c r="D5359" t="s">
        <v>4244</v>
      </c>
      <c r="F5359" s="56"/>
    </row>
    <row r="5360" spans="1:6" ht="15">
      <c r="A5360" s="51">
        <v>2504935</v>
      </c>
      <c r="B5360" t="s">
        <v>3008</v>
      </c>
      <c r="C5360" s="39" t="s">
        <v>633</v>
      </c>
      <c r="D5360">
        <v>7</v>
      </c>
      <c r="F5360" s="56"/>
    </row>
    <row r="5361" spans="1:6" ht="15">
      <c r="A5361" s="51">
        <v>2504933</v>
      </c>
      <c r="B5361" t="s">
        <v>3009</v>
      </c>
      <c r="C5361" s="39" t="s">
        <v>633</v>
      </c>
      <c r="D5361">
        <v>8</v>
      </c>
      <c r="F5361" s="56"/>
    </row>
    <row r="5362" spans="1:6" ht="15">
      <c r="A5362" s="51">
        <v>2512425</v>
      </c>
      <c r="B5362" t="s">
        <v>3010</v>
      </c>
      <c r="C5362" s="39" t="s">
        <v>633</v>
      </c>
      <c r="D5362">
        <v>8</v>
      </c>
      <c r="F5362" s="56"/>
    </row>
    <row r="5363" spans="1:6" ht="15">
      <c r="A5363" s="51">
        <v>2504925</v>
      </c>
      <c r="B5363" t="s">
        <v>2348</v>
      </c>
      <c r="C5363" s="39" t="s">
        <v>630</v>
      </c>
      <c r="D5363" t="s">
        <v>4244</v>
      </c>
      <c r="F5363" s="56"/>
    </row>
    <row r="5364" spans="1:6" ht="15">
      <c r="A5364" s="51">
        <v>2504926</v>
      </c>
      <c r="B5364" t="s">
        <v>3422</v>
      </c>
      <c r="C5364" s="39" t="s">
        <v>630</v>
      </c>
      <c r="D5364">
        <v>7</v>
      </c>
      <c r="F5364" s="56"/>
    </row>
    <row r="5365" spans="1:6" ht="15">
      <c r="A5365" s="51">
        <v>1611061</v>
      </c>
      <c r="B5365" t="s">
        <v>3423</v>
      </c>
      <c r="C5365" s="39" t="s">
        <v>177</v>
      </c>
      <c r="D5365" t="s">
        <v>1595</v>
      </c>
      <c r="F5365" s="56"/>
    </row>
    <row r="5366" spans="1:6" ht="15">
      <c r="A5366" s="51">
        <v>1611062</v>
      </c>
      <c r="B5366" t="s">
        <v>2353</v>
      </c>
      <c r="C5366" s="39" t="s">
        <v>177</v>
      </c>
      <c r="D5366" t="s">
        <v>1596</v>
      </c>
      <c r="F5366" s="56"/>
    </row>
    <row r="5367" spans="1:6" ht="15">
      <c r="A5367" s="51">
        <v>1611063</v>
      </c>
      <c r="B5367" t="s">
        <v>2354</v>
      </c>
      <c r="C5367" s="39" t="s">
        <v>177</v>
      </c>
      <c r="D5367" t="s">
        <v>469</v>
      </c>
      <c r="F5367" s="56"/>
    </row>
    <row r="5368" spans="1:6" ht="15">
      <c r="A5368" s="51">
        <v>1611064</v>
      </c>
      <c r="B5368" t="s">
        <v>3424</v>
      </c>
      <c r="C5368" s="39" t="s">
        <v>177</v>
      </c>
      <c r="D5368" t="s">
        <v>1595</v>
      </c>
      <c r="F5368" s="56"/>
    </row>
    <row r="5369" spans="1:6" ht="15">
      <c r="A5369" s="51">
        <v>293121</v>
      </c>
      <c r="B5369" t="s">
        <v>1513</v>
      </c>
      <c r="C5369" s="39" t="s">
        <v>3425</v>
      </c>
      <c r="D5369">
        <v>9</v>
      </c>
      <c r="F5369" s="56"/>
    </row>
    <row r="5370" spans="1:6" ht="15">
      <c r="A5370" s="51">
        <v>1727626</v>
      </c>
      <c r="B5370" t="s">
        <v>1619</v>
      </c>
      <c r="C5370" s="39" t="s">
        <v>1107</v>
      </c>
      <c r="D5370" t="s">
        <v>4245</v>
      </c>
      <c r="F5370" s="56"/>
    </row>
    <row r="5371" spans="1:6" ht="15">
      <c r="A5371" s="51">
        <v>2512419</v>
      </c>
      <c r="B5371" t="s">
        <v>2357</v>
      </c>
      <c r="C5371" s="39" t="s">
        <v>1107</v>
      </c>
      <c r="D5371" t="s">
        <v>4245</v>
      </c>
      <c r="F5371" s="56"/>
    </row>
    <row r="5372" spans="1:6" ht="15">
      <c r="A5372" s="51">
        <v>1727627</v>
      </c>
      <c r="B5372" t="s">
        <v>2361</v>
      </c>
      <c r="C5372" s="39" t="s">
        <v>3426</v>
      </c>
      <c r="D5372" t="s">
        <v>468</v>
      </c>
      <c r="F5372" s="56"/>
    </row>
    <row r="5373" spans="1:6" ht="15">
      <c r="A5373" s="51">
        <v>2421594</v>
      </c>
      <c r="B5373" t="s">
        <v>3427</v>
      </c>
      <c r="C5373" s="39" t="s">
        <v>3428</v>
      </c>
      <c r="D5373" t="s">
        <v>1596</v>
      </c>
      <c r="F5373" s="56"/>
    </row>
    <row r="5374" spans="1:6" ht="15">
      <c r="A5374" s="51">
        <v>2421595</v>
      </c>
      <c r="B5374" t="s">
        <v>3429</v>
      </c>
      <c r="C5374" s="39" t="s">
        <v>3428</v>
      </c>
      <c r="D5374" t="s">
        <v>471</v>
      </c>
      <c r="F5374" s="56"/>
    </row>
    <row r="5375" spans="1:6" ht="15">
      <c r="A5375" s="51">
        <v>2421596</v>
      </c>
      <c r="B5375" t="s">
        <v>3430</v>
      </c>
      <c r="C5375" s="39" t="s">
        <v>3428</v>
      </c>
      <c r="D5375">
        <v>7</v>
      </c>
      <c r="F5375" s="56"/>
    </row>
    <row r="5376" spans="1:6" ht="15">
      <c r="A5376" s="51">
        <v>2504261</v>
      </c>
      <c r="B5376" t="s">
        <v>3431</v>
      </c>
      <c r="C5376" s="39" t="s">
        <v>983</v>
      </c>
      <c r="D5376" t="s">
        <v>1596</v>
      </c>
      <c r="F5376" s="56"/>
    </row>
    <row r="5377" spans="1:6" ht="15">
      <c r="A5377" s="51">
        <v>2504931</v>
      </c>
      <c r="B5377" t="s">
        <v>3432</v>
      </c>
      <c r="C5377" s="39" t="s">
        <v>983</v>
      </c>
      <c r="D5377" t="s">
        <v>471</v>
      </c>
      <c r="F5377" s="56"/>
    </row>
    <row r="5378" spans="1:6" ht="15">
      <c r="A5378" s="51">
        <v>2504932</v>
      </c>
      <c r="B5378" t="s">
        <v>3433</v>
      </c>
      <c r="C5378" s="39" t="s">
        <v>983</v>
      </c>
      <c r="D5378">
        <v>7</v>
      </c>
      <c r="F5378" s="56"/>
    </row>
    <row r="5379" spans="1:6" ht="15">
      <c r="A5379" s="51">
        <v>2421603</v>
      </c>
      <c r="B5379" t="s">
        <v>3434</v>
      </c>
      <c r="C5379" s="39" t="s">
        <v>999</v>
      </c>
      <c r="D5379" t="s">
        <v>468</v>
      </c>
      <c r="F5379" s="56"/>
    </row>
    <row r="5380" spans="1:6" ht="15">
      <c r="A5380" s="51">
        <v>2421602</v>
      </c>
      <c r="B5380" t="s">
        <v>3435</v>
      </c>
      <c r="C5380" s="39" t="s">
        <v>999</v>
      </c>
      <c r="D5380" t="s">
        <v>469</v>
      </c>
      <c r="F5380" s="56"/>
    </row>
    <row r="5381" spans="1:6" ht="15">
      <c r="A5381" s="51">
        <v>2512745</v>
      </c>
      <c r="B5381" t="s">
        <v>3436</v>
      </c>
      <c r="C5381" s="39" t="s">
        <v>999</v>
      </c>
      <c r="D5381" t="s">
        <v>471</v>
      </c>
      <c r="F5381" s="56"/>
    </row>
    <row r="5382" spans="1:6" ht="15">
      <c r="A5382" s="51">
        <v>2440826</v>
      </c>
      <c r="B5382" t="s">
        <v>3264</v>
      </c>
      <c r="C5382" s="39" t="s">
        <v>1797</v>
      </c>
      <c r="D5382" t="s">
        <v>4246</v>
      </c>
      <c r="F5382" s="56"/>
    </row>
    <row r="5383" spans="1:6" ht="15">
      <c r="A5383" s="51">
        <v>2441148</v>
      </c>
      <c r="B5383" t="s">
        <v>3437</v>
      </c>
      <c r="C5383" s="39" t="s">
        <v>1797</v>
      </c>
      <c r="D5383" t="s">
        <v>4244</v>
      </c>
      <c r="F5383" s="56"/>
    </row>
    <row r="5384" spans="1:6" ht="15">
      <c r="A5384" s="51">
        <v>2482454</v>
      </c>
      <c r="B5384" t="s">
        <v>3438</v>
      </c>
      <c r="C5384" s="39" t="s">
        <v>1797</v>
      </c>
      <c r="D5384">
        <v>7</v>
      </c>
      <c r="F5384" s="56"/>
    </row>
    <row r="5385" spans="1:6" ht="15">
      <c r="A5385" s="51">
        <v>1859776</v>
      </c>
      <c r="B5385" t="s">
        <v>3439</v>
      </c>
      <c r="C5385" s="39" t="s">
        <v>1046</v>
      </c>
      <c r="D5385" t="s">
        <v>469</v>
      </c>
      <c r="F5385" s="56"/>
    </row>
    <row r="5386" spans="1:6" ht="15">
      <c r="A5386" s="51">
        <v>1859777</v>
      </c>
      <c r="B5386" t="s">
        <v>1620</v>
      </c>
      <c r="C5386" s="39" t="s">
        <v>1046</v>
      </c>
      <c r="D5386" t="s">
        <v>469</v>
      </c>
      <c r="F5386" s="56"/>
    </row>
    <row r="5387" spans="1:6" ht="15">
      <c r="A5387" s="51">
        <v>2421593</v>
      </c>
      <c r="B5387" t="s">
        <v>3440</v>
      </c>
      <c r="C5387" s="39" t="s">
        <v>320</v>
      </c>
      <c r="D5387" t="s">
        <v>4243</v>
      </c>
      <c r="F5387" s="56"/>
    </row>
    <row r="5388" spans="1:6" ht="15">
      <c r="A5388" s="51">
        <v>2421605</v>
      </c>
      <c r="B5388" t="s">
        <v>3441</v>
      </c>
      <c r="C5388" s="39" t="s">
        <v>1095</v>
      </c>
      <c r="D5388" t="s">
        <v>469</v>
      </c>
      <c r="F5388" s="56"/>
    </row>
    <row r="5389" spans="1:6" ht="15">
      <c r="A5389" s="51">
        <v>2421604</v>
      </c>
      <c r="B5389" t="s">
        <v>3442</v>
      </c>
      <c r="C5389" s="39" t="s">
        <v>1095</v>
      </c>
      <c r="D5389" t="s">
        <v>469</v>
      </c>
      <c r="F5389" s="56"/>
    </row>
    <row r="5390" spans="1:6" ht="15">
      <c r="A5390" s="51">
        <v>2504924</v>
      </c>
      <c r="B5390" t="s">
        <v>3443</v>
      </c>
      <c r="C5390" s="39" t="s">
        <v>1095</v>
      </c>
      <c r="D5390" t="s">
        <v>469</v>
      </c>
      <c r="F5390" s="56"/>
    </row>
    <row r="5391" spans="1:6" ht="15">
      <c r="A5391" s="51">
        <v>2482597</v>
      </c>
      <c r="B5391" t="s">
        <v>3444</v>
      </c>
      <c r="C5391" s="39" t="s">
        <v>1095</v>
      </c>
      <c r="D5391" t="s">
        <v>471</v>
      </c>
      <c r="F5391" s="56"/>
    </row>
    <row r="5392" spans="1:6" ht="15">
      <c r="A5392" s="51">
        <v>2512427</v>
      </c>
      <c r="B5392" t="s">
        <v>3445</v>
      </c>
      <c r="C5392" s="39" t="s">
        <v>258</v>
      </c>
      <c r="D5392">
        <v>9</v>
      </c>
      <c r="F5392" s="56"/>
    </row>
    <row r="5393" spans="1:6" ht="15">
      <c r="A5393" s="51">
        <v>2512429</v>
      </c>
      <c r="B5393" t="s">
        <v>3446</v>
      </c>
      <c r="C5393" s="39" t="s">
        <v>258</v>
      </c>
      <c r="D5393">
        <v>9</v>
      </c>
      <c r="F5393" s="56"/>
    </row>
    <row r="5394" spans="1:6" ht="15">
      <c r="A5394" s="51">
        <v>1384984</v>
      </c>
      <c r="B5394" t="s">
        <v>2604</v>
      </c>
      <c r="C5394" s="39" t="s">
        <v>3447</v>
      </c>
      <c r="D5394">
        <v>7</v>
      </c>
      <c r="F5394" s="56"/>
    </row>
    <row r="5395" spans="1:6" ht="15">
      <c r="A5395" s="51">
        <v>293891</v>
      </c>
      <c r="B5395" t="s">
        <v>1214</v>
      </c>
      <c r="C5395" s="39" t="s">
        <v>88</v>
      </c>
      <c r="D5395">
        <v>8</v>
      </c>
      <c r="F5395" s="56"/>
    </row>
    <row r="5396" spans="1:6" ht="15">
      <c r="A5396" s="51">
        <v>293892</v>
      </c>
      <c r="B5396" t="s">
        <v>3448</v>
      </c>
      <c r="C5396" s="39" t="s">
        <v>88</v>
      </c>
      <c r="D5396">
        <v>9</v>
      </c>
      <c r="F5396" s="56"/>
    </row>
    <row r="5397" spans="1:6" ht="15">
      <c r="A5397" s="51">
        <v>293893</v>
      </c>
      <c r="B5397" t="s">
        <v>1958</v>
      </c>
      <c r="C5397" s="39" t="s">
        <v>521</v>
      </c>
      <c r="D5397" t="s">
        <v>4248</v>
      </c>
      <c r="F5397" s="56"/>
    </row>
    <row r="5398" spans="1:6" ht="15">
      <c r="A5398" s="51">
        <v>293894</v>
      </c>
      <c r="B5398" t="s">
        <v>1959</v>
      </c>
      <c r="C5398" s="39" t="s">
        <v>521</v>
      </c>
      <c r="D5398" t="s">
        <v>4245</v>
      </c>
      <c r="F5398" s="56"/>
    </row>
    <row r="5399" spans="1:6" ht="15">
      <c r="A5399" s="51">
        <v>293895</v>
      </c>
      <c r="B5399" t="s">
        <v>3449</v>
      </c>
      <c r="C5399" s="39" t="s">
        <v>2513</v>
      </c>
      <c r="D5399">
        <v>7</v>
      </c>
      <c r="F5399" s="56"/>
    </row>
    <row r="5400" spans="1:6" ht="15">
      <c r="A5400" s="51">
        <v>293896</v>
      </c>
      <c r="B5400" t="s">
        <v>3450</v>
      </c>
      <c r="C5400" s="39" t="s">
        <v>2513</v>
      </c>
      <c r="D5400">
        <v>8</v>
      </c>
      <c r="F5400" s="56"/>
    </row>
    <row r="5401" spans="1:6" ht="15">
      <c r="A5401" s="51">
        <v>293897</v>
      </c>
      <c r="B5401" t="s">
        <v>3451</v>
      </c>
      <c r="C5401" s="39" t="s">
        <v>2513</v>
      </c>
      <c r="D5401">
        <v>9</v>
      </c>
      <c r="F5401" s="56"/>
    </row>
    <row r="5402" spans="1:6" ht="15">
      <c r="A5402" s="51">
        <v>293898</v>
      </c>
      <c r="B5402" t="s">
        <v>2518</v>
      </c>
      <c r="C5402" s="39" t="s">
        <v>1622</v>
      </c>
      <c r="D5402" t="s">
        <v>4248</v>
      </c>
      <c r="F5402" s="56"/>
    </row>
    <row r="5403" spans="1:6" ht="15">
      <c r="A5403" s="51">
        <v>293122</v>
      </c>
      <c r="B5403" t="s">
        <v>3177</v>
      </c>
      <c r="C5403" s="39" t="s">
        <v>3425</v>
      </c>
      <c r="D5403">
        <v>9</v>
      </c>
      <c r="F5403" s="56"/>
    </row>
    <row r="5404" spans="1:6" ht="15">
      <c r="A5404" s="51">
        <v>293899</v>
      </c>
      <c r="B5404" t="s">
        <v>1791</v>
      </c>
      <c r="C5404" s="39" t="s">
        <v>1626</v>
      </c>
      <c r="D5404" t="s">
        <v>4245</v>
      </c>
      <c r="F5404" s="56"/>
    </row>
    <row r="5405" spans="1:6" ht="15">
      <c r="A5405" s="51">
        <v>293900</v>
      </c>
      <c r="B5405" t="s">
        <v>2686</v>
      </c>
      <c r="C5405" s="39" t="s">
        <v>3452</v>
      </c>
      <c r="D5405" t="s">
        <v>4247</v>
      </c>
      <c r="F5405" s="56"/>
    </row>
    <row r="5406" spans="1:6" ht="15">
      <c r="A5406" s="51">
        <v>293901</v>
      </c>
      <c r="B5406" t="s">
        <v>2687</v>
      </c>
      <c r="C5406" s="39" t="s">
        <v>3452</v>
      </c>
      <c r="D5406" t="s">
        <v>4243</v>
      </c>
      <c r="F5406" s="56"/>
    </row>
    <row r="5407" spans="1:6" ht="15">
      <c r="A5407" s="51">
        <v>293902</v>
      </c>
      <c r="B5407" t="s">
        <v>338</v>
      </c>
      <c r="C5407" s="39" t="s">
        <v>99</v>
      </c>
      <c r="D5407">
        <v>7</v>
      </c>
      <c r="F5407" s="56"/>
    </row>
    <row r="5408" spans="1:6" ht="15">
      <c r="A5408" s="51">
        <v>1384996</v>
      </c>
      <c r="B5408" t="s">
        <v>98</v>
      </c>
      <c r="C5408" s="39" t="s">
        <v>99</v>
      </c>
      <c r="D5408">
        <v>7</v>
      </c>
      <c r="F5408" s="56"/>
    </row>
    <row r="5409" spans="1:6" ht="15">
      <c r="A5409" s="51">
        <v>293903</v>
      </c>
      <c r="B5409" t="s">
        <v>101</v>
      </c>
      <c r="C5409" s="39" t="s">
        <v>3453</v>
      </c>
      <c r="D5409" t="s">
        <v>4243</v>
      </c>
      <c r="F5409" s="56"/>
    </row>
    <row r="5410" spans="1:6" ht="15">
      <c r="B5410" t="s">
        <v>103</v>
      </c>
      <c r="C5410" s="39" t="s">
        <v>3454</v>
      </c>
      <c r="D5410" t="s">
        <v>4243</v>
      </c>
      <c r="F5410" s="56"/>
    </row>
    <row r="5411" spans="1:6" ht="15">
      <c r="A5411" s="51">
        <v>293905</v>
      </c>
      <c r="B5411" t="s">
        <v>3455</v>
      </c>
      <c r="C5411" s="39" t="s">
        <v>3456</v>
      </c>
      <c r="D5411" t="s">
        <v>4243</v>
      </c>
      <c r="F5411" s="56"/>
    </row>
    <row r="5412" spans="1:6" ht="15">
      <c r="A5412" s="51">
        <v>293906</v>
      </c>
      <c r="B5412" t="s">
        <v>1366</v>
      </c>
      <c r="C5412" s="39" t="s">
        <v>106</v>
      </c>
      <c r="D5412" t="s">
        <v>4245</v>
      </c>
      <c r="F5412" s="56"/>
    </row>
    <row r="5413" spans="1:6" ht="15">
      <c r="A5413" s="51">
        <v>293907</v>
      </c>
      <c r="B5413" t="s">
        <v>341</v>
      </c>
      <c r="C5413" s="39" t="s">
        <v>106</v>
      </c>
      <c r="D5413" t="s">
        <v>4245</v>
      </c>
      <c r="F5413" s="56"/>
    </row>
    <row r="5414" spans="1:6" ht="15">
      <c r="A5414" s="51">
        <v>293908</v>
      </c>
      <c r="B5414" t="s">
        <v>111</v>
      </c>
      <c r="C5414" s="39" t="s">
        <v>1692</v>
      </c>
      <c r="D5414" t="s">
        <v>4246</v>
      </c>
      <c r="F5414" s="56"/>
    </row>
    <row r="5415" spans="1:6" ht="15">
      <c r="A5415" s="51">
        <v>293909</v>
      </c>
      <c r="B5415" t="s">
        <v>112</v>
      </c>
      <c r="C5415" s="39" t="s">
        <v>1692</v>
      </c>
      <c r="D5415" t="s">
        <v>4244</v>
      </c>
      <c r="F5415" s="56"/>
    </row>
    <row r="5416" spans="1:6" ht="15">
      <c r="A5416" s="51">
        <v>293910</v>
      </c>
      <c r="B5416" t="s">
        <v>3457</v>
      </c>
      <c r="C5416" s="39" t="s">
        <v>3458</v>
      </c>
      <c r="D5416">
        <v>9</v>
      </c>
      <c r="F5416" s="56"/>
    </row>
    <row r="5417" spans="1:6" ht="15">
      <c r="A5417" s="51">
        <v>293911</v>
      </c>
      <c r="B5417" t="s">
        <v>3459</v>
      </c>
      <c r="C5417" s="39" t="s">
        <v>3458</v>
      </c>
      <c r="D5417">
        <v>9</v>
      </c>
      <c r="F5417" s="56"/>
    </row>
    <row r="5418" spans="1:6" ht="15">
      <c r="A5418" s="51">
        <v>293912</v>
      </c>
      <c r="B5418" t="s">
        <v>1157</v>
      </c>
      <c r="C5418" s="39" t="s">
        <v>108</v>
      </c>
      <c r="D5418" t="s">
        <v>4245</v>
      </c>
      <c r="F5418" s="56"/>
    </row>
    <row r="5419" spans="1:6" ht="15">
      <c r="A5419" s="51">
        <v>293913</v>
      </c>
      <c r="B5419" t="s">
        <v>110</v>
      </c>
      <c r="C5419" s="39" t="s">
        <v>108</v>
      </c>
      <c r="D5419" t="s">
        <v>4245</v>
      </c>
      <c r="F5419" s="56"/>
    </row>
    <row r="5420" spans="1:6" ht="15">
      <c r="A5420" s="51">
        <v>293914</v>
      </c>
      <c r="B5420" t="s">
        <v>1158</v>
      </c>
      <c r="C5420" s="39" t="s">
        <v>108</v>
      </c>
      <c r="D5420" t="s">
        <v>4244</v>
      </c>
      <c r="F5420" s="56"/>
    </row>
    <row r="5421" spans="1:6" ht="15">
      <c r="A5421" s="51">
        <v>293915</v>
      </c>
      <c r="B5421" t="s">
        <v>350</v>
      </c>
      <c r="C5421" s="39" t="s">
        <v>542</v>
      </c>
      <c r="D5421" t="s">
        <v>4246</v>
      </c>
      <c r="F5421" s="56"/>
    </row>
    <row r="5422" spans="1:6" ht="15">
      <c r="A5422" s="51">
        <v>293916</v>
      </c>
      <c r="B5422" t="s">
        <v>351</v>
      </c>
      <c r="C5422" s="39" t="s">
        <v>542</v>
      </c>
      <c r="D5422" t="s">
        <v>4244</v>
      </c>
      <c r="F5422" s="56"/>
    </row>
    <row r="5423" spans="1:6" ht="15">
      <c r="A5423" s="51">
        <v>293917</v>
      </c>
      <c r="B5423" t="s">
        <v>352</v>
      </c>
      <c r="C5423" s="39" t="s">
        <v>542</v>
      </c>
      <c r="D5423" t="s">
        <v>4243</v>
      </c>
      <c r="F5423" s="56"/>
    </row>
    <row r="5424" spans="1:6" ht="15">
      <c r="A5424" s="51">
        <v>293918</v>
      </c>
      <c r="B5424" t="s">
        <v>356</v>
      </c>
      <c r="C5424" s="39" t="s">
        <v>357</v>
      </c>
      <c r="D5424">
        <v>9</v>
      </c>
      <c r="F5424" s="56"/>
    </row>
    <row r="5425" spans="1:6" ht="15">
      <c r="A5425" s="51">
        <v>293919</v>
      </c>
      <c r="B5425" t="s">
        <v>1018</v>
      </c>
      <c r="C5425" s="39" t="s">
        <v>626</v>
      </c>
      <c r="D5425" t="s">
        <v>4243</v>
      </c>
      <c r="F5425" s="56"/>
    </row>
    <row r="5426" spans="1:6" ht="15">
      <c r="A5426" s="51">
        <v>293920</v>
      </c>
      <c r="B5426" t="s">
        <v>1019</v>
      </c>
      <c r="C5426" s="39" t="s">
        <v>626</v>
      </c>
      <c r="D5426" t="s">
        <v>4243</v>
      </c>
      <c r="F5426" s="56"/>
    </row>
    <row r="5427" spans="1:6" ht="15">
      <c r="A5427" s="51">
        <v>293921</v>
      </c>
      <c r="B5427" t="s">
        <v>3460</v>
      </c>
      <c r="C5427" s="39" t="s">
        <v>626</v>
      </c>
      <c r="D5427">
        <v>9</v>
      </c>
      <c r="F5427" s="56"/>
    </row>
    <row r="5428" spans="1:6" ht="15">
      <c r="A5428" s="51">
        <v>293922</v>
      </c>
      <c r="B5428" t="s">
        <v>3349</v>
      </c>
      <c r="C5428" s="39" t="s">
        <v>132</v>
      </c>
      <c r="D5428">
        <v>7</v>
      </c>
      <c r="F5428" s="56"/>
    </row>
    <row r="5429" spans="1:6" ht="15">
      <c r="A5429" s="51">
        <v>293923</v>
      </c>
      <c r="B5429" t="s">
        <v>3461</v>
      </c>
      <c r="C5429" s="39" t="s">
        <v>1024</v>
      </c>
      <c r="D5429" t="s">
        <v>4243</v>
      </c>
      <c r="F5429" s="56"/>
    </row>
    <row r="5430" spans="1:6" ht="15">
      <c r="A5430" s="51">
        <v>293924</v>
      </c>
      <c r="B5430" t="s">
        <v>372</v>
      </c>
      <c r="C5430" s="39" t="s">
        <v>896</v>
      </c>
      <c r="D5430">
        <v>8</v>
      </c>
      <c r="F5430" s="56"/>
    </row>
    <row r="5431" spans="1:6" ht="15">
      <c r="A5431" s="51">
        <v>293925</v>
      </c>
      <c r="B5431" t="s">
        <v>3462</v>
      </c>
      <c r="C5431" s="39" t="s">
        <v>3463</v>
      </c>
      <c r="D5431">
        <v>9</v>
      </c>
      <c r="F5431" s="56"/>
    </row>
    <row r="5432" spans="1:6" ht="15">
      <c r="A5432" s="51">
        <v>293926</v>
      </c>
      <c r="B5432" t="s">
        <v>3464</v>
      </c>
      <c r="C5432" s="39" t="s">
        <v>2830</v>
      </c>
      <c r="D5432">
        <v>7</v>
      </c>
      <c r="F5432" s="56"/>
    </row>
    <row r="5433" spans="1:6" ht="15">
      <c r="A5433" s="51">
        <v>293927</v>
      </c>
      <c r="B5433" t="s">
        <v>3465</v>
      </c>
      <c r="C5433" s="39" t="s">
        <v>2830</v>
      </c>
      <c r="D5433">
        <v>8</v>
      </c>
      <c r="F5433" s="56"/>
    </row>
    <row r="5434" spans="1:6" ht="15">
      <c r="A5434" s="51">
        <v>293928</v>
      </c>
      <c r="B5434" t="s">
        <v>376</v>
      </c>
      <c r="C5434" s="39" t="s">
        <v>1538</v>
      </c>
      <c r="D5434" t="s">
        <v>4246</v>
      </c>
      <c r="F5434" s="56"/>
    </row>
    <row r="5435" spans="1:6" ht="15">
      <c r="A5435" s="51">
        <v>293929</v>
      </c>
      <c r="B5435" t="s">
        <v>377</v>
      </c>
      <c r="C5435" s="39" t="s">
        <v>1538</v>
      </c>
      <c r="D5435" t="s">
        <v>4247</v>
      </c>
      <c r="F5435" s="56"/>
    </row>
    <row r="5436" spans="1:6" ht="15">
      <c r="A5436" s="51">
        <v>293930</v>
      </c>
      <c r="B5436" t="s">
        <v>378</v>
      </c>
      <c r="C5436" s="39" t="s">
        <v>1538</v>
      </c>
      <c r="D5436" t="s">
        <v>4243</v>
      </c>
      <c r="F5436" s="56"/>
    </row>
    <row r="5437" spans="1:6" ht="15">
      <c r="A5437" s="51">
        <v>293931</v>
      </c>
      <c r="B5437" t="s">
        <v>1216</v>
      </c>
      <c r="C5437" s="39" t="s">
        <v>1538</v>
      </c>
      <c r="D5437">
        <v>7</v>
      </c>
      <c r="F5437" s="56"/>
    </row>
    <row r="5438" spans="1:6" ht="15">
      <c r="A5438" s="51">
        <v>293932</v>
      </c>
      <c r="B5438" t="s">
        <v>854</v>
      </c>
      <c r="C5438" s="39" t="s">
        <v>390</v>
      </c>
      <c r="D5438" t="s">
        <v>4247</v>
      </c>
      <c r="F5438" s="56"/>
    </row>
    <row r="5439" spans="1:6" ht="15">
      <c r="A5439" s="51">
        <v>293933</v>
      </c>
      <c r="B5439" t="s">
        <v>855</v>
      </c>
      <c r="C5439" s="39" t="s">
        <v>390</v>
      </c>
      <c r="D5439" t="s">
        <v>4243</v>
      </c>
      <c r="F5439" s="56"/>
    </row>
    <row r="5440" spans="1:6" ht="15">
      <c r="A5440" s="51">
        <v>293934</v>
      </c>
      <c r="B5440" t="s">
        <v>393</v>
      </c>
      <c r="C5440" s="39" t="s">
        <v>394</v>
      </c>
      <c r="D5440">
        <v>7</v>
      </c>
      <c r="F5440" s="56"/>
    </row>
    <row r="5441" spans="1:6" ht="15">
      <c r="A5441" s="51">
        <v>1384997</v>
      </c>
      <c r="B5441" t="s">
        <v>1070</v>
      </c>
      <c r="C5441" s="39" t="s">
        <v>394</v>
      </c>
      <c r="D5441">
        <v>7</v>
      </c>
      <c r="F5441" s="56"/>
    </row>
    <row r="5442" spans="1:6" ht="15">
      <c r="A5442" s="51">
        <v>293935</v>
      </c>
      <c r="B5442" t="s">
        <v>1186</v>
      </c>
      <c r="C5442" s="39" t="s">
        <v>192</v>
      </c>
      <c r="D5442" t="s">
        <v>4247</v>
      </c>
      <c r="F5442" s="56"/>
    </row>
    <row r="5443" spans="1:6" ht="15">
      <c r="A5443" s="51">
        <v>293936</v>
      </c>
      <c r="B5443" t="s">
        <v>1187</v>
      </c>
      <c r="C5443" s="39" t="s">
        <v>192</v>
      </c>
      <c r="D5443" t="s">
        <v>4243</v>
      </c>
      <c r="F5443" s="56"/>
    </row>
    <row r="5444" spans="1:6" ht="15">
      <c r="A5444" s="51">
        <v>293937</v>
      </c>
      <c r="B5444" t="s">
        <v>1188</v>
      </c>
      <c r="C5444" s="39" t="s">
        <v>192</v>
      </c>
      <c r="D5444">
        <v>7</v>
      </c>
      <c r="F5444" s="56"/>
    </row>
    <row r="5445" spans="1:6" ht="15">
      <c r="A5445" s="51">
        <v>293938</v>
      </c>
      <c r="B5445" t="s">
        <v>3466</v>
      </c>
      <c r="C5445" s="39" t="s">
        <v>192</v>
      </c>
      <c r="D5445">
        <v>8</v>
      </c>
      <c r="F5445" s="56"/>
    </row>
    <row r="5446" spans="1:6" ht="15">
      <c r="A5446" s="51">
        <v>1385007</v>
      </c>
      <c r="B5446" t="s">
        <v>872</v>
      </c>
      <c r="C5446" s="39" t="s">
        <v>3467</v>
      </c>
      <c r="D5446" t="s">
        <v>4243</v>
      </c>
      <c r="F5446" s="56"/>
    </row>
    <row r="5447" spans="1:6" ht="15">
      <c r="A5447" s="51">
        <v>293939</v>
      </c>
      <c r="B5447" t="s">
        <v>3468</v>
      </c>
      <c r="C5447" s="39" t="s">
        <v>402</v>
      </c>
      <c r="D5447" t="s">
        <v>4245</v>
      </c>
      <c r="F5447" s="56"/>
    </row>
    <row r="5448" spans="1:6" ht="15">
      <c r="A5448" s="51">
        <v>293940</v>
      </c>
      <c r="B5448" t="s">
        <v>2634</v>
      </c>
      <c r="C5448" s="39" t="s">
        <v>405</v>
      </c>
      <c r="D5448">
        <v>8</v>
      </c>
      <c r="F5448" s="56"/>
    </row>
    <row r="5449" spans="1:6" ht="15">
      <c r="A5449" s="51">
        <v>293947</v>
      </c>
      <c r="B5449" t="s">
        <v>1571</v>
      </c>
      <c r="C5449" s="39" t="s">
        <v>696</v>
      </c>
      <c r="D5449" t="s">
        <v>4243</v>
      </c>
      <c r="F5449" s="56"/>
    </row>
    <row r="5450" spans="1:6" ht="15">
      <c r="A5450" s="51">
        <v>293948</v>
      </c>
      <c r="B5450" t="s">
        <v>1191</v>
      </c>
      <c r="C5450" s="39" t="s">
        <v>3469</v>
      </c>
      <c r="D5450" t="s">
        <v>4243</v>
      </c>
      <c r="F5450" s="56"/>
    </row>
    <row r="5451" spans="1:6" ht="15">
      <c r="A5451" s="51">
        <v>293941</v>
      </c>
      <c r="B5451" t="s">
        <v>3470</v>
      </c>
      <c r="C5451" s="39" t="s">
        <v>3471</v>
      </c>
      <c r="D5451" t="s">
        <v>4244</v>
      </c>
      <c r="F5451" s="56"/>
    </row>
    <row r="5452" spans="1:6" ht="15">
      <c r="A5452" s="51">
        <v>293942</v>
      </c>
      <c r="B5452" t="s">
        <v>3472</v>
      </c>
      <c r="C5452" s="39" t="s">
        <v>3471</v>
      </c>
      <c r="D5452" t="s">
        <v>4244</v>
      </c>
      <c r="F5452" s="56"/>
    </row>
    <row r="5453" spans="1:6" ht="15">
      <c r="A5453" s="51">
        <v>1385003</v>
      </c>
      <c r="B5453" t="s">
        <v>3473</v>
      </c>
      <c r="C5453" s="39" t="s">
        <v>3474</v>
      </c>
      <c r="D5453">
        <v>7</v>
      </c>
      <c r="F5453" s="56"/>
    </row>
    <row r="5454" spans="1:6" ht="15">
      <c r="A5454" s="51">
        <v>293943</v>
      </c>
      <c r="B5454" t="s">
        <v>3364</v>
      </c>
      <c r="C5454" s="39" t="s">
        <v>3193</v>
      </c>
      <c r="D5454" t="s">
        <v>4244</v>
      </c>
      <c r="F5454" s="56"/>
    </row>
    <row r="5455" spans="1:6" ht="15">
      <c r="A5455" s="51">
        <v>293944</v>
      </c>
      <c r="B5455" t="s">
        <v>3365</v>
      </c>
      <c r="C5455" s="39" t="s">
        <v>3193</v>
      </c>
      <c r="D5455" t="s">
        <v>4243</v>
      </c>
      <c r="F5455" s="56"/>
    </row>
    <row r="5456" spans="1:6" ht="15">
      <c r="A5456" s="51">
        <v>293945</v>
      </c>
      <c r="B5456" t="s">
        <v>3475</v>
      </c>
      <c r="C5456" s="39" t="s">
        <v>3193</v>
      </c>
      <c r="D5456">
        <v>8</v>
      </c>
      <c r="F5456" s="56"/>
    </row>
    <row r="5457" spans="1:6" ht="15">
      <c r="A5457" s="51">
        <v>293946</v>
      </c>
      <c r="B5457" t="s">
        <v>3476</v>
      </c>
      <c r="C5457" s="39" t="s">
        <v>3477</v>
      </c>
      <c r="D5457">
        <v>8</v>
      </c>
      <c r="F5457" s="56"/>
    </row>
    <row r="5458" spans="1:6" ht="15">
      <c r="B5458" t="s">
        <v>223</v>
      </c>
      <c r="C5458" s="39" t="s">
        <v>696</v>
      </c>
      <c r="D5458" t="s">
        <v>4249</v>
      </c>
      <c r="F5458" s="56"/>
    </row>
    <row r="5459" spans="1:6" ht="15">
      <c r="A5459" s="51">
        <v>293949</v>
      </c>
      <c r="B5459" t="s">
        <v>967</v>
      </c>
      <c r="C5459" s="39" t="s">
        <v>228</v>
      </c>
      <c r="D5459">
        <v>9</v>
      </c>
      <c r="F5459" s="56"/>
    </row>
    <row r="5460" spans="1:6" ht="15">
      <c r="A5460" s="51">
        <v>1385013</v>
      </c>
      <c r="B5460" t="s">
        <v>421</v>
      </c>
      <c r="C5460" s="39" t="s">
        <v>3478</v>
      </c>
      <c r="D5460" t="s">
        <v>4243</v>
      </c>
      <c r="F5460" s="56"/>
    </row>
    <row r="5461" spans="1:6" ht="15">
      <c r="A5461" s="51">
        <v>293950</v>
      </c>
      <c r="B5461" t="s">
        <v>1475</v>
      </c>
      <c r="C5461" s="39" t="s">
        <v>2041</v>
      </c>
      <c r="D5461" t="s">
        <v>4245</v>
      </c>
      <c r="F5461" s="56"/>
    </row>
    <row r="5462" spans="1:6" ht="15">
      <c r="A5462" s="51">
        <v>293951</v>
      </c>
      <c r="B5462" t="s">
        <v>1476</v>
      </c>
      <c r="C5462" s="39" t="s">
        <v>2041</v>
      </c>
      <c r="D5462" t="s">
        <v>4244</v>
      </c>
      <c r="F5462" s="56"/>
    </row>
    <row r="5463" spans="1:6" ht="15">
      <c r="A5463" s="51">
        <v>293952</v>
      </c>
      <c r="B5463" t="s">
        <v>1577</v>
      </c>
      <c r="C5463" s="39" t="s">
        <v>2041</v>
      </c>
      <c r="D5463" t="s">
        <v>4243</v>
      </c>
      <c r="F5463" s="56"/>
    </row>
    <row r="5464" spans="1:6" ht="15">
      <c r="A5464" s="51">
        <v>293953</v>
      </c>
      <c r="B5464" t="s">
        <v>1845</v>
      </c>
      <c r="C5464" s="39" t="s">
        <v>1846</v>
      </c>
      <c r="D5464">
        <v>9</v>
      </c>
      <c r="F5464" s="56"/>
    </row>
    <row r="5465" spans="1:6" ht="15">
      <c r="A5465" s="51">
        <v>293954</v>
      </c>
      <c r="B5465" t="s">
        <v>230</v>
      </c>
      <c r="C5465" s="39" t="s">
        <v>231</v>
      </c>
      <c r="D5465" t="s">
        <v>4244</v>
      </c>
      <c r="F5465" s="56"/>
    </row>
    <row r="5466" spans="1:6" ht="15">
      <c r="A5466" s="51">
        <v>293955</v>
      </c>
      <c r="B5466" t="s">
        <v>2640</v>
      </c>
      <c r="C5466" s="39" t="s">
        <v>235</v>
      </c>
      <c r="D5466" t="s">
        <v>4244</v>
      </c>
      <c r="F5466" s="56"/>
    </row>
    <row r="5467" spans="1:6" ht="15">
      <c r="A5467" s="51">
        <v>293956</v>
      </c>
      <c r="B5467" t="s">
        <v>2237</v>
      </c>
      <c r="C5467" s="39" t="s">
        <v>235</v>
      </c>
      <c r="D5467" t="s">
        <v>4244</v>
      </c>
      <c r="F5467" s="56"/>
    </row>
    <row r="5468" spans="1:6" ht="15">
      <c r="A5468" s="51">
        <v>293957</v>
      </c>
      <c r="B5468" t="s">
        <v>234</v>
      </c>
      <c r="C5468" s="39" t="s">
        <v>238</v>
      </c>
      <c r="D5468" t="s">
        <v>4246</v>
      </c>
      <c r="F5468" s="56"/>
    </row>
    <row r="5469" spans="1:6" ht="15">
      <c r="A5469" s="51">
        <v>293958</v>
      </c>
      <c r="B5469" t="s">
        <v>236</v>
      </c>
      <c r="C5469" s="39" t="s">
        <v>238</v>
      </c>
      <c r="D5469" t="s">
        <v>4247</v>
      </c>
      <c r="F5469" s="56"/>
    </row>
    <row r="5470" spans="1:6" ht="15">
      <c r="A5470" s="51">
        <v>293959</v>
      </c>
      <c r="B5470" t="s">
        <v>1260</v>
      </c>
      <c r="C5470" s="39" t="s">
        <v>238</v>
      </c>
      <c r="D5470" t="s">
        <v>4243</v>
      </c>
      <c r="F5470" s="56"/>
    </row>
    <row r="5471" spans="1:6" ht="15">
      <c r="A5471" s="51">
        <v>293960</v>
      </c>
      <c r="B5471" t="s">
        <v>1682</v>
      </c>
      <c r="C5471" s="39" t="s">
        <v>238</v>
      </c>
      <c r="D5471">
        <v>7</v>
      </c>
      <c r="F5471" s="56"/>
    </row>
    <row r="5472" spans="1:6" ht="15">
      <c r="A5472" s="51">
        <v>293961</v>
      </c>
      <c r="B5472" t="s">
        <v>3479</v>
      </c>
      <c r="C5472" s="39" t="s">
        <v>507</v>
      </c>
      <c r="D5472">
        <v>9</v>
      </c>
      <c r="F5472" s="56"/>
    </row>
    <row r="5473" spans="1:6" ht="15">
      <c r="A5473" s="51">
        <v>293962</v>
      </c>
      <c r="B5473" t="s">
        <v>3480</v>
      </c>
      <c r="C5473" s="39" t="s">
        <v>507</v>
      </c>
      <c r="D5473">
        <v>9</v>
      </c>
      <c r="F5473" s="56"/>
    </row>
    <row r="5474" spans="1:6" ht="15">
      <c r="A5474" s="51">
        <v>293963</v>
      </c>
      <c r="B5474" t="s">
        <v>3481</v>
      </c>
      <c r="C5474" s="39" t="s">
        <v>507</v>
      </c>
      <c r="D5474">
        <v>9</v>
      </c>
      <c r="F5474" s="56"/>
    </row>
    <row r="5475" spans="1:6" ht="15">
      <c r="A5475" s="51">
        <v>293964</v>
      </c>
      <c r="B5475" t="s">
        <v>3482</v>
      </c>
      <c r="C5475" s="39" t="s">
        <v>2869</v>
      </c>
      <c r="D5475">
        <v>9</v>
      </c>
      <c r="F5475" s="56"/>
    </row>
    <row r="5476" spans="1:6" ht="15">
      <c r="A5476" s="51">
        <v>293965</v>
      </c>
      <c r="B5476" t="s">
        <v>3483</v>
      </c>
      <c r="C5476" s="39" t="s">
        <v>2869</v>
      </c>
      <c r="D5476">
        <v>9</v>
      </c>
      <c r="F5476" s="56"/>
    </row>
    <row r="5477" spans="1:6" ht="15">
      <c r="A5477" s="51">
        <v>293966</v>
      </c>
      <c r="B5477" t="s">
        <v>3484</v>
      </c>
      <c r="C5477" s="39" t="s">
        <v>3485</v>
      </c>
      <c r="D5477">
        <v>9</v>
      </c>
      <c r="F5477" s="56"/>
    </row>
    <row r="5478" spans="1:6" ht="15">
      <c r="A5478" s="51">
        <v>293967</v>
      </c>
      <c r="B5478" t="s">
        <v>3486</v>
      </c>
      <c r="C5478" s="39" t="s">
        <v>3485</v>
      </c>
      <c r="D5478">
        <v>9</v>
      </c>
      <c r="F5478" s="56"/>
    </row>
    <row r="5479" spans="1:6" ht="15">
      <c r="A5479" s="51">
        <v>293968</v>
      </c>
      <c r="B5479" t="s">
        <v>3487</v>
      </c>
      <c r="C5479" s="39" t="s">
        <v>3485</v>
      </c>
      <c r="D5479">
        <v>9</v>
      </c>
      <c r="F5479" s="56"/>
    </row>
    <row r="5480" spans="1:6" ht="15">
      <c r="A5480" s="51">
        <v>293969</v>
      </c>
      <c r="B5480" t="s">
        <v>3488</v>
      </c>
      <c r="C5480" s="39" t="s">
        <v>3489</v>
      </c>
      <c r="D5480">
        <v>9</v>
      </c>
      <c r="F5480" s="56"/>
    </row>
    <row r="5481" spans="1:6" ht="15">
      <c r="A5481" s="51">
        <v>293970</v>
      </c>
      <c r="B5481" t="s">
        <v>3490</v>
      </c>
      <c r="C5481" s="39" t="s">
        <v>3489</v>
      </c>
      <c r="D5481">
        <v>9</v>
      </c>
      <c r="F5481" s="56"/>
    </row>
    <row r="5482" spans="1:6" ht="15">
      <c r="A5482" s="51">
        <v>293971</v>
      </c>
      <c r="B5482" t="s">
        <v>3491</v>
      </c>
      <c r="C5482" s="39" t="s">
        <v>3489</v>
      </c>
      <c r="D5482">
        <v>9</v>
      </c>
      <c r="F5482" s="56"/>
    </row>
    <row r="5483" spans="1:6" ht="15">
      <c r="A5483" s="51">
        <v>293972</v>
      </c>
      <c r="B5483" t="s">
        <v>1485</v>
      </c>
      <c r="C5483" s="39" t="s">
        <v>2251</v>
      </c>
      <c r="D5483">
        <v>8</v>
      </c>
      <c r="F5483" s="56"/>
    </row>
    <row r="5484" spans="1:6" ht="15">
      <c r="A5484" s="51">
        <v>293973</v>
      </c>
      <c r="B5484" t="s">
        <v>242</v>
      </c>
      <c r="C5484" s="39" t="s">
        <v>243</v>
      </c>
      <c r="D5484" t="s">
        <v>4245</v>
      </c>
      <c r="F5484" s="56"/>
    </row>
    <row r="5485" spans="1:6" ht="15">
      <c r="A5485" s="51">
        <v>293974</v>
      </c>
      <c r="B5485" t="s">
        <v>245</v>
      </c>
      <c r="C5485" s="39" t="s">
        <v>243</v>
      </c>
      <c r="D5485" t="s">
        <v>4247</v>
      </c>
      <c r="F5485" s="56"/>
    </row>
    <row r="5486" spans="1:6" ht="15">
      <c r="A5486" s="51">
        <v>293975</v>
      </c>
      <c r="B5486" t="s">
        <v>1778</v>
      </c>
      <c r="C5486" s="39" t="s">
        <v>3492</v>
      </c>
      <c r="D5486" t="s">
        <v>4244</v>
      </c>
      <c r="F5486" s="56"/>
    </row>
    <row r="5487" spans="1:6" ht="15">
      <c r="A5487" s="51">
        <v>293976</v>
      </c>
      <c r="B5487" t="s">
        <v>1500</v>
      </c>
      <c r="C5487" s="39" t="s">
        <v>3493</v>
      </c>
      <c r="D5487" t="s">
        <v>4246</v>
      </c>
      <c r="F5487" s="56"/>
    </row>
    <row r="5488" spans="1:6" ht="15">
      <c r="A5488" s="51">
        <v>293977</v>
      </c>
      <c r="B5488" t="s">
        <v>3494</v>
      </c>
      <c r="C5488" s="39" t="s">
        <v>3493</v>
      </c>
      <c r="D5488" t="s">
        <v>4244</v>
      </c>
      <c r="F5488" s="56"/>
    </row>
    <row r="5489" spans="1:6" ht="15">
      <c r="A5489" s="51">
        <v>293978</v>
      </c>
      <c r="B5489" t="s">
        <v>3495</v>
      </c>
      <c r="C5489" s="39" t="s">
        <v>3493</v>
      </c>
      <c r="D5489">
        <v>7</v>
      </c>
      <c r="F5489" s="56"/>
    </row>
    <row r="5490" spans="1:6" ht="15">
      <c r="A5490" s="51">
        <v>293979</v>
      </c>
      <c r="B5490" t="s">
        <v>3496</v>
      </c>
      <c r="C5490" s="39" t="s">
        <v>3497</v>
      </c>
      <c r="D5490">
        <v>8</v>
      </c>
      <c r="F5490" s="56"/>
    </row>
    <row r="5491" spans="1:6" ht="15">
      <c r="A5491" s="51">
        <v>293980</v>
      </c>
      <c r="B5491" t="s">
        <v>3498</v>
      </c>
      <c r="C5491" s="39" t="s">
        <v>3497</v>
      </c>
      <c r="D5491">
        <v>8</v>
      </c>
      <c r="F5491" s="56"/>
    </row>
    <row r="5492" spans="1:6" ht="15">
      <c r="A5492" s="51">
        <v>293981</v>
      </c>
      <c r="B5492" t="s">
        <v>3499</v>
      </c>
      <c r="C5492" s="39" t="s">
        <v>3497</v>
      </c>
      <c r="D5492">
        <v>9</v>
      </c>
      <c r="F5492" s="56"/>
    </row>
    <row r="5493" spans="1:6" ht="15">
      <c r="A5493" s="51">
        <v>293982</v>
      </c>
      <c r="B5493" t="s">
        <v>882</v>
      </c>
      <c r="C5493" s="39" t="s">
        <v>437</v>
      </c>
      <c r="D5493" t="s">
        <v>4248</v>
      </c>
      <c r="F5493" s="56"/>
    </row>
    <row r="5494" spans="1:6" ht="15">
      <c r="A5494" s="51">
        <v>293983</v>
      </c>
      <c r="B5494" t="s">
        <v>3500</v>
      </c>
      <c r="C5494" s="39" t="s">
        <v>1264</v>
      </c>
      <c r="D5494">
        <v>9</v>
      </c>
      <c r="F5494" s="56"/>
    </row>
    <row r="5495" spans="1:6" ht="15">
      <c r="A5495" s="51">
        <v>293984</v>
      </c>
      <c r="B5495" t="s">
        <v>3501</v>
      </c>
      <c r="C5495" s="39" t="s">
        <v>258</v>
      </c>
      <c r="D5495">
        <v>9</v>
      </c>
      <c r="F5495" s="56"/>
    </row>
    <row r="5496" spans="1:6" ht="15">
      <c r="A5496" s="51">
        <v>293985</v>
      </c>
      <c r="B5496" t="s">
        <v>262</v>
      </c>
      <c r="C5496" s="39" t="s">
        <v>261</v>
      </c>
      <c r="D5496" t="s">
        <v>4245</v>
      </c>
      <c r="F5496" s="56"/>
    </row>
    <row r="5497" spans="1:6" ht="15">
      <c r="A5497" s="51">
        <v>293986</v>
      </c>
      <c r="B5497" t="s">
        <v>447</v>
      </c>
      <c r="C5497" s="39" t="s">
        <v>261</v>
      </c>
      <c r="D5497" t="s">
        <v>4244</v>
      </c>
      <c r="F5497" s="56"/>
    </row>
    <row r="5498" spans="1:6" ht="15">
      <c r="A5498" s="51">
        <v>293987</v>
      </c>
      <c r="B5498" t="s">
        <v>449</v>
      </c>
      <c r="C5498" s="39" t="s">
        <v>450</v>
      </c>
      <c r="D5498">
        <v>9</v>
      </c>
      <c r="F5498" s="56"/>
    </row>
    <row r="5499" spans="1:6" ht="15">
      <c r="A5499" s="51">
        <v>293989</v>
      </c>
      <c r="B5499" t="s">
        <v>455</v>
      </c>
      <c r="C5499" s="39" t="s">
        <v>2907</v>
      </c>
      <c r="D5499">
        <v>8</v>
      </c>
      <c r="F5499" s="56"/>
    </row>
    <row r="5500" spans="1:6" ht="15">
      <c r="A5500" s="51">
        <v>293990</v>
      </c>
      <c r="B5500" t="s">
        <v>887</v>
      </c>
      <c r="C5500" s="39" t="s">
        <v>283</v>
      </c>
      <c r="D5500">
        <v>8</v>
      </c>
      <c r="F5500" s="56"/>
    </row>
    <row r="5501" spans="1:6" ht="15">
      <c r="A5501" s="51">
        <v>1385008</v>
      </c>
      <c r="B5501" t="s">
        <v>1516</v>
      </c>
      <c r="C5501" s="39" t="s">
        <v>3502</v>
      </c>
      <c r="D5501" t="s">
        <v>4243</v>
      </c>
      <c r="F5501" s="56"/>
    </row>
    <row r="5502" spans="1:6" ht="15">
      <c r="A5502" s="51">
        <v>293991</v>
      </c>
      <c r="B5502" t="s">
        <v>3503</v>
      </c>
      <c r="C5502" s="39" t="s">
        <v>3504</v>
      </c>
      <c r="D5502" t="s">
        <v>4247</v>
      </c>
      <c r="F5502" s="56"/>
    </row>
    <row r="5503" spans="1:6" ht="15">
      <c r="A5503" s="51">
        <v>293992</v>
      </c>
      <c r="B5503" t="s">
        <v>3505</v>
      </c>
      <c r="C5503" s="39" t="s">
        <v>3504</v>
      </c>
      <c r="D5503" t="s">
        <v>4243</v>
      </c>
      <c r="F5503" s="56"/>
    </row>
    <row r="5504" spans="1:6" ht="15">
      <c r="A5504" s="51">
        <v>293994</v>
      </c>
      <c r="B5504" t="s">
        <v>1143</v>
      </c>
      <c r="C5504" s="39" t="s">
        <v>971</v>
      </c>
      <c r="D5504" t="s">
        <v>4246</v>
      </c>
      <c r="F5504" s="56"/>
    </row>
    <row r="5505" spans="1:6" ht="15">
      <c r="A5505" s="51">
        <v>293995</v>
      </c>
      <c r="B5505" t="s">
        <v>319</v>
      </c>
      <c r="C5505" s="39" t="s">
        <v>1352</v>
      </c>
      <c r="D5505" t="s">
        <v>469</v>
      </c>
      <c r="F5505" s="56"/>
    </row>
    <row r="5506" spans="1:6" ht="15">
      <c r="A5506" s="51">
        <v>293996</v>
      </c>
      <c r="B5506" t="s">
        <v>321</v>
      </c>
      <c r="C5506" s="39" t="s">
        <v>1352</v>
      </c>
      <c r="D5506" t="s">
        <v>469</v>
      </c>
      <c r="F5506" s="56"/>
    </row>
    <row r="5507" spans="1:6" ht="15">
      <c r="A5507" s="51">
        <v>293997</v>
      </c>
      <c r="B5507" t="s">
        <v>975</v>
      </c>
      <c r="C5507" s="39" t="s">
        <v>536</v>
      </c>
      <c r="D5507" t="s">
        <v>4246</v>
      </c>
      <c r="F5507" s="56"/>
    </row>
    <row r="5508" spans="1:6" ht="15">
      <c r="A5508" s="51">
        <v>293998</v>
      </c>
      <c r="B5508" t="s">
        <v>323</v>
      </c>
      <c r="C5508" s="39" t="s">
        <v>536</v>
      </c>
      <c r="D5508" t="s">
        <v>4247</v>
      </c>
      <c r="F5508" s="56"/>
    </row>
    <row r="5509" spans="1:6" ht="15">
      <c r="A5509" s="51">
        <v>293999</v>
      </c>
      <c r="B5509" t="s">
        <v>2453</v>
      </c>
      <c r="C5509" s="39" t="s">
        <v>3506</v>
      </c>
      <c r="D5509" t="s">
        <v>4243</v>
      </c>
      <c r="F5509" s="56"/>
    </row>
    <row r="5510" spans="1:6" ht="15">
      <c r="A5510" s="51">
        <v>294000</v>
      </c>
      <c r="B5510" t="s">
        <v>2518</v>
      </c>
      <c r="C5510" s="39" t="s">
        <v>3507</v>
      </c>
      <c r="D5510">
        <v>7</v>
      </c>
      <c r="F5510" s="56"/>
    </row>
    <row r="5511" spans="1:6" ht="15">
      <c r="A5511" s="51">
        <v>1407917</v>
      </c>
      <c r="B5511" t="s">
        <v>1623</v>
      </c>
      <c r="C5511" s="39" t="s">
        <v>2458</v>
      </c>
      <c r="D5511" t="s">
        <v>4243</v>
      </c>
      <c r="F5511" s="56"/>
    </row>
    <row r="5512" spans="1:6" ht="15">
      <c r="A5512" s="51">
        <v>294001</v>
      </c>
      <c r="B5512" t="s">
        <v>2688</v>
      </c>
      <c r="C5512" s="39" t="s">
        <v>1363</v>
      </c>
      <c r="D5512" t="s">
        <v>4245</v>
      </c>
      <c r="F5512" s="56"/>
    </row>
    <row r="5513" spans="1:6" ht="15">
      <c r="A5513" s="51">
        <v>294002</v>
      </c>
      <c r="B5513" t="s">
        <v>1967</v>
      </c>
      <c r="C5513" s="39" t="s">
        <v>1363</v>
      </c>
      <c r="D5513" t="s">
        <v>4245</v>
      </c>
      <c r="F5513" s="56"/>
    </row>
    <row r="5514" spans="1:6" ht="15">
      <c r="A5514" s="51">
        <v>294003</v>
      </c>
      <c r="B5514" t="s">
        <v>1145</v>
      </c>
      <c r="C5514" s="39" t="s">
        <v>1796</v>
      </c>
      <c r="D5514" t="s">
        <v>4244</v>
      </c>
      <c r="F5514" s="56"/>
    </row>
    <row r="5515" spans="1:6" ht="15">
      <c r="A5515" s="51">
        <v>294004</v>
      </c>
      <c r="B5515" t="s">
        <v>1146</v>
      </c>
      <c r="C5515" s="39" t="s">
        <v>1796</v>
      </c>
      <c r="D5515" t="s">
        <v>4244</v>
      </c>
      <c r="F5515" s="56"/>
    </row>
    <row r="5516" spans="1:6" ht="15">
      <c r="A5516" s="51">
        <v>294005</v>
      </c>
      <c r="B5516" t="s">
        <v>1361</v>
      </c>
      <c r="C5516" s="39" t="s">
        <v>1796</v>
      </c>
      <c r="D5516" t="s">
        <v>4243</v>
      </c>
      <c r="F5516" s="56"/>
    </row>
    <row r="5517" spans="1:6" ht="15">
      <c r="A5517" s="51">
        <v>294006</v>
      </c>
      <c r="B5517" t="s">
        <v>338</v>
      </c>
      <c r="C5517" s="39" t="s">
        <v>99</v>
      </c>
      <c r="D5517">
        <v>7</v>
      </c>
      <c r="F5517" s="56"/>
    </row>
    <row r="5518" spans="1:6" ht="15">
      <c r="A5518" s="51">
        <v>294007</v>
      </c>
      <c r="B5518" t="s">
        <v>98</v>
      </c>
      <c r="C5518" s="39" t="s">
        <v>104</v>
      </c>
      <c r="D5518" t="s">
        <v>4243</v>
      </c>
      <c r="F5518" s="56"/>
    </row>
    <row r="5519" spans="1:6" ht="15">
      <c r="A5519" s="51">
        <v>294008</v>
      </c>
      <c r="B5519" t="s">
        <v>2809</v>
      </c>
      <c r="C5519" s="39" t="s">
        <v>1797</v>
      </c>
      <c r="D5519" t="s">
        <v>4246</v>
      </c>
      <c r="F5519" s="56"/>
    </row>
    <row r="5520" spans="1:6" ht="15">
      <c r="A5520" s="51">
        <v>294009</v>
      </c>
      <c r="B5520" t="s">
        <v>339</v>
      </c>
      <c r="C5520" s="39" t="s">
        <v>999</v>
      </c>
      <c r="D5520" t="s">
        <v>468</v>
      </c>
      <c r="F5520" s="56"/>
    </row>
    <row r="5521" spans="1:6" ht="15">
      <c r="A5521" s="51">
        <v>294010</v>
      </c>
      <c r="B5521" t="s">
        <v>340</v>
      </c>
      <c r="C5521" s="39" t="s">
        <v>999</v>
      </c>
      <c r="D5521" t="s">
        <v>468</v>
      </c>
      <c r="F5521" s="56"/>
    </row>
    <row r="5522" spans="1:6" ht="15">
      <c r="A5522" s="51">
        <v>294012</v>
      </c>
      <c r="B5522" t="s">
        <v>105</v>
      </c>
      <c r="C5522" s="39" t="s">
        <v>999</v>
      </c>
      <c r="D5522" t="s">
        <v>1596</v>
      </c>
      <c r="F5522" s="56"/>
    </row>
    <row r="5523" spans="1:6" ht="15">
      <c r="A5523" s="51">
        <v>294013</v>
      </c>
      <c r="B5523" t="s">
        <v>107</v>
      </c>
      <c r="C5523" s="39" t="s">
        <v>999</v>
      </c>
      <c r="D5523" t="s">
        <v>1596</v>
      </c>
      <c r="F5523" s="56"/>
    </row>
    <row r="5524" spans="1:6" ht="15">
      <c r="A5524" s="51">
        <v>294014</v>
      </c>
      <c r="B5524" t="s">
        <v>3508</v>
      </c>
      <c r="C5524" s="39" t="s">
        <v>1799</v>
      </c>
      <c r="D5524">
        <v>7</v>
      </c>
      <c r="F5524" s="56"/>
    </row>
    <row r="5525" spans="1:6" ht="15">
      <c r="A5525" s="51">
        <v>294015</v>
      </c>
      <c r="B5525" t="s">
        <v>109</v>
      </c>
      <c r="C5525" s="39" t="s">
        <v>547</v>
      </c>
      <c r="D5525" t="s">
        <v>4244</v>
      </c>
      <c r="F5525" s="56"/>
    </row>
    <row r="5526" spans="1:6" ht="15">
      <c r="A5526" s="51">
        <v>294016</v>
      </c>
      <c r="B5526" t="s">
        <v>111</v>
      </c>
      <c r="C5526" s="39" t="s">
        <v>547</v>
      </c>
      <c r="D5526" t="s">
        <v>4244</v>
      </c>
      <c r="F5526" s="56"/>
    </row>
    <row r="5527" spans="1:6" ht="15">
      <c r="A5527" s="51">
        <v>294017</v>
      </c>
      <c r="B5527" t="s">
        <v>347</v>
      </c>
      <c r="C5527" s="39" t="s">
        <v>346</v>
      </c>
      <c r="D5527" t="s">
        <v>4246</v>
      </c>
      <c r="F5527" s="56"/>
    </row>
    <row r="5528" spans="1:6" ht="15">
      <c r="A5528" s="51">
        <v>294018</v>
      </c>
      <c r="B5528" t="s">
        <v>2188</v>
      </c>
      <c r="C5528" s="39" t="s">
        <v>542</v>
      </c>
      <c r="D5528" t="s">
        <v>4245</v>
      </c>
      <c r="F5528" s="56"/>
    </row>
    <row r="5529" spans="1:6" ht="15">
      <c r="A5529" s="51">
        <v>294019</v>
      </c>
      <c r="B5529" t="s">
        <v>1005</v>
      </c>
      <c r="C5529" s="39" t="s">
        <v>542</v>
      </c>
      <c r="D5529" t="s">
        <v>4246</v>
      </c>
      <c r="F5529" s="56"/>
    </row>
    <row r="5530" spans="1:6" ht="15">
      <c r="A5530" s="51">
        <v>294020</v>
      </c>
      <c r="B5530" t="s">
        <v>3509</v>
      </c>
      <c r="C5530" s="39" t="s">
        <v>542</v>
      </c>
      <c r="D5530" t="s">
        <v>4244</v>
      </c>
      <c r="F5530" s="56"/>
    </row>
    <row r="5531" spans="1:6" ht="15">
      <c r="A5531" s="51">
        <v>294021</v>
      </c>
      <c r="B5531" t="s">
        <v>350</v>
      </c>
      <c r="C5531" s="39" t="s">
        <v>349</v>
      </c>
      <c r="D5531" t="s">
        <v>4247</v>
      </c>
      <c r="F5531" s="56"/>
    </row>
    <row r="5532" spans="1:6" ht="15">
      <c r="A5532" s="51">
        <v>294022</v>
      </c>
      <c r="B5532" t="s">
        <v>351</v>
      </c>
      <c r="C5532" s="39" t="s">
        <v>349</v>
      </c>
      <c r="D5532" t="s">
        <v>4243</v>
      </c>
      <c r="F5532" s="56"/>
    </row>
    <row r="5533" spans="1:6" ht="15">
      <c r="A5533" s="51">
        <v>294023</v>
      </c>
      <c r="B5533" t="s">
        <v>354</v>
      </c>
      <c r="C5533" s="39" t="s">
        <v>355</v>
      </c>
      <c r="D5533" t="s">
        <v>4247</v>
      </c>
      <c r="F5533" s="56"/>
    </row>
    <row r="5534" spans="1:6" ht="15">
      <c r="A5534" s="51">
        <v>294024</v>
      </c>
      <c r="B5534" t="s">
        <v>129</v>
      </c>
      <c r="C5534" s="39" t="s">
        <v>130</v>
      </c>
      <c r="D5534" t="s">
        <v>4243</v>
      </c>
      <c r="F5534" s="56"/>
    </row>
    <row r="5535" spans="1:6" ht="15">
      <c r="A5535" s="51">
        <v>294025</v>
      </c>
      <c r="B5535" t="s">
        <v>360</v>
      </c>
      <c r="C5535" s="39" t="s">
        <v>362</v>
      </c>
      <c r="D5535" t="s">
        <v>4247</v>
      </c>
      <c r="F5535" s="56"/>
    </row>
    <row r="5536" spans="1:6" ht="15">
      <c r="A5536" s="51">
        <v>294026</v>
      </c>
      <c r="B5536" t="s">
        <v>131</v>
      </c>
      <c r="C5536" s="39" t="s">
        <v>132</v>
      </c>
      <c r="D5536" t="s">
        <v>471</v>
      </c>
      <c r="F5536" s="56"/>
    </row>
    <row r="5537" spans="1:6" ht="15">
      <c r="A5537" s="51">
        <v>294027</v>
      </c>
      <c r="B5537" t="s">
        <v>1022</v>
      </c>
      <c r="C5537" s="39" t="s">
        <v>132</v>
      </c>
      <c r="D5537">
        <v>7</v>
      </c>
      <c r="F5537" s="56"/>
    </row>
    <row r="5538" spans="1:6" ht="15">
      <c r="A5538" s="51">
        <v>294028</v>
      </c>
      <c r="B5538" t="s">
        <v>3510</v>
      </c>
      <c r="C5538" s="39" t="s">
        <v>3511</v>
      </c>
      <c r="D5538">
        <v>9</v>
      </c>
      <c r="F5538" s="56"/>
    </row>
    <row r="5539" spans="1:6" ht="15">
      <c r="A5539" s="51">
        <v>294029</v>
      </c>
      <c r="B5539" t="s">
        <v>139</v>
      </c>
      <c r="C5539" s="39" t="s">
        <v>140</v>
      </c>
      <c r="D5539">
        <v>7</v>
      </c>
      <c r="F5539" s="56"/>
    </row>
    <row r="5540" spans="1:6" ht="15">
      <c r="A5540" s="51">
        <v>294030</v>
      </c>
      <c r="B5540" t="s">
        <v>1023</v>
      </c>
      <c r="C5540" s="39" t="s">
        <v>1024</v>
      </c>
      <c r="D5540" t="s">
        <v>4243</v>
      </c>
      <c r="F5540" s="56"/>
    </row>
    <row r="5541" spans="1:6" ht="15">
      <c r="A5541" s="51">
        <v>294032</v>
      </c>
      <c r="B5541" t="s">
        <v>1027</v>
      </c>
      <c r="C5541" s="39" t="s">
        <v>1028</v>
      </c>
      <c r="D5541" t="s">
        <v>4245</v>
      </c>
      <c r="F5541" s="56"/>
    </row>
    <row r="5542" spans="1:6" ht="15">
      <c r="A5542" s="51">
        <v>294033</v>
      </c>
      <c r="B5542" t="s">
        <v>1029</v>
      </c>
      <c r="C5542" s="39" t="s">
        <v>1028</v>
      </c>
      <c r="D5542" t="s">
        <v>4246</v>
      </c>
      <c r="F5542" s="56"/>
    </row>
    <row r="5543" spans="1:6" ht="15">
      <c r="A5543" s="51">
        <v>294031</v>
      </c>
      <c r="B5543" t="s">
        <v>2452</v>
      </c>
      <c r="C5543" s="39" t="s">
        <v>228</v>
      </c>
      <c r="D5543">
        <v>9</v>
      </c>
      <c r="F5543" s="56"/>
    </row>
    <row r="5544" spans="1:6" ht="15">
      <c r="A5544" s="51">
        <v>294034</v>
      </c>
      <c r="B5544" t="s">
        <v>372</v>
      </c>
      <c r="C5544" s="39" t="s">
        <v>373</v>
      </c>
      <c r="D5544" t="s">
        <v>4248</v>
      </c>
      <c r="F5544" s="56"/>
    </row>
    <row r="5545" spans="1:6" ht="15">
      <c r="A5545" s="51">
        <v>294035</v>
      </c>
      <c r="B5545" t="s">
        <v>2837</v>
      </c>
      <c r="C5545" s="39" t="s">
        <v>1035</v>
      </c>
      <c r="D5545" t="s">
        <v>1595</v>
      </c>
      <c r="F5545" s="56"/>
    </row>
    <row r="5546" spans="1:6" ht="15">
      <c r="A5546" s="51">
        <v>294036</v>
      </c>
      <c r="B5546" t="s">
        <v>2208</v>
      </c>
      <c r="C5546" s="39" t="s">
        <v>1035</v>
      </c>
      <c r="D5546" t="s">
        <v>1595</v>
      </c>
      <c r="F5546" s="56"/>
    </row>
    <row r="5547" spans="1:6" ht="15">
      <c r="A5547" s="51">
        <v>294037</v>
      </c>
      <c r="B5547" t="s">
        <v>2840</v>
      </c>
      <c r="C5547" s="39" t="s">
        <v>1035</v>
      </c>
      <c r="D5547" t="s">
        <v>468</v>
      </c>
      <c r="F5547" s="56"/>
    </row>
    <row r="5548" spans="1:6" ht="15">
      <c r="A5548" s="51">
        <v>294038</v>
      </c>
      <c r="B5548" t="s">
        <v>2000</v>
      </c>
      <c r="C5548" s="39" t="s">
        <v>1035</v>
      </c>
      <c r="D5548" t="s">
        <v>468</v>
      </c>
      <c r="F5548" s="56"/>
    </row>
    <row r="5549" spans="1:6" ht="15">
      <c r="A5549" s="51">
        <v>294039</v>
      </c>
      <c r="B5549" t="s">
        <v>150</v>
      </c>
      <c r="C5549" s="39" t="s">
        <v>3079</v>
      </c>
      <c r="D5549" t="s">
        <v>468</v>
      </c>
      <c r="F5549" s="56"/>
    </row>
    <row r="5550" spans="1:6" ht="15">
      <c r="A5550" s="51">
        <v>294040</v>
      </c>
      <c r="B5550" t="s">
        <v>377</v>
      </c>
      <c r="C5550" s="39" t="s">
        <v>157</v>
      </c>
      <c r="D5550" t="s">
        <v>4245</v>
      </c>
      <c r="F5550" s="56"/>
    </row>
    <row r="5551" spans="1:6" ht="15">
      <c r="A5551" s="51">
        <v>294041</v>
      </c>
      <c r="B5551" t="s">
        <v>1249</v>
      </c>
      <c r="C5551" s="39" t="s">
        <v>157</v>
      </c>
      <c r="D5551" t="s">
        <v>4243</v>
      </c>
      <c r="F5551" s="56"/>
    </row>
    <row r="5552" spans="1:6" ht="15">
      <c r="A5552" s="51">
        <v>294042</v>
      </c>
      <c r="B5552" t="s">
        <v>2728</v>
      </c>
      <c r="C5552" s="39" t="s">
        <v>1424</v>
      </c>
      <c r="D5552" t="s">
        <v>4243</v>
      </c>
      <c r="F5552" s="56"/>
    </row>
    <row r="5553" spans="1:6" ht="15">
      <c r="A5553" s="51">
        <v>294043</v>
      </c>
      <c r="B5553" t="s">
        <v>2473</v>
      </c>
      <c r="C5553" s="39" t="s">
        <v>3512</v>
      </c>
      <c r="D5553" t="s">
        <v>469</v>
      </c>
      <c r="F5553" s="56"/>
    </row>
    <row r="5554" spans="1:6" ht="15">
      <c r="A5554" s="51">
        <v>294044</v>
      </c>
      <c r="B5554" t="s">
        <v>160</v>
      </c>
      <c r="C5554" s="39" t="s">
        <v>2630</v>
      </c>
      <c r="D5554" t="s">
        <v>4247</v>
      </c>
      <c r="F5554" s="56"/>
    </row>
    <row r="5555" spans="1:6" ht="15">
      <c r="A5555" s="51">
        <v>294045</v>
      </c>
      <c r="B5555" t="s">
        <v>2631</v>
      </c>
      <c r="C5555" s="39" t="s">
        <v>1052</v>
      </c>
      <c r="D5555" t="s">
        <v>4243</v>
      </c>
      <c r="F5555" s="56"/>
    </row>
    <row r="5556" spans="1:6" ht="15">
      <c r="A5556" s="51">
        <v>294046</v>
      </c>
      <c r="B5556" t="s">
        <v>3043</v>
      </c>
      <c r="C5556" s="39" t="s">
        <v>1052</v>
      </c>
      <c r="D5556">
        <v>7</v>
      </c>
      <c r="F5556" s="56"/>
    </row>
    <row r="5557" spans="1:6" ht="15">
      <c r="A5557" s="51">
        <v>294047</v>
      </c>
      <c r="B5557" t="s">
        <v>1558</v>
      </c>
      <c r="C5557" s="39" t="s">
        <v>955</v>
      </c>
      <c r="D5557">
        <v>7</v>
      </c>
      <c r="F5557" s="56"/>
    </row>
    <row r="5558" spans="1:6" ht="15">
      <c r="A5558" s="51">
        <v>294048</v>
      </c>
      <c r="B5558" t="s">
        <v>1560</v>
      </c>
      <c r="C5558" s="39" t="s">
        <v>2633</v>
      </c>
      <c r="D5558" t="s">
        <v>4244</v>
      </c>
      <c r="F5558" s="56"/>
    </row>
    <row r="5559" spans="1:6" ht="15">
      <c r="A5559" s="51">
        <v>294049</v>
      </c>
      <c r="B5559" t="s">
        <v>182</v>
      </c>
      <c r="C5559" s="39" t="s">
        <v>183</v>
      </c>
      <c r="D5559">
        <v>7</v>
      </c>
      <c r="F5559" s="56"/>
    </row>
    <row r="5560" spans="1:6" ht="15">
      <c r="A5560" s="51">
        <v>294050</v>
      </c>
      <c r="B5560" t="s">
        <v>1826</v>
      </c>
      <c r="C5560" s="39" t="s">
        <v>183</v>
      </c>
      <c r="D5560">
        <v>7</v>
      </c>
      <c r="F5560" s="56"/>
    </row>
    <row r="5561" spans="1:6" ht="15">
      <c r="A5561" s="51">
        <v>294051</v>
      </c>
      <c r="B5561" t="s">
        <v>393</v>
      </c>
      <c r="C5561" s="39" t="s">
        <v>394</v>
      </c>
      <c r="D5561">
        <v>7</v>
      </c>
      <c r="F5561" s="56"/>
    </row>
    <row r="5562" spans="1:6" ht="15">
      <c r="A5562" s="51">
        <v>294052</v>
      </c>
      <c r="B5562" t="s">
        <v>1186</v>
      </c>
      <c r="C5562" s="39" t="s">
        <v>1437</v>
      </c>
      <c r="D5562" t="s">
        <v>4245</v>
      </c>
      <c r="F5562" s="56"/>
    </row>
    <row r="5563" spans="1:6" ht="15">
      <c r="A5563" s="51">
        <v>294053</v>
      </c>
      <c r="B5563" t="s">
        <v>1187</v>
      </c>
      <c r="C5563" s="39" t="s">
        <v>1437</v>
      </c>
      <c r="D5563" t="s">
        <v>4244</v>
      </c>
      <c r="F5563" s="56"/>
    </row>
    <row r="5564" spans="1:6" ht="15">
      <c r="A5564" s="51">
        <v>294054</v>
      </c>
      <c r="B5564" t="s">
        <v>1189</v>
      </c>
      <c r="C5564" s="39" t="s">
        <v>3394</v>
      </c>
      <c r="D5564" t="s">
        <v>4243</v>
      </c>
      <c r="F5564" s="56"/>
    </row>
    <row r="5565" spans="1:6" ht="15">
      <c r="A5565" s="51">
        <v>294056</v>
      </c>
      <c r="B5565" t="s">
        <v>1190</v>
      </c>
      <c r="C5565" s="39" t="s">
        <v>1442</v>
      </c>
      <c r="D5565" t="s">
        <v>4244</v>
      </c>
      <c r="F5565" s="56"/>
    </row>
    <row r="5566" spans="1:6" ht="15">
      <c r="A5566" s="51">
        <v>294057</v>
      </c>
      <c r="B5566" t="s">
        <v>3051</v>
      </c>
      <c r="C5566" s="39" t="s">
        <v>908</v>
      </c>
      <c r="D5566" t="s">
        <v>4244</v>
      </c>
      <c r="F5566" s="56"/>
    </row>
    <row r="5567" spans="1:6" ht="15">
      <c r="A5567" s="51">
        <v>294058</v>
      </c>
      <c r="B5567" t="s">
        <v>1834</v>
      </c>
      <c r="C5567" s="39" t="s">
        <v>1835</v>
      </c>
      <c r="D5567" t="s">
        <v>4243</v>
      </c>
      <c r="F5567" s="56"/>
    </row>
    <row r="5568" spans="1:6" ht="15">
      <c r="A5568" s="51">
        <v>294059</v>
      </c>
      <c r="B5568" t="s">
        <v>1191</v>
      </c>
      <c r="C5568" s="39" t="s">
        <v>561</v>
      </c>
      <c r="D5568" t="s">
        <v>4247</v>
      </c>
      <c r="F5568" s="56"/>
    </row>
    <row r="5569" spans="1:6" ht="15">
      <c r="A5569" s="51">
        <v>294060</v>
      </c>
      <c r="B5569" t="s">
        <v>1192</v>
      </c>
      <c r="C5569" s="39" t="s">
        <v>561</v>
      </c>
      <c r="D5569" t="s">
        <v>4247</v>
      </c>
      <c r="F5569" s="56"/>
    </row>
    <row r="5570" spans="1:6" ht="15">
      <c r="A5570" s="51">
        <v>294061</v>
      </c>
      <c r="B5570" t="s">
        <v>1079</v>
      </c>
      <c r="C5570" s="39" t="s">
        <v>1080</v>
      </c>
      <c r="D5570" t="s">
        <v>4244</v>
      </c>
      <c r="F5570" s="56"/>
    </row>
    <row r="5571" spans="1:6" ht="15">
      <c r="A5571" s="51">
        <v>294062</v>
      </c>
      <c r="B5571" t="s">
        <v>1081</v>
      </c>
      <c r="C5571" s="39" t="s">
        <v>1080</v>
      </c>
      <c r="D5571" t="s">
        <v>4244</v>
      </c>
      <c r="F5571" s="56"/>
    </row>
    <row r="5572" spans="1:6" ht="15">
      <c r="A5572" s="51">
        <v>294063</v>
      </c>
      <c r="B5572" t="s">
        <v>1085</v>
      </c>
      <c r="C5572" s="39" t="s">
        <v>1083</v>
      </c>
      <c r="D5572" t="s">
        <v>1595</v>
      </c>
      <c r="F5572" s="56"/>
    </row>
    <row r="5573" spans="1:6" ht="15">
      <c r="A5573" s="51">
        <v>294064</v>
      </c>
      <c r="B5573" t="s">
        <v>1086</v>
      </c>
      <c r="C5573" s="39" t="s">
        <v>1083</v>
      </c>
      <c r="D5573" t="s">
        <v>469</v>
      </c>
      <c r="F5573" s="56"/>
    </row>
    <row r="5574" spans="1:6" ht="15">
      <c r="A5574" s="51">
        <v>294065</v>
      </c>
      <c r="B5574" t="s">
        <v>3191</v>
      </c>
      <c r="C5574" s="39" t="s">
        <v>1083</v>
      </c>
      <c r="D5574" t="s">
        <v>468</v>
      </c>
      <c r="F5574" s="56"/>
    </row>
    <row r="5575" spans="1:6" ht="15">
      <c r="A5575" s="51">
        <v>294066</v>
      </c>
      <c r="B5575" t="s">
        <v>2485</v>
      </c>
      <c r="C5575" s="39" t="s">
        <v>1083</v>
      </c>
      <c r="D5575">
        <v>8</v>
      </c>
      <c r="F5575" s="56"/>
    </row>
    <row r="5576" spans="1:6" ht="15">
      <c r="A5576" s="51">
        <v>294067</v>
      </c>
      <c r="B5576" t="s">
        <v>3364</v>
      </c>
      <c r="C5576" s="39" t="s">
        <v>1083</v>
      </c>
      <c r="D5576" t="s">
        <v>468</v>
      </c>
      <c r="F5576" s="56"/>
    </row>
    <row r="5577" spans="1:6" ht="15">
      <c r="A5577" s="51">
        <v>294068</v>
      </c>
      <c r="B5577" t="s">
        <v>1094</v>
      </c>
      <c r="C5577" s="39" t="s">
        <v>1095</v>
      </c>
      <c r="D5577" t="s">
        <v>469</v>
      </c>
      <c r="F5577" s="56"/>
    </row>
    <row r="5578" spans="1:6" ht="15">
      <c r="A5578" s="51">
        <v>294069</v>
      </c>
      <c r="B5578" t="s">
        <v>1096</v>
      </c>
      <c r="C5578" s="39" t="s">
        <v>1095</v>
      </c>
      <c r="D5578" t="s">
        <v>469</v>
      </c>
      <c r="F5578" s="56"/>
    </row>
    <row r="5579" spans="1:6" ht="15">
      <c r="A5579" s="51">
        <v>294070</v>
      </c>
      <c r="B5579" t="s">
        <v>2038</v>
      </c>
      <c r="C5579" s="39" t="s">
        <v>1095</v>
      </c>
      <c r="D5579" t="s">
        <v>469</v>
      </c>
      <c r="F5579" s="56"/>
    </row>
    <row r="5580" spans="1:6" ht="15">
      <c r="A5580" s="51">
        <v>294071</v>
      </c>
      <c r="B5580" t="s">
        <v>420</v>
      </c>
      <c r="C5580" s="39" t="s">
        <v>224</v>
      </c>
      <c r="D5580" t="s">
        <v>4243</v>
      </c>
      <c r="F5580" s="56"/>
    </row>
    <row r="5581" spans="1:6" ht="15">
      <c r="A5581" s="51">
        <v>1407916</v>
      </c>
      <c r="B5581" t="s">
        <v>421</v>
      </c>
      <c r="C5581" s="39" t="s">
        <v>2493</v>
      </c>
      <c r="D5581" t="s">
        <v>4243</v>
      </c>
      <c r="F5581" s="56"/>
    </row>
    <row r="5582" spans="1:6" ht="15">
      <c r="A5582" s="51">
        <v>294072</v>
      </c>
      <c r="B5582" t="s">
        <v>1472</v>
      </c>
      <c r="C5582" s="39" t="s">
        <v>1107</v>
      </c>
      <c r="D5582" t="s">
        <v>4245</v>
      </c>
      <c r="F5582" s="56"/>
    </row>
    <row r="5583" spans="1:6" ht="15">
      <c r="A5583" s="51">
        <v>294074</v>
      </c>
      <c r="B5583" t="s">
        <v>234</v>
      </c>
      <c r="C5583" s="39" t="s">
        <v>235</v>
      </c>
      <c r="D5583" t="s">
        <v>4244</v>
      </c>
      <c r="F5583" s="56"/>
    </row>
    <row r="5584" spans="1:6" ht="15">
      <c r="A5584" s="51">
        <v>294075</v>
      </c>
      <c r="B5584" t="s">
        <v>236</v>
      </c>
      <c r="C5584" s="39" t="s">
        <v>235</v>
      </c>
      <c r="D5584" t="s">
        <v>4244</v>
      </c>
      <c r="F5584" s="56"/>
    </row>
    <row r="5585" spans="1:6" ht="15">
      <c r="A5585" s="51">
        <v>294076</v>
      </c>
      <c r="B5585" t="s">
        <v>245</v>
      </c>
      <c r="C5585" s="39" t="s">
        <v>1114</v>
      </c>
      <c r="D5585" t="s">
        <v>4246</v>
      </c>
      <c r="F5585" s="56"/>
    </row>
    <row r="5586" spans="1:6" ht="15">
      <c r="A5586" s="51">
        <v>294077</v>
      </c>
      <c r="B5586" t="s">
        <v>1203</v>
      </c>
      <c r="C5586" s="39" t="s">
        <v>3513</v>
      </c>
      <c r="D5586">
        <v>9</v>
      </c>
      <c r="F5586" s="56"/>
    </row>
    <row r="5587" spans="1:6" ht="15">
      <c r="A5587" s="51">
        <v>294078</v>
      </c>
      <c r="B5587" t="s">
        <v>1778</v>
      </c>
      <c r="C5587" s="39" t="s">
        <v>1589</v>
      </c>
      <c r="D5587">
        <v>7</v>
      </c>
      <c r="F5587" s="56"/>
    </row>
    <row r="5588" spans="1:6" ht="15">
      <c r="A5588" s="51">
        <v>294079</v>
      </c>
      <c r="B5588" t="s">
        <v>432</v>
      </c>
      <c r="C5588" s="39" t="s">
        <v>433</v>
      </c>
      <c r="D5588" t="s">
        <v>4245</v>
      </c>
      <c r="F5588" s="56"/>
    </row>
    <row r="5589" spans="1:6" ht="15">
      <c r="A5589" s="51">
        <v>294080</v>
      </c>
      <c r="B5589" t="s">
        <v>2508</v>
      </c>
      <c r="C5589" s="39" t="s">
        <v>3170</v>
      </c>
      <c r="D5589">
        <v>9</v>
      </c>
      <c r="F5589" s="56"/>
    </row>
    <row r="5590" spans="1:6" ht="15">
      <c r="A5590" s="51">
        <v>294082</v>
      </c>
      <c r="B5590" t="s">
        <v>1140</v>
      </c>
      <c r="C5590" s="39" t="s">
        <v>1134</v>
      </c>
      <c r="D5590" t="s">
        <v>4245</v>
      </c>
      <c r="F5590" s="56"/>
    </row>
    <row r="5591" spans="1:6" ht="15">
      <c r="A5591" s="51">
        <v>294083</v>
      </c>
      <c r="B5591" t="s">
        <v>3514</v>
      </c>
      <c r="C5591" s="39" t="s">
        <v>278</v>
      </c>
      <c r="D5591" t="s">
        <v>468</v>
      </c>
      <c r="F5591" s="56"/>
    </row>
    <row r="5592" spans="1:6" ht="15">
      <c r="A5592" s="51">
        <v>294084</v>
      </c>
      <c r="B5592" t="s">
        <v>294</v>
      </c>
      <c r="C5592" s="39" t="s">
        <v>278</v>
      </c>
      <c r="D5592" t="s">
        <v>468</v>
      </c>
      <c r="F5592" s="56"/>
    </row>
    <row r="5593" spans="1:6" ht="15">
      <c r="A5593" s="51">
        <v>294085</v>
      </c>
      <c r="B5593" t="s">
        <v>1213</v>
      </c>
      <c r="C5593" s="39" t="s">
        <v>283</v>
      </c>
      <c r="D5593">
        <v>8</v>
      </c>
      <c r="F5593" s="56"/>
    </row>
    <row r="5594" spans="1:6" ht="15">
      <c r="A5594" s="51">
        <v>3118109</v>
      </c>
      <c r="B5594" t="s">
        <v>2645</v>
      </c>
      <c r="C5594" s="39" t="s">
        <v>2646</v>
      </c>
      <c r="D5594" t="s">
        <v>4243</v>
      </c>
      <c r="F5594" s="56"/>
    </row>
    <row r="5595" spans="1:6" ht="15">
      <c r="A5595" s="51">
        <v>3118110</v>
      </c>
      <c r="B5595" t="s">
        <v>2777</v>
      </c>
      <c r="C5595" s="39" t="s">
        <v>1632</v>
      </c>
      <c r="D5595" t="s">
        <v>4243</v>
      </c>
      <c r="F5595" s="56"/>
    </row>
    <row r="5596" spans="1:6" ht="15">
      <c r="A5596" s="51">
        <v>3118111</v>
      </c>
      <c r="B5596" t="s">
        <v>2778</v>
      </c>
      <c r="C5596" s="39" t="s">
        <v>2779</v>
      </c>
      <c r="D5596">
        <v>7</v>
      </c>
      <c r="F5596" s="56"/>
    </row>
    <row r="5597" spans="1:6" ht="15">
      <c r="A5597" s="51">
        <v>3118112</v>
      </c>
      <c r="B5597" t="s">
        <v>2162</v>
      </c>
      <c r="C5597" s="39" t="s">
        <v>2163</v>
      </c>
      <c r="D5597">
        <v>8</v>
      </c>
      <c r="F5597" s="56"/>
    </row>
    <row r="5598" spans="1:6" ht="15">
      <c r="A5598" s="51">
        <v>3118113</v>
      </c>
      <c r="B5598" t="s">
        <v>2164</v>
      </c>
      <c r="C5598" s="39" t="s">
        <v>2165</v>
      </c>
      <c r="D5598">
        <v>8</v>
      </c>
      <c r="F5598" s="56"/>
    </row>
    <row r="5599" spans="1:6" ht="15">
      <c r="A5599" s="51">
        <v>3118114</v>
      </c>
      <c r="B5599" t="s">
        <v>2647</v>
      </c>
      <c r="C5599" s="39" t="s">
        <v>2648</v>
      </c>
      <c r="D5599">
        <v>8</v>
      </c>
      <c r="F5599" s="56"/>
    </row>
    <row r="5600" spans="1:6" ht="15">
      <c r="A5600" s="51">
        <v>3118115</v>
      </c>
      <c r="B5600" t="s">
        <v>2166</v>
      </c>
      <c r="C5600" s="39" t="s">
        <v>2167</v>
      </c>
      <c r="D5600">
        <v>7</v>
      </c>
      <c r="F5600" s="56"/>
    </row>
    <row r="5601" spans="1:6" ht="15">
      <c r="A5601" s="51">
        <v>3118116</v>
      </c>
      <c r="B5601" t="s">
        <v>2780</v>
      </c>
      <c r="C5601" s="39" t="s">
        <v>2781</v>
      </c>
      <c r="D5601">
        <v>7</v>
      </c>
      <c r="F5601" s="56"/>
    </row>
    <row r="5602" spans="1:6" ht="15">
      <c r="A5602" s="51">
        <v>294086</v>
      </c>
      <c r="B5602" t="s">
        <v>3515</v>
      </c>
      <c r="C5602" s="39" t="s">
        <v>3516</v>
      </c>
      <c r="D5602" t="s">
        <v>4244</v>
      </c>
      <c r="F5602" s="56"/>
    </row>
    <row r="5603" spans="1:6" ht="15">
      <c r="A5603" s="51">
        <v>293123</v>
      </c>
      <c r="B5603" t="s">
        <v>3178</v>
      </c>
      <c r="C5603" s="39" t="s">
        <v>3425</v>
      </c>
      <c r="D5603">
        <v>9</v>
      </c>
      <c r="F5603" s="56"/>
    </row>
    <row r="5604" spans="1:6" ht="15">
      <c r="A5604" s="51">
        <v>294087</v>
      </c>
      <c r="B5604" t="s">
        <v>3517</v>
      </c>
      <c r="C5604" s="39" t="s">
        <v>3516</v>
      </c>
      <c r="D5604">
        <v>7</v>
      </c>
      <c r="F5604" s="56"/>
    </row>
    <row r="5605" spans="1:6" ht="15">
      <c r="A5605" s="51">
        <v>294088</v>
      </c>
      <c r="B5605" t="s">
        <v>2672</v>
      </c>
      <c r="C5605" s="39" t="s">
        <v>971</v>
      </c>
      <c r="D5605" t="s">
        <v>4246</v>
      </c>
      <c r="F5605" s="56"/>
    </row>
    <row r="5606" spans="1:6" ht="15">
      <c r="A5606" s="51">
        <v>294089</v>
      </c>
      <c r="B5606" t="s">
        <v>1342</v>
      </c>
      <c r="C5606" s="39" t="s">
        <v>971</v>
      </c>
      <c r="D5606" t="s">
        <v>4246</v>
      </c>
      <c r="F5606" s="56"/>
    </row>
    <row r="5607" spans="1:6" ht="15">
      <c r="A5607" s="51">
        <v>294090</v>
      </c>
      <c r="B5607" t="s">
        <v>3518</v>
      </c>
      <c r="C5607" s="39" t="s">
        <v>971</v>
      </c>
      <c r="D5607" t="s">
        <v>4244</v>
      </c>
      <c r="F5607" s="56"/>
    </row>
    <row r="5608" spans="1:6" ht="15">
      <c r="A5608" s="51">
        <v>294091</v>
      </c>
      <c r="B5608" t="s">
        <v>3519</v>
      </c>
      <c r="C5608" s="39" t="s">
        <v>971</v>
      </c>
      <c r="D5608" t="s">
        <v>4244</v>
      </c>
      <c r="F5608" s="56"/>
    </row>
    <row r="5609" spans="1:6" ht="15">
      <c r="A5609" s="51">
        <v>294092</v>
      </c>
      <c r="B5609" t="s">
        <v>1787</v>
      </c>
      <c r="C5609" s="39" t="s">
        <v>971</v>
      </c>
      <c r="D5609" t="s">
        <v>4246</v>
      </c>
      <c r="F5609" s="56"/>
    </row>
    <row r="5610" spans="1:6" ht="15">
      <c r="A5610" s="51">
        <v>294093</v>
      </c>
      <c r="B5610" t="s">
        <v>3093</v>
      </c>
      <c r="C5610" s="39" t="s">
        <v>3520</v>
      </c>
      <c r="D5610" t="s">
        <v>4246</v>
      </c>
      <c r="F5610" s="56"/>
    </row>
    <row r="5611" spans="1:6" ht="15">
      <c r="A5611" s="51">
        <v>294094</v>
      </c>
      <c r="B5611" t="s">
        <v>3521</v>
      </c>
      <c r="C5611" s="39" t="s">
        <v>3520</v>
      </c>
      <c r="D5611" t="s">
        <v>4244</v>
      </c>
      <c r="F5611" s="56"/>
    </row>
    <row r="5612" spans="1:6" ht="15">
      <c r="A5612" s="51">
        <v>294095</v>
      </c>
      <c r="B5612" t="s">
        <v>985</v>
      </c>
      <c r="C5612" s="39" t="s">
        <v>3522</v>
      </c>
      <c r="D5612" t="s">
        <v>4244</v>
      </c>
      <c r="F5612" s="56"/>
    </row>
    <row r="5613" spans="1:6" ht="15">
      <c r="A5613" s="51">
        <v>294096</v>
      </c>
      <c r="B5613" t="s">
        <v>3523</v>
      </c>
      <c r="C5613" s="39" t="s">
        <v>3520</v>
      </c>
      <c r="D5613">
        <v>7</v>
      </c>
      <c r="F5613" s="56"/>
    </row>
    <row r="5614" spans="1:6" ht="15">
      <c r="A5614" s="51">
        <v>294097</v>
      </c>
      <c r="B5614" t="s">
        <v>3524</v>
      </c>
      <c r="C5614" s="39" t="s">
        <v>3520</v>
      </c>
      <c r="D5614">
        <v>8</v>
      </c>
      <c r="F5614" s="56"/>
    </row>
    <row r="5615" spans="1:6" ht="15">
      <c r="A5615" s="51">
        <v>294098</v>
      </c>
      <c r="B5615" t="s">
        <v>3525</v>
      </c>
      <c r="C5615" s="39" t="s">
        <v>1792</v>
      </c>
      <c r="D5615">
        <v>9</v>
      </c>
      <c r="F5615" s="56"/>
    </row>
    <row r="5616" spans="1:6" ht="15">
      <c r="A5616" s="51">
        <v>294099</v>
      </c>
      <c r="B5616" t="s">
        <v>1146</v>
      </c>
      <c r="C5616" s="39" t="s">
        <v>1796</v>
      </c>
      <c r="D5616" t="s">
        <v>4244</v>
      </c>
      <c r="F5616" s="56"/>
    </row>
    <row r="5617" spans="1:6" ht="15">
      <c r="A5617" s="51">
        <v>294100</v>
      </c>
      <c r="B5617" t="s">
        <v>3526</v>
      </c>
      <c r="C5617" s="39" t="s">
        <v>3527</v>
      </c>
      <c r="D5617">
        <v>8</v>
      </c>
      <c r="F5617" s="56"/>
    </row>
    <row r="5618" spans="1:6" ht="15">
      <c r="A5618" s="51">
        <v>294101</v>
      </c>
      <c r="B5618" t="s">
        <v>101</v>
      </c>
      <c r="C5618" s="39" t="s">
        <v>99</v>
      </c>
      <c r="D5618">
        <v>7</v>
      </c>
      <c r="F5618" s="56"/>
    </row>
    <row r="5619" spans="1:6" ht="15">
      <c r="A5619" s="51">
        <v>294102</v>
      </c>
      <c r="B5619" t="s">
        <v>103</v>
      </c>
      <c r="C5619" s="39" t="s">
        <v>104</v>
      </c>
      <c r="D5619" t="s">
        <v>4243</v>
      </c>
      <c r="F5619" s="56"/>
    </row>
    <row r="5620" spans="1:6" ht="15">
      <c r="A5620" s="51">
        <v>294103</v>
      </c>
      <c r="B5620" t="s">
        <v>3528</v>
      </c>
      <c r="C5620" s="39" t="s">
        <v>851</v>
      </c>
      <c r="D5620">
        <v>9</v>
      </c>
      <c r="F5620" s="56"/>
    </row>
    <row r="5621" spans="1:6" ht="15">
      <c r="A5621" s="51">
        <v>294104</v>
      </c>
      <c r="B5621" t="s">
        <v>3529</v>
      </c>
      <c r="C5621" s="39" t="s">
        <v>3530</v>
      </c>
      <c r="D5621">
        <v>8</v>
      </c>
      <c r="F5621" s="56"/>
    </row>
    <row r="5622" spans="1:6" ht="15">
      <c r="A5622" s="51">
        <v>294105</v>
      </c>
      <c r="B5622" t="s">
        <v>3531</v>
      </c>
      <c r="C5622" s="39" t="s">
        <v>3530</v>
      </c>
      <c r="D5622">
        <v>8</v>
      </c>
      <c r="F5622" s="56"/>
    </row>
    <row r="5623" spans="1:6" ht="15">
      <c r="A5623" s="51">
        <v>294106</v>
      </c>
      <c r="B5623" t="s">
        <v>3532</v>
      </c>
      <c r="C5623" s="39" t="s">
        <v>3530</v>
      </c>
      <c r="D5623">
        <v>8</v>
      </c>
      <c r="F5623" s="56"/>
    </row>
    <row r="5624" spans="1:6" ht="15">
      <c r="A5624" s="51">
        <v>294107</v>
      </c>
      <c r="B5624" t="s">
        <v>126</v>
      </c>
      <c r="C5624" s="39" t="s">
        <v>1390</v>
      </c>
      <c r="D5624" t="s">
        <v>4244</v>
      </c>
      <c r="F5624" s="56"/>
    </row>
    <row r="5625" spans="1:6" ht="15">
      <c r="A5625" s="51">
        <v>294108</v>
      </c>
      <c r="B5625" t="s">
        <v>3533</v>
      </c>
      <c r="C5625" s="39" t="s">
        <v>2812</v>
      </c>
      <c r="D5625" t="s">
        <v>4246</v>
      </c>
      <c r="F5625" s="56"/>
    </row>
    <row r="5626" spans="1:6" ht="15">
      <c r="A5626" s="51">
        <v>294109</v>
      </c>
      <c r="B5626" t="s">
        <v>3534</v>
      </c>
      <c r="C5626" s="39" t="s">
        <v>2199</v>
      </c>
      <c r="D5626" t="s">
        <v>4247</v>
      </c>
      <c r="F5626" s="56"/>
    </row>
    <row r="5627" spans="1:6" ht="15">
      <c r="A5627" s="51">
        <v>294110</v>
      </c>
      <c r="B5627" t="s">
        <v>3535</v>
      </c>
      <c r="C5627" s="39" t="s">
        <v>2199</v>
      </c>
      <c r="D5627" t="s">
        <v>4243</v>
      </c>
      <c r="F5627" s="56"/>
    </row>
    <row r="5628" spans="1:6" ht="15">
      <c r="A5628" s="51">
        <v>294111</v>
      </c>
      <c r="B5628" t="s">
        <v>3536</v>
      </c>
      <c r="C5628" s="39" t="s">
        <v>138</v>
      </c>
      <c r="D5628">
        <v>9</v>
      </c>
      <c r="F5628" s="56"/>
    </row>
    <row r="5629" spans="1:6" ht="15">
      <c r="A5629" s="51">
        <v>294112</v>
      </c>
      <c r="B5629" t="s">
        <v>1402</v>
      </c>
      <c r="C5629" s="39" t="s">
        <v>140</v>
      </c>
      <c r="D5629">
        <v>7</v>
      </c>
      <c r="F5629" s="56"/>
    </row>
    <row r="5630" spans="1:6" ht="15">
      <c r="A5630" s="51">
        <v>294113</v>
      </c>
      <c r="B5630" t="s">
        <v>1023</v>
      </c>
      <c r="C5630" s="39" t="s">
        <v>1024</v>
      </c>
      <c r="D5630" t="s">
        <v>4243</v>
      </c>
      <c r="F5630" s="56"/>
    </row>
    <row r="5631" spans="1:6" ht="15">
      <c r="A5631" s="51">
        <v>294114</v>
      </c>
      <c r="B5631" t="s">
        <v>2452</v>
      </c>
      <c r="C5631" s="39" t="s">
        <v>228</v>
      </c>
      <c r="D5631">
        <v>9</v>
      </c>
      <c r="F5631" s="56"/>
    </row>
    <row r="5632" spans="1:6" ht="15">
      <c r="A5632" s="51">
        <v>294115</v>
      </c>
      <c r="B5632" t="s">
        <v>370</v>
      </c>
      <c r="C5632" s="39" t="s">
        <v>371</v>
      </c>
      <c r="D5632">
        <v>8</v>
      </c>
      <c r="F5632" s="56"/>
    </row>
    <row r="5633" spans="1:6" ht="15">
      <c r="A5633" s="51">
        <v>294116</v>
      </c>
      <c r="B5633" t="s">
        <v>372</v>
      </c>
      <c r="C5633" s="39" t="s">
        <v>896</v>
      </c>
      <c r="D5633">
        <v>8</v>
      </c>
      <c r="F5633" s="56"/>
    </row>
    <row r="5634" spans="1:6" ht="15">
      <c r="A5634" s="51">
        <v>294117</v>
      </c>
      <c r="B5634" t="s">
        <v>149</v>
      </c>
      <c r="C5634" s="39" t="s">
        <v>148</v>
      </c>
      <c r="D5634" t="s">
        <v>4246</v>
      </c>
      <c r="F5634" s="56"/>
    </row>
    <row r="5635" spans="1:6" ht="15">
      <c r="A5635" s="51">
        <v>294118</v>
      </c>
      <c r="B5635" t="s">
        <v>1413</v>
      </c>
      <c r="C5635" s="39" t="s">
        <v>148</v>
      </c>
      <c r="D5635" t="s">
        <v>4244</v>
      </c>
      <c r="F5635" s="56"/>
    </row>
    <row r="5636" spans="1:6" ht="15">
      <c r="A5636" s="51">
        <v>294119</v>
      </c>
      <c r="B5636" t="s">
        <v>2617</v>
      </c>
      <c r="C5636" s="39" t="s">
        <v>2362</v>
      </c>
      <c r="D5636" t="s">
        <v>4243</v>
      </c>
      <c r="F5636" s="56"/>
    </row>
    <row r="5637" spans="1:6" ht="15">
      <c r="A5637" s="51">
        <v>294120</v>
      </c>
      <c r="B5637" t="s">
        <v>3537</v>
      </c>
      <c r="C5637" s="39" t="s">
        <v>2362</v>
      </c>
      <c r="D5637">
        <v>7</v>
      </c>
      <c r="F5637" s="56"/>
    </row>
    <row r="5638" spans="1:6" ht="15">
      <c r="A5638" s="51">
        <v>294121</v>
      </c>
      <c r="B5638" t="s">
        <v>379</v>
      </c>
      <c r="C5638" s="39" t="s">
        <v>380</v>
      </c>
      <c r="D5638" t="s">
        <v>4246</v>
      </c>
      <c r="F5638" s="56"/>
    </row>
    <row r="5639" spans="1:6" ht="15">
      <c r="A5639" s="51">
        <v>294122</v>
      </c>
      <c r="B5639" t="s">
        <v>381</v>
      </c>
      <c r="C5639" s="39" t="s">
        <v>380</v>
      </c>
      <c r="D5639" t="s">
        <v>4244</v>
      </c>
      <c r="F5639" s="56"/>
    </row>
    <row r="5640" spans="1:6" ht="15">
      <c r="A5640" s="51">
        <v>294123</v>
      </c>
      <c r="B5640" t="s">
        <v>3538</v>
      </c>
      <c r="C5640" s="39" t="s">
        <v>380</v>
      </c>
      <c r="D5640" t="s">
        <v>4244</v>
      </c>
      <c r="F5640" s="56"/>
    </row>
    <row r="5641" spans="1:6" ht="15">
      <c r="A5641" s="51">
        <v>294124</v>
      </c>
      <c r="B5641" t="s">
        <v>3539</v>
      </c>
      <c r="C5641" s="39" t="s">
        <v>3540</v>
      </c>
      <c r="D5641">
        <v>9</v>
      </c>
      <c r="F5641" s="56"/>
    </row>
    <row r="5642" spans="1:6" ht="15">
      <c r="A5642" s="51">
        <v>294125</v>
      </c>
      <c r="B5642" t="s">
        <v>1041</v>
      </c>
      <c r="C5642" s="39" t="s">
        <v>1042</v>
      </c>
      <c r="D5642" t="s">
        <v>4247</v>
      </c>
      <c r="F5642" s="56"/>
    </row>
    <row r="5643" spans="1:6" ht="15">
      <c r="A5643" s="51">
        <v>294126</v>
      </c>
      <c r="B5643" t="s">
        <v>1043</v>
      </c>
      <c r="C5643" s="39" t="s">
        <v>1042</v>
      </c>
      <c r="D5643" t="s">
        <v>4247</v>
      </c>
      <c r="F5643" s="56"/>
    </row>
    <row r="5644" spans="1:6" ht="15">
      <c r="A5644" s="51">
        <v>294127</v>
      </c>
      <c r="B5644" t="s">
        <v>2727</v>
      </c>
      <c r="C5644" s="39" t="s">
        <v>1042</v>
      </c>
      <c r="D5644" t="s">
        <v>4243</v>
      </c>
      <c r="F5644" s="56"/>
    </row>
    <row r="5645" spans="1:6" ht="15">
      <c r="A5645" s="51">
        <v>294128</v>
      </c>
      <c r="B5645" t="s">
        <v>3541</v>
      </c>
      <c r="C5645" s="39" t="s">
        <v>1045</v>
      </c>
      <c r="D5645" t="s">
        <v>4243</v>
      </c>
      <c r="F5645" s="56"/>
    </row>
    <row r="5646" spans="1:6" ht="15">
      <c r="A5646" s="51">
        <v>294129</v>
      </c>
      <c r="B5646" t="s">
        <v>3542</v>
      </c>
      <c r="C5646" s="39" t="s">
        <v>1045</v>
      </c>
      <c r="D5646">
        <v>8</v>
      </c>
      <c r="F5646" s="56"/>
    </row>
    <row r="5647" spans="1:6" ht="15">
      <c r="A5647" s="51">
        <v>294130</v>
      </c>
      <c r="B5647" t="s">
        <v>1054</v>
      </c>
      <c r="C5647" s="39" t="s">
        <v>955</v>
      </c>
      <c r="D5647">
        <v>7</v>
      </c>
      <c r="F5647" s="56"/>
    </row>
    <row r="5648" spans="1:6" ht="15">
      <c r="A5648" s="51">
        <v>294131</v>
      </c>
      <c r="B5648" t="s">
        <v>393</v>
      </c>
      <c r="C5648" s="39" t="s">
        <v>394</v>
      </c>
      <c r="D5648">
        <v>7</v>
      </c>
      <c r="F5648" s="56"/>
    </row>
    <row r="5649" spans="1:6" ht="15">
      <c r="A5649" s="51">
        <v>294132</v>
      </c>
      <c r="B5649" t="s">
        <v>1189</v>
      </c>
      <c r="C5649" s="39" t="s">
        <v>1442</v>
      </c>
      <c r="D5649" t="s">
        <v>4244</v>
      </c>
      <c r="F5649" s="56"/>
    </row>
    <row r="5650" spans="1:6" ht="15">
      <c r="A5650" s="51">
        <v>294133</v>
      </c>
      <c r="B5650" t="s">
        <v>861</v>
      </c>
      <c r="C5650" s="39" t="s">
        <v>402</v>
      </c>
      <c r="D5650" t="s">
        <v>4245</v>
      </c>
      <c r="F5650" s="56"/>
    </row>
    <row r="5651" spans="1:6" ht="15">
      <c r="A5651" s="51">
        <v>294134</v>
      </c>
      <c r="B5651" t="s">
        <v>3543</v>
      </c>
      <c r="C5651" s="39" t="s">
        <v>862</v>
      </c>
      <c r="D5651">
        <v>9</v>
      </c>
      <c r="F5651" s="56"/>
    </row>
    <row r="5652" spans="1:6" ht="15">
      <c r="A5652" s="51">
        <v>294135</v>
      </c>
      <c r="B5652" t="s">
        <v>1190</v>
      </c>
      <c r="C5652" s="39" t="s">
        <v>908</v>
      </c>
      <c r="D5652" t="s">
        <v>4244</v>
      </c>
      <c r="F5652" s="56"/>
    </row>
    <row r="5653" spans="1:6" ht="15">
      <c r="A5653" s="51">
        <v>294136</v>
      </c>
      <c r="B5653" t="s">
        <v>199</v>
      </c>
      <c r="C5653" s="39" t="s">
        <v>908</v>
      </c>
      <c r="D5653" t="s">
        <v>4244</v>
      </c>
      <c r="F5653" s="56"/>
    </row>
    <row r="5654" spans="1:6" ht="15">
      <c r="A5654" s="51">
        <v>294137</v>
      </c>
      <c r="B5654" t="s">
        <v>1076</v>
      </c>
      <c r="C5654" s="39" t="s">
        <v>2032</v>
      </c>
      <c r="D5654" t="s">
        <v>4243</v>
      </c>
      <c r="F5654" s="56"/>
    </row>
    <row r="5655" spans="1:6" ht="15">
      <c r="A5655" s="51">
        <v>294138</v>
      </c>
      <c r="B5655" t="s">
        <v>3544</v>
      </c>
      <c r="C5655" s="39" t="s">
        <v>3545</v>
      </c>
      <c r="D5655" t="s">
        <v>4243</v>
      </c>
      <c r="F5655" s="56"/>
    </row>
    <row r="5656" spans="1:6" ht="15">
      <c r="A5656" s="51">
        <v>294139</v>
      </c>
      <c r="B5656" t="s">
        <v>3546</v>
      </c>
      <c r="C5656" s="39" t="s">
        <v>3547</v>
      </c>
      <c r="D5656" t="s">
        <v>4243</v>
      </c>
      <c r="F5656" s="56"/>
    </row>
    <row r="5657" spans="1:6" ht="15">
      <c r="A5657" s="51">
        <v>294140</v>
      </c>
      <c r="B5657" t="s">
        <v>1254</v>
      </c>
      <c r="C5657" s="39" t="s">
        <v>3471</v>
      </c>
      <c r="D5657" t="s">
        <v>4244</v>
      </c>
      <c r="F5657" s="56"/>
    </row>
    <row r="5658" spans="1:6" ht="15">
      <c r="A5658" s="51">
        <v>294141</v>
      </c>
      <c r="B5658" t="s">
        <v>223</v>
      </c>
      <c r="C5658" s="39" t="s">
        <v>224</v>
      </c>
      <c r="D5658" t="s">
        <v>4243</v>
      </c>
      <c r="F5658" s="56"/>
    </row>
    <row r="5659" spans="1:6" ht="15">
      <c r="A5659" s="51">
        <v>294142</v>
      </c>
      <c r="B5659" t="s">
        <v>1197</v>
      </c>
      <c r="C5659" s="39" t="s">
        <v>231</v>
      </c>
      <c r="D5659" t="s">
        <v>4244</v>
      </c>
      <c r="F5659" s="56"/>
    </row>
    <row r="5660" spans="1:6" ht="15">
      <c r="A5660" s="51">
        <v>294143</v>
      </c>
      <c r="B5660" t="s">
        <v>234</v>
      </c>
      <c r="C5660" s="39" t="s">
        <v>235</v>
      </c>
      <c r="D5660" t="s">
        <v>4244</v>
      </c>
      <c r="F5660" s="56"/>
    </row>
    <row r="5661" spans="1:6" ht="15">
      <c r="A5661" s="51">
        <v>294144</v>
      </c>
      <c r="B5661" t="s">
        <v>236</v>
      </c>
      <c r="C5661" s="39" t="s">
        <v>235</v>
      </c>
      <c r="D5661" t="s">
        <v>4244</v>
      </c>
      <c r="F5661" s="56"/>
    </row>
    <row r="5662" spans="1:6" ht="15">
      <c r="A5662" s="51">
        <v>294145</v>
      </c>
      <c r="B5662" t="s">
        <v>3548</v>
      </c>
      <c r="C5662" s="39" t="s">
        <v>3549</v>
      </c>
      <c r="D5662" t="s">
        <v>4243</v>
      </c>
      <c r="F5662" s="56"/>
    </row>
    <row r="5663" spans="1:6" ht="15">
      <c r="A5663" s="51">
        <v>294146</v>
      </c>
      <c r="B5663" t="s">
        <v>3550</v>
      </c>
      <c r="C5663" s="39" t="s">
        <v>2070</v>
      </c>
      <c r="D5663" t="s">
        <v>4243</v>
      </c>
      <c r="F5663" s="56"/>
    </row>
    <row r="5664" spans="1:6" ht="15">
      <c r="A5664" s="51">
        <v>294147</v>
      </c>
      <c r="B5664" t="s">
        <v>245</v>
      </c>
      <c r="C5664" s="39" t="s">
        <v>1118</v>
      </c>
      <c r="D5664" t="s">
        <v>4243</v>
      </c>
      <c r="F5664" s="56"/>
    </row>
    <row r="5665" spans="1:6" ht="15">
      <c r="A5665" s="51">
        <v>294148</v>
      </c>
      <c r="B5665" t="s">
        <v>2249</v>
      </c>
      <c r="C5665" s="39" t="s">
        <v>1118</v>
      </c>
      <c r="D5665">
        <v>7</v>
      </c>
      <c r="F5665" s="56"/>
    </row>
    <row r="5666" spans="1:6" ht="15">
      <c r="A5666" s="51">
        <v>294149</v>
      </c>
      <c r="B5666" t="s">
        <v>3551</v>
      </c>
      <c r="C5666" s="39" t="s">
        <v>3552</v>
      </c>
      <c r="D5666">
        <v>9</v>
      </c>
      <c r="F5666" s="56"/>
    </row>
    <row r="5667" spans="1:6" ht="15">
      <c r="A5667" s="51">
        <v>294150</v>
      </c>
      <c r="B5667" t="s">
        <v>3553</v>
      </c>
      <c r="C5667" s="39" t="s">
        <v>1118</v>
      </c>
      <c r="D5667">
        <v>8</v>
      </c>
      <c r="F5667" s="56"/>
    </row>
    <row r="5668" spans="1:6" ht="15">
      <c r="A5668" s="51">
        <v>294151</v>
      </c>
      <c r="B5668" t="s">
        <v>2899</v>
      </c>
      <c r="C5668" s="39" t="s">
        <v>1123</v>
      </c>
      <c r="D5668" t="s">
        <v>4247</v>
      </c>
      <c r="F5668" s="56"/>
    </row>
    <row r="5669" spans="1:6" ht="15">
      <c r="A5669" s="51">
        <v>294152</v>
      </c>
      <c r="B5669" t="s">
        <v>3068</v>
      </c>
      <c r="C5669" s="39" t="s">
        <v>1123</v>
      </c>
      <c r="D5669" t="s">
        <v>4243</v>
      </c>
      <c r="F5669" s="56"/>
    </row>
    <row r="5670" spans="1:6" ht="15">
      <c r="A5670" s="51">
        <v>294153</v>
      </c>
      <c r="B5670" t="s">
        <v>3069</v>
      </c>
      <c r="C5670" s="39" t="s">
        <v>1123</v>
      </c>
      <c r="D5670">
        <v>7</v>
      </c>
      <c r="F5670" s="56"/>
    </row>
    <row r="5671" spans="1:6" ht="15">
      <c r="A5671" s="51">
        <v>294154</v>
      </c>
      <c r="B5671" t="s">
        <v>3554</v>
      </c>
      <c r="C5671" s="39" t="s">
        <v>1123</v>
      </c>
      <c r="D5671">
        <v>8</v>
      </c>
      <c r="F5671" s="56"/>
    </row>
    <row r="5672" spans="1:6" ht="15">
      <c r="A5672" s="51">
        <v>294155</v>
      </c>
      <c r="B5672" t="s">
        <v>1778</v>
      </c>
      <c r="C5672" s="39" t="s">
        <v>1589</v>
      </c>
      <c r="D5672">
        <v>7</v>
      </c>
      <c r="F5672" s="56"/>
    </row>
    <row r="5673" spans="1:6" ht="15">
      <c r="A5673" s="51">
        <v>294156</v>
      </c>
      <c r="B5673" t="s">
        <v>1206</v>
      </c>
      <c r="C5673" s="39" t="s">
        <v>1504</v>
      </c>
      <c r="D5673" t="s">
        <v>4243</v>
      </c>
      <c r="F5673" s="56"/>
    </row>
    <row r="5674" spans="1:6" ht="15">
      <c r="A5674" s="51">
        <v>294157</v>
      </c>
      <c r="B5674" t="s">
        <v>3555</v>
      </c>
      <c r="C5674" s="39" t="s">
        <v>450</v>
      </c>
      <c r="D5674">
        <v>9</v>
      </c>
      <c r="F5674" s="56"/>
    </row>
    <row r="5675" spans="1:6" ht="15">
      <c r="A5675" s="51">
        <v>294159</v>
      </c>
      <c r="B5675" t="s">
        <v>455</v>
      </c>
      <c r="C5675" s="39" t="s">
        <v>2907</v>
      </c>
      <c r="D5675">
        <v>8</v>
      </c>
      <c r="F5675" s="56"/>
    </row>
    <row r="5676" spans="1:6" ht="15">
      <c r="A5676" s="51">
        <v>294160</v>
      </c>
      <c r="B5676" t="s">
        <v>1892</v>
      </c>
      <c r="C5676" s="39" t="s">
        <v>2908</v>
      </c>
      <c r="D5676" t="s">
        <v>4243</v>
      </c>
      <c r="F5676" s="56"/>
    </row>
    <row r="5677" spans="1:6" ht="15">
      <c r="A5677" s="51">
        <v>294161</v>
      </c>
      <c r="B5677" t="s">
        <v>3556</v>
      </c>
      <c r="C5677" s="39" t="s">
        <v>2163</v>
      </c>
      <c r="D5677">
        <v>8</v>
      </c>
      <c r="F5677" s="56"/>
    </row>
    <row r="5678" spans="1:6" ht="15">
      <c r="A5678" s="51">
        <v>294162</v>
      </c>
      <c r="B5678" t="s">
        <v>3557</v>
      </c>
      <c r="C5678" s="39" t="s">
        <v>2163</v>
      </c>
      <c r="D5678">
        <v>9</v>
      </c>
      <c r="F5678" s="56"/>
    </row>
    <row r="5679" spans="1:6" ht="15">
      <c r="A5679" s="51">
        <v>294163</v>
      </c>
      <c r="B5679" t="s">
        <v>1231</v>
      </c>
      <c r="C5679" s="39" t="s">
        <v>898</v>
      </c>
      <c r="D5679" t="s">
        <v>4246</v>
      </c>
      <c r="F5679" s="56"/>
    </row>
    <row r="5680" spans="1:6" ht="15">
      <c r="A5680" s="51">
        <v>294164</v>
      </c>
      <c r="B5680" t="s">
        <v>284</v>
      </c>
      <c r="C5680" s="39" t="s">
        <v>898</v>
      </c>
      <c r="D5680" t="s">
        <v>4247</v>
      </c>
      <c r="F5680" s="56"/>
    </row>
    <row r="5681" spans="1:6" ht="15">
      <c r="A5681" s="51">
        <v>294165</v>
      </c>
      <c r="B5681" t="s">
        <v>286</v>
      </c>
      <c r="C5681" s="39" t="s">
        <v>898</v>
      </c>
      <c r="D5681" t="s">
        <v>4244</v>
      </c>
      <c r="F5681" s="56"/>
    </row>
    <row r="5682" spans="1:6" ht="15">
      <c r="A5682" s="51">
        <v>294166</v>
      </c>
      <c r="B5682" t="s">
        <v>2095</v>
      </c>
      <c r="C5682" s="39" t="s">
        <v>2094</v>
      </c>
      <c r="D5682" t="s">
        <v>4244</v>
      </c>
      <c r="F5682" s="56"/>
    </row>
    <row r="5683" spans="1:6" ht="15">
      <c r="A5683" s="51">
        <v>294167</v>
      </c>
      <c r="B5683" t="s">
        <v>460</v>
      </c>
      <c r="C5683" s="39" t="s">
        <v>2094</v>
      </c>
      <c r="D5683" t="s">
        <v>4243</v>
      </c>
      <c r="F5683" s="56"/>
    </row>
    <row r="5684" spans="1:6" ht="15">
      <c r="A5684" s="51">
        <v>294168</v>
      </c>
      <c r="B5684" t="s">
        <v>2774</v>
      </c>
      <c r="C5684" s="39" t="s">
        <v>2167</v>
      </c>
      <c r="D5684" t="s">
        <v>4247</v>
      </c>
      <c r="F5684" s="56"/>
    </row>
    <row r="5685" spans="1:6" ht="15">
      <c r="A5685" s="51">
        <v>294169</v>
      </c>
      <c r="B5685" t="s">
        <v>2277</v>
      </c>
      <c r="C5685" s="39" t="s">
        <v>2167</v>
      </c>
      <c r="D5685" t="s">
        <v>4243</v>
      </c>
      <c r="F5685" s="56"/>
    </row>
    <row r="5686" spans="1:6" ht="15">
      <c r="A5686" s="51">
        <v>294171</v>
      </c>
      <c r="B5686" t="s">
        <v>3558</v>
      </c>
      <c r="C5686" s="39" t="s">
        <v>2167</v>
      </c>
      <c r="D5686">
        <v>8</v>
      </c>
      <c r="F5686" s="56"/>
    </row>
    <row r="5687" spans="1:6" ht="15">
      <c r="A5687" s="51">
        <v>294172</v>
      </c>
      <c r="B5687" t="s">
        <v>2909</v>
      </c>
      <c r="C5687" s="39" t="s">
        <v>2648</v>
      </c>
      <c r="D5687">
        <v>8</v>
      </c>
      <c r="F5687" s="56"/>
    </row>
    <row r="5688" spans="1:6" ht="15">
      <c r="A5688" s="51">
        <v>294173</v>
      </c>
      <c r="B5688" t="s">
        <v>3559</v>
      </c>
      <c r="C5688" s="39" t="s">
        <v>2648</v>
      </c>
      <c r="D5688">
        <v>8</v>
      </c>
      <c r="F5688" s="56"/>
    </row>
    <row r="5689" spans="1:6" ht="15">
      <c r="A5689" s="51">
        <v>294174</v>
      </c>
      <c r="B5689" t="s">
        <v>3560</v>
      </c>
      <c r="C5689" s="39" t="s">
        <v>2648</v>
      </c>
      <c r="D5689">
        <v>9</v>
      </c>
      <c r="F5689" s="56"/>
    </row>
    <row r="5690" spans="1:6" ht="15">
      <c r="A5690" s="51">
        <v>294175</v>
      </c>
      <c r="B5690" t="s">
        <v>87</v>
      </c>
      <c r="C5690" s="39" t="s">
        <v>88</v>
      </c>
      <c r="D5690">
        <v>8</v>
      </c>
      <c r="F5690" s="56"/>
    </row>
    <row r="5691" spans="1:6" ht="15">
      <c r="A5691" s="51">
        <v>294176</v>
      </c>
      <c r="B5691" t="s">
        <v>89</v>
      </c>
      <c r="C5691" s="39" t="s">
        <v>90</v>
      </c>
      <c r="D5691">
        <v>7</v>
      </c>
      <c r="F5691" s="56"/>
    </row>
    <row r="5692" spans="1:6" ht="15">
      <c r="A5692" s="51">
        <v>294177</v>
      </c>
      <c r="B5692" t="s">
        <v>91</v>
      </c>
      <c r="C5692" s="39" t="s">
        <v>92</v>
      </c>
      <c r="D5692" t="s">
        <v>4246</v>
      </c>
      <c r="F5692" s="56"/>
    </row>
    <row r="5693" spans="1:6" ht="15">
      <c r="A5693" s="51">
        <v>294178</v>
      </c>
      <c r="B5693" t="s">
        <v>93</v>
      </c>
      <c r="C5693" s="39" t="s">
        <v>92</v>
      </c>
      <c r="D5693" t="s">
        <v>4244</v>
      </c>
      <c r="F5693" s="56"/>
    </row>
    <row r="5694" spans="1:6" ht="15">
      <c r="A5694" s="51">
        <v>294179</v>
      </c>
      <c r="B5694" t="s">
        <v>61</v>
      </c>
      <c r="C5694" s="39" t="s">
        <v>92</v>
      </c>
      <c r="D5694" t="s">
        <v>4243</v>
      </c>
      <c r="F5694" s="56"/>
    </row>
    <row r="5695" spans="1:6" ht="15">
      <c r="A5695" s="51">
        <v>294180</v>
      </c>
      <c r="B5695" t="s">
        <v>94</v>
      </c>
      <c r="C5695" s="39" t="s">
        <v>92</v>
      </c>
      <c r="D5695">
        <v>8</v>
      </c>
      <c r="F5695" s="56"/>
    </row>
    <row r="5696" spans="1:6" ht="15">
      <c r="A5696" s="51">
        <v>294181</v>
      </c>
      <c r="B5696" t="s">
        <v>95</v>
      </c>
      <c r="C5696" s="39" t="s">
        <v>96</v>
      </c>
      <c r="D5696">
        <v>8</v>
      </c>
      <c r="F5696" s="56"/>
    </row>
    <row r="5697" spans="1:6" ht="15">
      <c r="A5697" s="51">
        <v>294182</v>
      </c>
      <c r="B5697" t="s">
        <v>97</v>
      </c>
      <c r="C5697" s="39" t="s">
        <v>96</v>
      </c>
      <c r="D5697">
        <v>8</v>
      </c>
      <c r="F5697" s="56"/>
    </row>
    <row r="5698" spans="1:6" ht="15">
      <c r="A5698" s="51">
        <v>294183</v>
      </c>
      <c r="B5698" t="s">
        <v>98</v>
      </c>
      <c r="C5698" s="39" t="s">
        <v>99</v>
      </c>
      <c r="D5698">
        <v>7</v>
      </c>
      <c r="F5698" s="56"/>
    </row>
    <row r="5699" spans="1:6" ht="15">
      <c r="A5699" s="51">
        <v>294184</v>
      </c>
      <c r="B5699" t="s">
        <v>100</v>
      </c>
      <c r="C5699" s="39" t="s">
        <v>99</v>
      </c>
      <c r="D5699">
        <v>8</v>
      </c>
      <c r="F5699" s="56"/>
    </row>
    <row r="5700" spans="1:6" ht="15">
      <c r="A5700" s="51">
        <v>294185</v>
      </c>
      <c r="B5700" t="s">
        <v>101</v>
      </c>
      <c r="C5700" s="39" t="s">
        <v>102</v>
      </c>
      <c r="D5700" t="s">
        <v>4243</v>
      </c>
      <c r="F5700" s="56"/>
    </row>
    <row r="5701" spans="1:6" ht="15">
      <c r="A5701" s="51">
        <v>294186</v>
      </c>
      <c r="B5701" t="s">
        <v>103</v>
      </c>
      <c r="C5701" s="39" t="s">
        <v>104</v>
      </c>
      <c r="D5701" t="s">
        <v>4243</v>
      </c>
      <c r="F5701" s="56"/>
    </row>
    <row r="5702" spans="1:6" ht="15">
      <c r="A5702" s="51">
        <v>293124</v>
      </c>
      <c r="B5702" t="s">
        <v>1592</v>
      </c>
      <c r="C5702" s="39" t="s">
        <v>3561</v>
      </c>
      <c r="D5702">
        <v>9</v>
      </c>
      <c r="F5702" s="56"/>
    </row>
    <row r="5703" spans="1:6" ht="15">
      <c r="A5703" s="51">
        <v>294187</v>
      </c>
      <c r="B5703" t="s">
        <v>105</v>
      </c>
      <c r="C5703" s="39" t="s">
        <v>106</v>
      </c>
      <c r="D5703" t="s">
        <v>4245</v>
      </c>
      <c r="F5703" s="56"/>
    </row>
    <row r="5704" spans="1:6" ht="15">
      <c r="A5704" s="51">
        <v>294188</v>
      </c>
      <c r="B5704" t="s">
        <v>107</v>
      </c>
      <c r="C5704" s="39" t="s">
        <v>106</v>
      </c>
      <c r="D5704" t="s">
        <v>4245</v>
      </c>
      <c r="F5704" s="56"/>
    </row>
    <row r="5705" spans="1:6" ht="15">
      <c r="A5705" s="51">
        <v>294189</v>
      </c>
      <c r="B5705" t="s">
        <v>109</v>
      </c>
      <c r="C5705" s="39" t="s">
        <v>108</v>
      </c>
      <c r="D5705" t="s">
        <v>4245</v>
      </c>
      <c r="F5705" s="56"/>
    </row>
    <row r="5706" spans="1:6" ht="15">
      <c r="A5706" s="51">
        <v>294190</v>
      </c>
      <c r="B5706" t="s">
        <v>111</v>
      </c>
      <c r="C5706" s="39" t="s">
        <v>108</v>
      </c>
      <c r="D5706" t="s">
        <v>4245</v>
      </c>
      <c r="F5706" s="56"/>
    </row>
    <row r="5707" spans="1:6" ht="15">
      <c r="A5707" s="51">
        <v>294191</v>
      </c>
      <c r="B5707" t="s">
        <v>112</v>
      </c>
      <c r="C5707" s="39" t="s">
        <v>108</v>
      </c>
      <c r="D5707" t="s">
        <v>4244</v>
      </c>
      <c r="F5707" s="56"/>
    </row>
    <row r="5708" spans="1:6" ht="15">
      <c r="A5708" s="51">
        <v>294192</v>
      </c>
      <c r="B5708" t="s">
        <v>113</v>
      </c>
      <c r="C5708" s="39" t="s">
        <v>108</v>
      </c>
      <c r="D5708" t="s">
        <v>4243</v>
      </c>
      <c r="F5708" s="56"/>
    </row>
    <row r="5709" spans="1:6" ht="15">
      <c r="A5709" s="51">
        <v>294193</v>
      </c>
      <c r="B5709" t="s">
        <v>114</v>
      </c>
      <c r="C5709" s="39" t="s">
        <v>115</v>
      </c>
      <c r="D5709">
        <v>8</v>
      </c>
      <c r="F5709" s="56"/>
    </row>
    <row r="5710" spans="1:6" ht="15">
      <c r="A5710" s="51">
        <v>294194</v>
      </c>
      <c r="B5710" t="s">
        <v>1157</v>
      </c>
      <c r="C5710" s="39" t="s">
        <v>108</v>
      </c>
      <c r="D5710" t="s">
        <v>4245</v>
      </c>
      <c r="F5710" s="56"/>
    </row>
    <row r="5711" spans="1:6" ht="15">
      <c r="A5711" s="51">
        <v>294195</v>
      </c>
      <c r="B5711" t="s">
        <v>110</v>
      </c>
      <c r="C5711" s="39" t="s">
        <v>108</v>
      </c>
      <c r="D5711" t="s">
        <v>4245</v>
      </c>
      <c r="F5711" s="56"/>
    </row>
    <row r="5712" spans="1:6" ht="15">
      <c r="A5712" s="51">
        <v>294196</v>
      </c>
      <c r="B5712" t="s">
        <v>116</v>
      </c>
      <c r="C5712" s="39" t="s">
        <v>117</v>
      </c>
      <c r="D5712">
        <v>7</v>
      </c>
      <c r="F5712" s="56"/>
    </row>
    <row r="5713" spans="1:6" ht="15">
      <c r="A5713" s="51">
        <v>294197</v>
      </c>
      <c r="B5713" t="s">
        <v>118</v>
      </c>
      <c r="C5713" s="39" t="s">
        <v>117</v>
      </c>
      <c r="D5713">
        <v>8</v>
      </c>
      <c r="F5713" s="56"/>
    </row>
    <row r="5714" spans="1:6" ht="15">
      <c r="A5714" s="51">
        <v>294198</v>
      </c>
      <c r="B5714" t="s">
        <v>119</v>
      </c>
      <c r="C5714" s="39" t="s">
        <v>120</v>
      </c>
      <c r="D5714" t="s">
        <v>4246</v>
      </c>
      <c r="F5714" s="56"/>
    </row>
    <row r="5715" spans="1:6" ht="15">
      <c r="A5715" s="51">
        <v>294199</v>
      </c>
      <c r="B5715" t="s">
        <v>121</v>
      </c>
      <c r="C5715" s="39" t="s">
        <v>120</v>
      </c>
      <c r="D5715" t="s">
        <v>4244</v>
      </c>
      <c r="F5715" s="56"/>
    </row>
    <row r="5716" spans="1:6" ht="15">
      <c r="A5716" s="51">
        <v>294200</v>
      </c>
      <c r="B5716" t="s">
        <v>122</v>
      </c>
      <c r="C5716" s="39" t="s">
        <v>123</v>
      </c>
      <c r="D5716" t="s">
        <v>4246</v>
      </c>
      <c r="F5716" s="56"/>
    </row>
    <row r="5717" spans="1:6" ht="15">
      <c r="A5717" s="51">
        <v>294201</v>
      </c>
      <c r="B5717" t="s">
        <v>124</v>
      </c>
      <c r="C5717" s="39" t="s">
        <v>123</v>
      </c>
      <c r="D5717" t="s">
        <v>4244</v>
      </c>
      <c r="F5717" s="56"/>
    </row>
    <row r="5718" spans="1:6" ht="15">
      <c r="A5718" s="51">
        <v>294202</v>
      </c>
      <c r="B5718" t="s">
        <v>125</v>
      </c>
      <c r="C5718" s="39" t="s">
        <v>123</v>
      </c>
      <c r="D5718" t="s">
        <v>4243</v>
      </c>
      <c r="F5718" s="56"/>
    </row>
    <row r="5719" spans="1:6" ht="15">
      <c r="A5719" s="51">
        <v>294203</v>
      </c>
      <c r="B5719" t="s">
        <v>126</v>
      </c>
      <c r="C5719" s="39" t="s">
        <v>127</v>
      </c>
      <c r="D5719" t="s">
        <v>4244</v>
      </c>
      <c r="F5719" s="56"/>
    </row>
    <row r="5720" spans="1:6" ht="15">
      <c r="A5720" s="51">
        <v>294204</v>
      </c>
      <c r="B5720" t="s">
        <v>128</v>
      </c>
      <c r="C5720" s="39" t="s">
        <v>127</v>
      </c>
      <c r="D5720">
        <v>7</v>
      </c>
      <c r="F5720" s="56"/>
    </row>
    <row r="5721" spans="1:6" ht="15">
      <c r="A5721" s="51">
        <v>294205</v>
      </c>
      <c r="B5721" t="s">
        <v>129</v>
      </c>
      <c r="C5721" s="39" t="s">
        <v>130</v>
      </c>
      <c r="D5721" t="s">
        <v>4243</v>
      </c>
      <c r="F5721" s="56"/>
    </row>
    <row r="5722" spans="1:6" ht="15">
      <c r="A5722" s="51">
        <v>294206</v>
      </c>
      <c r="B5722" t="s">
        <v>131</v>
      </c>
      <c r="C5722" s="39" t="s">
        <v>132</v>
      </c>
      <c r="D5722" t="s">
        <v>469</v>
      </c>
      <c r="F5722" s="56"/>
    </row>
    <row r="5723" spans="1:6" ht="15">
      <c r="A5723" s="51">
        <v>294207</v>
      </c>
      <c r="B5723" t="s">
        <v>133</v>
      </c>
      <c r="C5723" s="39" t="s">
        <v>134</v>
      </c>
      <c r="D5723">
        <v>7</v>
      </c>
      <c r="F5723" s="56"/>
    </row>
    <row r="5724" spans="1:6" ht="15">
      <c r="A5724" s="51">
        <v>294208</v>
      </c>
      <c r="B5724" t="s">
        <v>135</v>
      </c>
      <c r="C5724" s="39" t="s">
        <v>134</v>
      </c>
      <c r="D5724">
        <v>8</v>
      </c>
      <c r="F5724" s="56"/>
    </row>
    <row r="5725" spans="1:6" ht="15">
      <c r="A5725" s="51">
        <v>294209</v>
      </c>
      <c r="B5725" t="s">
        <v>136</v>
      </c>
      <c r="C5725" s="39" t="s">
        <v>134</v>
      </c>
      <c r="D5725">
        <v>8</v>
      </c>
      <c r="F5725" s="56"/>
    </row>
    <row r="5726" spans="1:6" ht="15">
      <c r="A5726" s="51">
        <v>294210</v>
      </c>
      <c r="B5726" t="s">
        <v>137</v>
      </c>
      <c r="C5726" s="39" t="s">
        <v>134</v>
      </c>
      <c r="D5726">
        <v>9</v>
      </c>
      <c r="F5726" s="56"/>
    </row>
    <row r="5727" spans="1:6" ht="15">
      <c r="A5727" s="51">
        <v>294211</v>
      </c>
      <c r="B5727" t="s">
        <v>63</v>
      </c>
      <c r="C5727" s="39" t="s">
        <v>138</v>
      </c>
      <c r="D5727">
        <v>9</v>
      </c>
      <c r="F5727" s="56"/>
    </row>
    <row r="5728" spans="1:6" ht="15">
      <c r="A5728" s="51">
        <v>294212</v>
      </c>
      <c r="B5728" t="s">
        <v>139</v>
      </c>
      <c r="C5728" s="39" t="s">
        <v>140</v>
      </c>
      <c r="D5728">
        <v>7</v>
      </c>
      <c r="F5728" s="56"/>
    </row>
    <row r="5729" spans="1:6" ht="15">
      <c r="A5729" s="51">
        <v>294213</v>
      </c>
      <c r="B5729" t="s">
        <v>141</v>
      </c>
      <c r="C5729" s="39" t="s">
        <v>142</v>
      </c>
      <c r="D5729" t="s">
        <v>4243</v>
      </c>
      <c r="F5729" s="56"/>
    </row>
    <row r="5730" spans="1:6" ht="15">
      <c r="A5730" s="51">
        <v>294214</v>
      </c>
      <c r="B5730" t="s">
        <v>143</v>
      </c>
      <c r="C5730" s="39" t="s">
        <v>144</v>
      </c>
      <c r="D5730" t="s">
        <v>4248</v>
      </c>
      <c r="F5730" s="56"/>
    </row>
    <row r="5731" spans="1:6" ht="15">
      <c r="A5731" s="51">
        <v>294215</v>
      </c>
      <c r="B5731" t="s">
        <v>145</v>
      </c>
      <c r="C5731" s="39" t="s">
        <v>146</v>
      </c>
      <c r="D5731">
        <v>8</v>
      </c>
      <c r="F5731" s="56"/>
    </row>
    <row r="5732" spans="1:6" ht="15">
      <c r="A5732" s="51">
        <v>294216</v>
      </c>
      <c r="B5732" t="s">
        <v>147</v>
      </c>
      <c r="C5732" s="39" t="s">
        <v>148</v>
      </c>
      <c r="D5732" t="s">
        <v>4246</v>
      </c>
      <c r="F5732" s="56"/>
    </row>
    <row r="5733" spans="1:6" ht="15">
      <c r="A5733" s="51">
        <v>294217</v>
      </c>
      <c r="B5733" t="s">
        <v>149</v>
      </c>
      <c r="C5733" s="39" t="s">
        <v>148</v>
      </c>
      <c r="D5733" t="s">
        <v>4246</v>
      </c>
      <c r="F5733" s="56"/>
    </row>
    <row r="5734" spans="1:6" ht="15">
      <c r="A5734" s="51">
        <v>294219</v>
      </c>
      <c r="B5734" t="s">
        <v>152</v>
      </c>
      <c r="C5734" s="39" t="s">
        <v>151</v>
      </c>
      <c r="D5734" t="s">
        <v>469</v>
      </c>
      <c r="F5734" s="56"/>
    </row>
    <row r="5735" spans="1:6" ht="15">
      <c r="A5735" s="51">
        <v>294220</v>
      </c>
      <c r="B5735" t="s">
        <v>153</v>
      </c>
      <c r="C5735" s="39" t="s">
        <v>151</v>
      </c>
      <c r="D5735" t="s">
        <v>471</v>
      </c>
      <c r="F5735" s="56"/>
    </row>
    <row r="5736" spans="1:6" ht="15">
      <c r="A5736" s="51">
        <v>294221</v>
      </c>
      <c r="B5736" t="s">
        <v>154</v>
      </c>
      <c r="C5736" s="39" t="s">
        <v>155</v>
      </c>
      <c r="D5736">
        <v>8</v>
      </c>
      <c r="F5736" s="56"/>
    </row>
    <row r="5737" spans="1:6" ht="15">
      <c r="A5737" s="51">
        <v>294222</v>
      </c>
      <c r="B5737" t="s">
        <v>156</v>
      </c>
      <c r="C5737" s="39" t="s">
        <v>157</v>
      </c>
      <c r="D5737" t="s">
        <v>4245</v>
      </c>
      <c r="F5737" s="56"/>
    </row>
    <row r="5738" spans="1:6" ht="15">
      <c r="A5738" s="51">
        <v>294223</v>
      </c>
      <c r="B5738" t="s">
        <v>158</v>
      </c>
      <c r="C5738" s="39" t="s">
        <v>157</v>
      </c>
      <c r="D5738" t="s">
        <v>4244</v>
      </c>
      <c r="F5738" s="56"/>
    </row>
    <row r="5739" spans="1:6" ht="15">
      <c r="A5739" s="51">
        <v>294224</v>
      </c>
      <c r="B5739" t="s">
        <v>159</v>
      </c>
      <c r="C5739" s="39" t="s">
        <v>157</v>
      </c>
      <c r="D5739" t="s">
        <v>4243</v>
      </c>
      <c r="F5739" s="56"/>
    </row>
    <row r="5740" spans="1:6" ht="15">
      <c r="A5740" s="51">
        <v>294225</v>
      </c>
      <c r="B5740" t="s">
        <v>160</v>
      </c>
      <c r="C5740" s="39" t="s">
        <v>161</v>
      </c>
      <c r="D5740" t="s">
        <v>4246</v>
      </c>
      <c r="F5740" s="56"/>
    </row>
    <row r="5741" spans="1:6" ht="15">
      <c r="A5741" s="51">
        <v>294226</v>
      </c>
      <c r="B5741" t="s">
        <v>162</v>
      </c>
      <c r="C5741" s="39" t="s">
        <v>161</v>
      </c>
      <c r="D5741" t="s">
        <v>4243</v>
      </c>
      <c r="F5741" s="56"/>
    </row>
    <row r="5742" spans="1:6" ht="15">
      <c r="A5742" s="51">
        <v>294227</v>
      </c>
      <c r="B5742" t="s">
        <v>163</v>
      </c>
      <c r="C5742" s="39" t="s">
        <v>161</v>
      </c>
      <c r="D5742">
        <v>7</v>
      </c>
      <c r="F5742" s="56"/>
    </row>
    <row r="5743" spans="1:6" ht="15">
      <c r="A5743" s="51">
        <v>294228</v>
      </c>
      <c r="B5743" t="s">
        <v>164</v>
      </c>
      <c r="C5743" s="39" t="s">
        <v>161</v>
      </c>
      <c r="D5743">
        <v>8</v>
      </c>
      <c r="F5743" s="56"/>
    </row>
    <row r="5744" spans="1:6" ht="15">
      <c r="A5744" s="51">
        <v>294229</v>
      </c>
      <c r="B5744" t="s">
        <v>165</v>
      </c>
      <c r="C5744" s="39" t="s">
        <v>166</v>
      </c>
      <c r="D5744" t="s">
        <v>4245</v>
      </c>
      <c r="F5744" s="56"/>
    </row>
    <row r="5745" spans="1:6" ht="15">
      <c r="A5745" s="51">
        <v>294230</v>
      </c>
      <c r="B5745" t="s">
        <v>167</v>
      </c>
      <c r="C5745" s="39" t="s">
        <v>166</v>
      </c>
      <c r="D5745" t="s">
        <v>4244</v>
      </c>
      <c r="F5745" s="56"/>
    </row>
    <row r="5746" spans="1:6" ht="15">
      <c r="A5746" s="51">
        <v>294231</v>
      </c>
      <c r="B5746" t="s">
        <v>168</v>
      </c>
      <c r="C5746" s="39" t="s">
        <v>166</v>
      </c>
      <c r="D5746" t="s">
        <v>4243</v>
      </c>
      <c r="F5746" s="56"/>
    </row>
    <row r="5747" spans="1:6" ht="15">
      <c r="A5747" s="51">
        <v>294232</v>
      </c>
      <c r="B5747" t="s">
        <v>169</v>
      </c>
      <c r="C5747" s="39" t="s">
        <v>170</v>
      </c>
      <c r="D5747" t="s">
        <v>4247</v>
      </c>
      <c r="F5747" s="56"/>
    </row>
    <row r="5748" spans="1:6" ht="15">
      <c r="A5748" s="51">
        <v>294233</v>
      </c>
      <c r="B5748" t="s">
        <v>171</v>
      </c>
      <c r="C5748" s="39" t="s">
        <v>170</v>
      </c>
      <c r="D5748" t="s">
        <v>4243</v>
      </c>
      <c r="F5748" s="56"/>
    </row>
    <row r="5749" spans="1:6" ht="15">
      <c r="A5749" s="51">
        <v>294234</v>
      </c>
      <c r="B5749" t="s">
        <v>172</v>
      </c>
      <c r="C5749" s="39" t="s">
        <v>170</v>
      </c>
      <c r="D5749">
        <v>7</v>
      </c>
      <c r="F5749" s="56"/>
    </row>
    <row r="5750" spans="1:6" ht="15">
      <c r="A5750" s="51">
        <v>294235</v>
      </c>
      <c r="B5750" t="s">
        <v>173</v>
      </c>
      <c r="C5750" s="39" t="s">
        <v>170</v>
      </c>
      <c r="D5750">
        <v>8</v>
      </c>
      <c r="F5750" s="56"/>
    </row>
    <row r="5751" spans="1:6" ht="15">
      <c r="A5751" s="51">
        <v>294236</v>
      </c>
      <c r="B5751" t="s">
        <v>174</v>
      </c>
      <c r="C5751" s="39" t="s">
        <v>175</v>
      </c>
      <c r="D5751" t="s">
        <v>4243</v>
      </c>
      <c r="F5751" s="56"/>
    </row>
    <row r="5752" spans="1:6" ht="15">
      <c r="A5752" s="51">
        <v>294237</v>
      </c>
      <c r="B5752" t="s">
        <v>176</v>
      </c>
      <c r="C5752" s="39" t="s">
        <v>177</v>
      </c>
      <c r="D5752" t="s">
        <v>468</v>
      </c>
      <c r="F5752" s="56"/>
    </row>
    <row r="5753" spans="1:6" ht="15">
      <c r="A5753" s="51">
        <v>294238</v>
      </c>
      <c r="B5753" t="s">
        <v>178</v>
      </c>
      <c r="C5753" s="39" t="s">
        <v>177</v>
      </c>
      <c r="D5753" t="s">
        <v>469</v>
      </c>
      <c r="F5753" s="56"/>
    </row>
    <row r="5754" spans="1:6" ht="15">
      <c r="A5754" s="51">
        <v>294239</v>
      </c>
      <c r="B5754" t="s">
        <v>179</v>
      </c>
      <c r="C5754" s="39" t="s">
        <v>180</v>
      </c>
      <c r="D5754" t="s">
        <v>4247</v>
      </c>
      <c r="F5754" s="56"/>
    </row>
    <row r="5755" spans="1:6" ht="15">
      <c r="A5755" s="51">
        <v>294240</v>
      </c>
      <c r="B5755" t="s">
        <v>66</v>
      </c>
      <c r="C5755" s="39" t="s">
        <v>181</v>
      </c>
      <c r="D5755" t="s">
        <v>4243</v>
      </c>
      <c r="F5755" s="56"/>
    </row>
    <row r="5756" spans="1:6" ht="15">
      <c r="A5756" s="51">
        <v>294241</v>
      </c>
      <c r="B5756" t="s">
        <v>67</v>
      </c>
      <c r="C5756" s="39" t="s">
        <v>181</v>
      </c>
      <c r="D5756">
        <v>7</v>
      </c>
      <c r="F5756" s="56"/>
    </row>
    <row r="5757" spans="1:6" ht="15">
      <c r="A5757" s="51">
        <v>294242</v>
      </c>
      <c r="B5757" t="s">
        <v>68</v>
      </c>
      <c r="C5757" s="39" t="s">
        <v>3562</v>
      </c>
      <c r="D5757">
        <v>9</v>
      </c>
      <c r="F5757" s="56"/>
    </row>
    <row r="5758" spans="1:6" ht="15">
      <c r="A5758" s="51">
        <v>294243</v>
      </c>
      <c r="B5758" t="s">
        <v>182</v>
      </c>
      <c r="C5758" s="39" t="s">
        <v>183</v>
      </c>
      <c r="D5758">
        <v>7</v>
      </c>
      <c r="F5758" s="56"/>
    </row>
    <row r="5759" spans="1:6" ht="15">
      <c r="A5759" s="51">
        <v>294244</v>
      </c>
      <c r="B5759" t="s">
        <v>184</v>
      </c>
      <c r="C5759" s="39" t="s">
        <v>185</v>
      </c>
      <c r="D5759" t="s">
        <v>4244</v>
      </c>
      <c r="F5759" s="56"/>
    </row>
    <row r="5760" spans="1:6" ht="15">
      <c r="A5760" s="51">
        <v>294245</v>
      </c>
      <c r="B5760" t="s">
        <v>186</v>
      </c>
      <c r="C5760" s="39" t="s">
        <v>185</v>
      </c>
      <c r="D5760" t="s">
        <v>4244</v>
      </c>
      <c r="F5760" s="56"/>
    </row>
    <row r="5761" spans="1:6" ht="15">
      <c r="A5761" s="51">
        <v>294246</v>
      </c>
      <c r="B5761" t="s">
        <v>187</v>
      </c>
      <c r="C5761" s="39" t="s">
        <v>185</v>
      </c>
      <c r="D5761" t="s">
        <v>4243</v>
      </c>
      <c r="F5761" s="56"/>
    </row>
    <row r="5762" spans="1:6" ht="15">
      <c r="A5762" s="51">
        <v>294247</v>
      </c>
      <c r="B5762" t="s">
        <v>188</v>
      </c>
      <c r="C5762" s="39" t="s">
        <v>189</v>
      </c>
      <c r="D5762" t="s">
        <v>4247</v>
      </c>
      <c r="F5762" s="56"/>
    </row>
    <row r="5763" spans="1:6" ht="15">
      <c r="A5763" s="51">
        <v>294248</v>
      </c>
      <c r="B5763" t="s">
        <v>190</v>
      </c>
      <c r="C5763" s="39" t="s">
        <v>189</v>
      </c>
      <c r="D5763" t="s">
        <v>4243</v>
      </c>
      <c r="F5763" s="56"/>
    </row>
    <row r="5764" spans="1:6" ht="15">
      <c r="A5764" s="51">
        <v>294249</v>
      </c>
      <c r="B5764" t="s">
        <v>191</v>
      </c>
      <c r="C5764" s="39" t="s">
        <v>189</v>
      </c>
      <c r="D5764">
        <v>7</v>
      </c>
      <c r="F5764" s="56"/>
    </row>
    <row r="5765" spans="1:6" ht="15">
      <c r="A5765" s="51">
        <v>294250</v>
      </c>
      <c r="B5765" t="s">
        <v>69</v>
      </c>
      <c r="C5765" s="39" t="s">
        <v>192</v>
      </c>
      <c r="D5765" t="s">
        <v>4247</v>
      </c>
      <c r="F5765" s="56"/>
    </row>
    <row r="5766" spans="1:6" ht="15">
      <c r="A5766" s="51">
        <v>294251</v>
      </c>
      <c r="B5766" t="s">
        <v>70</v>
      </c>
      <c r="C5766" s="39" t="s">
        <v>192</v>
      </c>
      <c r="D5766" t="s">
        <v>4243</v>
      </c>
      <c r="F5766" s="56"/>
    </row>
    <row r="5767" spans="1:6" ht="15">
      <c r="A5767" s="51">
        <v>294252</v>
      </c>
      <c r="B5767" t="s">
        <v>71</v>
      </c>
      <c r="C5767" s="39" t="s">
        <v>192</v>
      </c>
      <c r="D5767">
        <v>7</v>
      </c>
      <c r="F5767" s="56"/>
    </row>
    <row r="5768" spans="1:6" ht="15">
      <c r="A5768" s="51">
        <v>294253</v>
      </c>
      <c r="B5768" t="s">
        <v>193</v>
      </c>
      <c r="C5768" s="39" t="s">
        <v>194</v>
      </c>
      <c r="D5768">
        <v>7</v>
      </c>
      <c r="F5768" s="56"/>
    </row>
    <row r="5769" spans="1:6" ht="15">
      <c r="A5769" s="51">
        <v>294254</v>
      </c>
      <c r="B5769" t="s">
        <v>195</v>
      </c>
      <c r="C5769" s="39" t="s">
        <v>194</v>
      </c>
      <c r="D5769">
        <v>8</v>
      </c>
      <c r="F5769" s="56"/>
    </row>
    <row r="5770" spans="1:6" ht="15">
      <c r="A5770" s="51">
        <v>294255</v>
      </c>
      <c r="B5770" t="s">
        <v>196</v>
      </c>
      <c r="C5770" s="39" t="s">
        <v>197</v>
      </c>
      <c r="D5770" t="s">
        <v>4244</v>
      </c>
      <c r="F5770" s="56"/>
    </row>
    <row r="5771" spans="1:6" ht="15">
      <c r="A5771" s="51">
        <v>294256</v>
      </c>
      <c r="B5771" t="s">
        <v>198</v>
      </c>
      <c r="C5771" s="39" t="s">
        <v>197</v>
      </c>
      <c r="D5771">
        <v>9</v>
      </c>
      <c r="F5771" s="56"/>
    </row>
    <row r="5772" spans="1:6" ht="15">
      <c r="A5772" s="51">
        <v>294257</v>
      </c>
      <c r="B5772" t="s">
        <v>199</v>
      </c>
      <c r="C5772" s="39" t="s">
        <v>200</v>
      </c>
      <c r="D5772" t="s">
        <v>4243</v>
      </c>
      <c r="F5772" s="56"/>
    </row>
    <row r="5773" spans="1:6" ht="15">
      <c r="A5773" s="51">
        <v>294258</v>
      </c>
      <c r="B5773" t="s">
        <v>201</v>
      </c>
      <c r="C5773" s="39" t="s">
        <v>200</v>
      </c>
      <c r="D5773">
        <v>7</v>
      </c>
      <c r="F5773" s="56"/>
    </row>
    <row r="5774" spans="1:6" ht="15">
      <c r="A5774" s="51">
        <v>294259</v>
      </c>
      <c r="B5774" t="s">
        <v>202</v>
      </c>
      <c r="C5774" s="39" t="s">
        <v>203</v>
      </c>
      <c r="D5774">
        <v>8</v>
      </c>
      <c r="F5774" s="56"/>
    </row>
    <row r="5775" spans="1:6" ht="15">
      <c r="A5775" s="51">
        <v>294260</v>
      </c>
      <c r="B5775" t="s">
        <v>204</v>
      </c>
      <c r="C5775" s="39" t="s">
        <v>205</v>
      </c>
      <c r="D5775">
        <v>7</v>
      </c>
      <c r="F5775" s="56"/>
    </row>
    <row r="5776" spans="1:6" ht="15">
      <c r="A5776" s="51">
        <v>294261</v>
      </c>
      <c r="B5776" t="s">
        <v>206</v>
      </c>
      <c r="C5776" s="39" t="s">
        <v>207</v>
      </c>
      <c r="D5776">
        <v>7</v>
      </c>
      <c r="F5776" s="56"/>
    </row>
    <row r="5777" spans="1:6" ht="15">
      <c r="A5777" s="51">
        <v>294262</v>
      </c>
      <c r="B5777" t="s">
        <v>208</v>
      </c>
      <c r="C5777" s="39" t="s">
        <v>207</v>
      </c>
      <c r="D5777">
        <v>8</v>
      </c>
      <c r="F5777" s="56"/>
    </row>
    <row r="5778" spans="1:6" ht="15">
      <c r="A5778" s="51">
        <v>294263</v>
      </c>
      <c r="B5778" t="s">
        <v>209</v>
      </c>
      <c r="C5778" s="39" t="s">
        <v>210</v>
      </c>
      <c r="D5778">
        <v>7</v>
      </c>
      <c r="F5778" s="56"/>
    </row>
    <row r="5779" spans="1:6" ht="15">
      <c r="A5779" s="51">
        <v>294264</v>
      </c>
      <c r="B5779" t="s">
        <v>211</v>
      </c>
      <c r="C5779" s="39" t="s">
        <v>210</v>
      </c>
      <c r="D5779">
        <v>8</v>
      </c>
      <c r="F5779" s="56"/>
    </row>
    <row r="5780" spans="1:6" ht="15">
      <c r="A5780" s="51">
        <v>294265</v>
      </c>
      <c r="B5780" t="s">
        <v>212</v>
      </c>
      <c r="C5780" s="39" t="s">
        <v>213</v>
      </c>
      <c r="D5780" t="s">
        <v>4247</v>
      </c>
      <c r="F5780" s="56"/>
    </row>
    <row r="5781" spans="1:6" ht="15">
      <c r="A5781" s="51">
        <v>294266</v>
      </c>
      <c r="B5781" t="s">
        <v>214</v>
      </c>
      <c r="C5781" s="39" t="s">
        <v>213</v>
      </c>
      <c r="D5781" t="s">
        <v>4243</v>
      </c>
      <c r="F5781" s="56"/>
    </row>
    <row r="5782" spans="1:6" ht="15">
      <c r="A5782" s="51">
        <v>294267</v>
      </c>
      <c r="B5782" t="s">
        <v>215</v>
      </c>
      <c r="C5782" s="39" t="s">
        <v>213</v>
      </c>
      <c r="D5782">
        <v>7</v>
      </c>
      <c r="F5782" s="56"/>
    </row>
    <row r="5783" spans="1:6" ht="15">
      <c r="A5783" s="51">
        <v>294268</v>
      </c>
      <c r="B5783" t="s">
        <v>216</v>
      </c>
      <c r="C5783" s="39" t="s">
        <v>213</v>
      </c>
      <c r="D5783">
        <v>8</v>
      </c>
      <c r="F5783" s="56"/>
    </row>
    <row r="5784" spans="1:6" ht="15">
      <c r="A5784" s="51">
        <v>294269</v>
      </c>
      <c r="B5784" t="s">
        <v>217</v>
      </c>
      <c r="C5784" s="39" t="s">
        <v>218</v>
      </c>
      <c r="D5784">
        <v>8</v>
      </c>
      <c r="F5784" s="56"/>
    </row>
    <row r="5785" spans="1:6" ht="15">
      <c r="A5785" s="51">
        <v>294270</v>
      </c>
      <c r="B5785" t="s">
        <v>219</v>
      </c>
      <c r="C5785" s="39" t="s">
        <v>218</v>
      </c>
      <c r="D5785">
        <v>8</v>
      </c>
      <c r="F5785" s="56"/>
    </row>
    <row r="5786" spans="1:6" ht="15">
      <c r="A5786" s="51">
        <v>294271</v>
      </c>
      <c r="B5786" t="s">
        <v>220</v>
      </c>
      <c r="C5786" s="39" t="s">
        <v>218</v>
      </c>
      <c r="D5786">
        <v>8</v>
      </c>
      <c r="F5786" s="56"/>
    </row>
    <row r="5787" spans="1:6" ht="15">
      <c r="A5787" s="51">
        <v>294272</v>
      </c>
      <c r="B5787" t="s">
        <v>221</v>
      </c>
      <c r="C5787" s="39" t="s">
        <v>222</v>
      </c>
      <c r="D5787" t="s">
        <v>4245</v>
      </c>
      <c r="F5787" s="56"/>
    </row>
    <row r="5788" spans="1:6" ht="15">
      <c r="A5788" s="51">
        <v>294273</v>
      </c>
      <c r="B5788" t="s">
        <v>223</v>
      </c>
      <c r="C5788" s="39" t="s">
        <v>224</v>
      </c>
      <c r="D5788" t="s">
        <v>4243</v>
      </c>
      <c r="F5788" s="56"/>
    </row>
    <row r="5789" spans="1:6" ht="15">
      <c r="A5789" s="51">
        <v>294274</v>
      </c>
      <c r="B5789" t="s">
        <v>225</v>
      </c>
      <c r="C5789" s="39" t="s">
        <v>226</v>
      </c>
      <c r="D5789">
        <v>7</v>
      </c>
      <c r="F5789" s="56"/>
    </row>
    <row r="5790" spans="1:6" ht="15">
      <c r="A5790" s="51">
        <v>294275</v>
      </c>
      <c r="B5790" t="s">
        <v>227</v>
      </c>
      <c r="C5790" s="39" t="s">
        <v>228</v>
      </c>
      <c r="D5790">
        <v>9</v>
      </c>
      <c r="F5790" s="56"/>
    </row>
    <row r="5791" spans="1:6" ht="15">
      <c r="A5791" s="51">
        <v>294276</v>
      </c>
      <c r="B5791" t="s">
        <v>229</v>
      </c>
      <c r="C5791" s="39" t="s">
        <v>228</v>
      </c>
      <c r="D5791">
        <v>9</v>
      </c>
      <c r="F5791" s="56"/>
    </row>
    <row r="5792" spans="1:6" ht="15">
      <c r="A5792" s="51">
        <v>294277</v>
      </c>
      <c r="B5792" t="s">
        <v>230</v>
      </c>
      <c r="C5792" s="39" t="s">
        <v>231</v>
      </c>
      <c r="D5792" t="s">
        <v>4244</v>
      </c>
      <c r="F5792" s="56"/>
    </row>
    <row r="5793" spans="1:6" ht="15">
      <c r="A5793" s="51">
        <v>294278</v>
      </c>
      <c r="B5793" t="s">
        <v>232</v>
      </c>
      <c r="C5793" s="39" t="s">
        <v>233</v>
      </c>
      <c r="D5793" t="s">
        <v>4244</v>
      </c>
      <c r="F5793" s="56"/>
    </row>
    <row r="5794" spans="1:6" ht="15">
      <c r="A5794" s="51">
        <v>294279</v>
      </c>
      <c r="B5794" t="s">
        <v>234</v>
      </c>
      <c r="C5794" s="39" t="s">
        <v>235</v>
      </c>
      <c r="D5794" t="s">
        <v>4244</v>
      </c>
      <c r="F5794" s="56"/>
    </row>
    <row r="5795" spans="1:6" ht="15">
      <c r="A5795" s="51">
        <v>294280</v>
      </c>
      <c r="B5795" t="s">
        <v>236</v>
      </c>
      <c r="C5795" s="39" t="s">
        <v>235</v>
      </c>
      <c r="D5795" t="s">
        <v>4244</v>
      </c>
      <c r="F5795" s="56"/>
    </row>
    <row r="5796" spans="1:6" ht="15">
      <c r="A5796" s="51">
        <v>294281</v>
      </c>
      <c r="B5796" t="s">
        <v>237</v>
      </c>
      <c r="C5796" s="39" t="s">
        <v>238</v>
      </c>
      <c r="D5796" t="s">
        <v>4246</v>
      </c>
      <c r="F5796" s="56"/>
    </row>
    <row r="5797" spans="1:6" ht="15">
      <c r="A5797" s="51">
        <v>294282</v>
      </c>
      <c r="B5797" t="s">
        <v>239</v>
      </c>
      <c r="C5797" s="39" t="s">
        <v>238</v>
      </c>
      <c r="D5797" t="s">
        <v>4247</v>
      </c>
      <c r="F5797" s="56"/>
    </row>
    <row r="5798" spans="1:6" ht="15">
      <c r="A5798" s="51">
        <v>294283</v>
      </c>
      <c r="B5798" t="s">
        <v>240</v>
      </c>
      <c r="C5798" s="39" t="s">
        <v>241</v>
      </c>
      <c r="D5798" t="s">
        <v>4249</v>
      </c>
      <c r="F5798" s="56"/>
    </row>
    <row r="5799" spans="1:6" ht="15">
      <c r="A5799" s="51">
        <v>294284</v>
      </c>
      <c r="B5799" t="s">
        <v>244</v>
      </c>
      <c r="C5799" s="39" t="s">
        <v>243</v>
      </c>
      <c r="D5799" t="s">
        <v>4247</v>
      </c>
      <c r="F5799" s="56"/>
    </row>
    <row r="5800" spans="1:6" ht="15">
      <c r="A5800" s="51">
        <v>294285</v>
      </c>
      <c r="B5800" t="s">
        <v>242</v>
      </c>
      <c r="C5800" s="39" t="s">
        <v>243</v>
      </c>
      <c r="D5800" t="s">
        <v>4245</v>
      </c>
      <c r="F5800" s="56"/>
    </row>
    <row r="5801" spans="1:6" ht="15">
      <c r="A5801" s="51">
        <v>294286</v>
      </c>
      <c r="B5801" t="s">
        <v>245</v>
      </c>
      <c r="C5801" s="39" t="s">
        <v>243</v>
      </c>
      <c r="D5801" t="s">
        <v>4247</v>
      </c>
      <c r="F5801" s="56"/>
    </row>
    <row r="5802" spans="1:6" ht="15">
      <c r="A5802" s="51">
        <v>294287</v>
      </c>
      <c r="B5802" t="s">
        <v>246</v>
      </c>
      <c r="C5802" s="39" t="s">
        <v>247</v>
      </c>
      <c r="D5802">
        <v>7</v>
      </c>
      <c r="F5802" s="56"/>
    </row>
    <row r="5803" spans="1:6" ht="15">
      <c r="A5803" s="51">
        <v>294288</v>
      </c>
      <c r="B5803" t="s">
        <v>248</v>
      </c>
      <c r="C5803" s="39" t="s">
        <v>249</v>
      </c>
      <c r="D5803" t="s">
        <v>4247</v>
      </c>
      <c r="F5803" s="56"/>
    </row>
    <row r="5804" spans="1:6" ht="15">
      <c r="A5804" s="51">
        <v>294289</v>
      </c>
      <c r="B5804" t="s">
        <v>250</v>
      </c>
      <c r="C5804" s="39" t="s">
        <v>249</v>
      </c>
      <c r="D5804" t="s">
        <v>4243</v>
      </c>
      <c r="F5804" s="56"/>
    </row>
    <row r="5805" spans="1:6" ht="15">
      <c r="A5805" s="51">
        <v>294290</v>
      </c>
      <c r="B5805" t="s">
        <v>251</v>
      </c>
      <c r="C5805" s="39" t="s">
        <v>249</v>
      </c>
      <c r="D5805">
        <v>7</v>
      </c>
      <c r="F5805" s="56"/>
    </row>
    <row r="5806" spans="1:6" ht="15">
      <c r="A5806" s="51">
        <v>294291</v>
      </c>
      <c r="B5806" t="s">
        <v>252</v>
      </c>
      <c r="C5806" s="39" t="s">
        <v>253</v>
      </c>
      <c r="D5806" t="s">
        <v>4245</v>
      </c>
      <c r="F5806" s="56"/>
    </row>
    <row r="5807" spans="1:6" ht="15">
      <c r="A5807" s="51">
        <v>294292</v>
      </c>
      <c r="B5807" t="s">
        <v>254</v>
      </c>
      <c r="C5807" s="39" t="s">
        <v>255</v>
      </c>
      <c r="D5807" t="s">
        <v>4246</v>
      </c>
      <c r="F5807" s="56"/>
    </row>
    <row r="5808" spans="1:6" ht="15">
      <c r="A5808" s="51">
        <v>294293</v>
      </c>
      <c r="B5808" t="s">
        <v>256</v>
      </c>
      <c r="C5808" s="39" t="s">
        <v>255</v>
      </c>
      <c r="D5808" t="s">
        <v>4244</v>
      </c>
      <c r="F5808" s="56"/>
    </row>
    <row r="5809" spans="1:6" ht="15">
      <c r="A5809" s="51">
        <v>294294</v>
      </c>
      <c r="B5809" t="s">
        <v>257</v>
      </c>
      <c r="C5809" s="39" t="s">
        <v>258</v>
      </c>
      <c r="D5809">
        <v>9</v>
      </c>
      <c r="F5809" s="56"/>
    </row>
    <row r="5810" spans="1:6" ht="15">
      <c r="A5810" s="51">
        <v>294295</v>
      </c>
      <c r="B5810" t="s">
        <v>259</v>
      </c>
      <c r="C5810" s="39" t="s">
        <v>258</v>
      </c>
      <c r="D5810">
        <v>9</v>
      </c>
      <c r="F5810" s="56"/>
    </row>
    <row r="5811" spans="1:6" ht="15">
      <c r="A5811" s="51">
        <v>294296</v>
      </c>
      <c r="B5811" t="s">
        <v>260</v>
      </c>
      <c r="C5811" s="39" t="s">
        <v>261</v>
      </c>
      <c r="D5811" t="s">
        <v>4248</v>
      </c>
      <c r="F5811" s="56"/>
    </row>
    <row r="5812" spans="1:6" ht="15">
      <c r="A5812" s="51">
        <v>294297</v>
      </c>
      <c r="B5812" t="s">
        <v>262</v>
      </c>
      <c r="C5812" s="39" t="s">
        <v>261</v>
      </c>
      <c r="D5812" t="s">
        <v>4245</v>
      </c>
      <c r="F5812" s="56"/>
    </row>
    <row r="5813" spans="1:6" ht="15">
      <c r="A5813" s="51">
        <v>294298</v>
      </c>
      <c r="B5813" t="s">
        <v>265</v>
      </c>
      <c r="C5813" s="39" t="s">
        <v>264</v>
      </c>
      <c r="D5813" t="s">
        <v>4245</v>
      </c>
      <c r="F5813" s="56"/>
    </row>
    <row r="5814" spans="1:6" ht="15">
      <c r="A5814" s="51">
        <v>294299</v>
      </c>
      <c r="B5814" t="s">
        <v>72</v>
      </c>
      <c r="C5814" s="39" t="s">
        <v>264</v>
      </c>
      <c r="D5814" t="s">
        <v>4244</v>
      </c>
      <c r="F5814" s="56"/>
    </row>
    <row r="5815" spans="1:6" ht="15">
      <c r="A5815" s="51">
        <v>294300</v>
      </c>
      <c r="B5815" t="s">
        <v>266</v>
      </c>
      <c r="C5815" s="39" t="s">
        <v>264</v>
      </c>
      <c r="D5815" t="s">
        <v>4243</v>
      </c>
      <c r="F5815" s="56"/>
    </row>
    <row r="5816" spans="1:6" ht="15">
      <c r="A5816" s="51">
        <v>294301</v>
      </c>
      <c r="B5816" t="s">
        <v>73</v>
      </c>
      <c r="C5816" s="39" t="s">
        <v>264</v>
      </c>
      <c r="D5816">
        <v>8</v>
      </c>
      <c r="F5816" s="56"/>
    </row>
    <row r="5817" spans="1:6" ht="15">
      <c r="A5817" s="51">
        <v>294302</v>
      </c>
      <c r="B5817" t="s">
        <v>267</v>
      </c>
      <c r="C5817" s="39" t="s">
        <v>264</v>
      </c>
      <c r="D5817">
        <v>8</v>
      </c>
      <c r="F5817" s="56"/>
    </row>
    <row r="5818" spans="1:6" ht="15">
      <c r="A5818" s="51">
        <v>294303</v>
      </c>
      <c r="B5818" t="s">
        <v>263</v>
      </c>
      <c r="C5818" s="39" t="s">
        <v>264</v>
      </c>
      <c r="D5818" t="s">
        <v>4245</v>
      </c>
      <c r="F5818" s="56"/>
    </row>
    <row r="5819" spans="1:6" ht="15">
      <c r="A5819" s="51">
        <v>294304</v>
      </c>
      <c r="B5819" t="s">
        <v>268</v>
      </c>
      <c r="C5819" s="39" t="s">
        <v>269</v>
      </c>
      <c r="D5819" t="s">
        <v>4244</v>
      </c>
      <c r="F5819" s="56"/>
    </row>
    <row r="5820" spans="1:6" ht="15">
      <c r="A5820" s="51">
        <v>294305</v>
      </c>
      <c r="B5820" t="s">
        <v>270</v>
      </c>
      <c r="C5820" s="39" t="s">
        <v>269</v>
      </c>
      <c r="D5820" t="s">
        <v>4243</v>
      </c>
      <c r="F5820" s="56"/>
    </row>
    <row r="5821" spans="1:6" ht="15">
      <c r="A5821" s="51">
        <v>294306</v>
      </c>
      <c r="B5821" t="s">
        <v>271</v>
      </c>
      <c r="C5821" s="39" t="s">
        <v>269</v>
      </c>
      <c r="D5821">
        <v>8</v>
      </c>
      <c r="F5821" s="56"/>
    </row>
    <row r="5822" spans="1:6" ht="15">
      <c r="A5822" s="51">
        <v>294307</v>
      </c>
      <c r="B5822" t="s">
        <v>272</v>
      </c>
      <c r="C5822" s="39" t="s">
        <v>269</v>
      </c>
      <c r="D5822">
        <v>8</v>
      </c>
      <c r="F5822" s="56"/>
    </row>
    <row r="5823" spans="1:6" ht="15">
      <c r="A5823" s="51">
        <v>294308</v>
      </c>
      <c r="B5823" t="s">
        <v>273</v>
      </c>
      <c r="C5823" s="39" t="s">
        <v>274</v>
      </c>
      <c r="D5823" t="s">
        <v>4243</v>
      </c>
      <c r="F5823" s="56"/>
    </row>
    <row r="5824" spans="1:6" ht="15">
      <c r="A5824" s="51">
        <v>294309</v>
      </c>
      <c r="B5824" t="s">
        <v>74</v>
      </c>
      <c r="C5824" s="39" t="s">
        <v>274</v>
      </c>
      <c r="D5824" t="s">
        <v>4243</v>
      </c>
      <c r="F5824" s="56"/>
    </row>
    <row r="5825" spans="1:6" ht="15">
      <c r="A5825" s="51">
        <v>294310</v>
      </c>
      <c r="B5825" t="s">
        <v>75</v>
      </c>
      <c r="C5825" s="39" t="s">
        <v>274</v>
      </c>
      <c r="D5825">
        <v>7</v>
      </c>
      <c r="F5825" s="56"/>
    </row>
    <row r="5826" spans="1:6" ht="15">
      <c r="A5826" s="51">
        <v>294311</v>
      </c>
      <c r="B5826" t="s">
        <v>275</v>
      </c>
      <c r="C5826" s="39" t="s">
        <v>276</v>
      </c>
      <c r="D5826" t="s">
        <v>4244</v>
      </c>
      <c r="F5826" s="56"/>
    </row>
    <row r="5827" spans="1:6" ht="15">
      <c r="A5827" s="51">
        <v>294312</v>
      </c>
      <c r="B5827" t="s">
        <v>277</v>
      </c>
      <c r="C5827" s="39" t="s">
        <v>278</v>
      </c>
      <c r="D5827" t="s">
        <v>468</v>
      </c>
      <c r="F5827" s="56"/>
    </row>
    <row r="5828" spans="1:6" ht="15">
      <c r="A5828" s="51">
        <v>294313</v>
      </c>
      <c r="B5828" t="s">
        <v>279</v>
      </c>
      <c r="C5828" s="39" t="s">
        <v>278</v>
      </c>
      <c r="D5828" t="s">
        <v>468</v>
      </c>
      <c r="F5828" s="56"/>
    </row>
    <row r="5829" spans="1:6" ht="15">
      <c r="A5829" s="51">
        <v>294314</v>
      </c>
      <c r="B5829" t="s">
        <v>280</v>
      </c>
      <c r="C5829" s="39" t="s">
        <v>278</v>
      </c>
      <c r="D5829" t="s">
        <v>469</v>
      </c>
      <c r="F5829" s="56"/>
    </row>
    <row r="5830" spans="1:6" ht="15">
      <c r="A5830" s="51">
        <v>294315</v>
      </c>
      <c r="B5830" t="s">
        <v>281</v>
      </c>
      <c r="C5830" s="39" t="s">
        <v>278</v>
      </c>
      <c r="D5830">
        <v>7</v>
      </c>
      <c r="F5830" s="56"/>
    </row>
    <row r="5831" spans="1:6" ht="15">
      <c r="A5831" s="51">
        <v>294316</v>
      </c>
      <c r="B5831" t="s">
        <v>282</v>
      </c>
      <c r="C5831" s="39" t="s">
        <v>283</v>
      </c>
      <c r="D5831">
        <v>8</v>
      </c>
      <c r="F5831" s="56"/>
    </row>
    <row r="5832" spans="1:6" ht="15">
      <c r="A5832" s="51">
        <v>294317</v>
      </c>
      <c r="B5832" t="s">
        <v>284</v>
      </c>
      <c r="C5832" s="39" t="s">
        <v>285</v>
      </c>
      <c r="D5832" t="s">
        <v>4247</v>
      </c>
      <c r="F5832" s="56"/>
    </row>
    <row r="5833" spans="1:6" ht="15">
      <c r="A5833" s="51">
        <v>294318</v>
      </c>
      <c r="B5833" t="s">
        <v>286</v>
      </c>
      <c r="C5833" s="39" t="s">
        <v>285</v>
      </c>
      <c r="D5833" t="s">
        <v>4243</v>
      </c>
      <c r="F5833" s="56"/>
    </row>
    <row r="5834" spans="1:6" ht="15">
      <c r="A5834" s="51">
        <v>294319</v>
      </c>
      <c r="B5834" t="s">
        <v>287</v>
      </c>
      <c r="C5834" s="39" t="s">
        <v>285</v>
      </c>
      <c r="D5834">
        <v>7</v>
      </c>
      <c r="F5834" s="56"/>
    </row>
    <row r="5835" spans="1:6" ht="15">
      <c r="A5835" s="51">
        <v>294320</v>
      </c>
      <c r="B5835" t="s">
        <v>288</v>
      </c>
      <c r="C5835" s="39" t="s">
        <v>289</v>
      </c>
      <c r="D5835">
        <v>8</v>
      </c>
      <c r="F5835" s="56"/>
    </row>
    <row r="5836" spans="1:6" ht="15">
      <c r="A5836" s="51">
        <v>294321</v>
      </c>
      <c r="B5836" t="s">
        <v>290</v>
      </c>
      <c r="C5836" s="39" t="s">
        <v>291</v>
      </c>
      <c r="D5836" t="s">
        <v>4244</v>
      </c>
      <c r="F5836" s="56"/>
    </row>
    <row r="5837" spans="1:6" ht="15">
      <c r="A5837" s="51">
        <v>294322</v>
      </c>
      <c r="B5837" t="s">
        <v>292</v>
      </c>
      <c r="C5837" s="39" t="s">
        <v>291</v>
      </c>
      <c r="D5837">
        <v>7</v>
      </c>
      <c r="F5837" s="56"/>
    </row>
    <row r="5838" spans="1:6" ht="15">
      <c r="A5838" s="51">
        <v>294323</v>
      </c>
      <c r="B5838" t="s">
        <v>293</v>
      </c>
      <c r="C5838" s="39" t="s">
        <v>291</v>
      </c>
      <c r="D5838">
        <v>8</v>
      </c>
      <c r="F5838" s="56"/>
    </row>
    <row r="5839" spans="1:6" ht="15">
      <c r="A5839" s="51">
        <v>294324</v>
      </c>
      <c r="B5839" t="s">
        <v>294</v>
      </c>
      <c r="C5839" s="39" t="s">
        <v>295</v>
      </c>
      <c r="D5839" t="s">
        <v>4247</v>
      </c>
      <c r="F5839" s="56"/>
    </row>
    <row r="5840" spans="1:6" ht="15">
      <c r="A5840" s="51">
        <v>294325</v>
      </c>
      <c r="B5840" t="s">
        <v>296</v>
      </c>
      <c r="C5840" s="39" t="s">
        <v>295</v>
      </c>
      <c r="D5840" t="s">
        <v>4243</v>
      </c>
      <c r="F5840" s="56"/>
    </row>
    <row r="5841" spans="1:6" ht="15">
      <c r="A5841" s="51">
        <v>293059</v>
      </c>
      <c r="B5841" t="s">
        <v>103</v>
      </c>
      <c r="C5841" s="39" t="s">
        <v>104</v>
      </c>
      <c r="D5841" t="s">
        <v>4243</v>
      </c>
      <c r="F5841" s="56"/>
    </row>
    <row r="5842" spans="1:6" ht="15">
      <c r="A5842" s="51">
        <v>293060</v>
      </c>
      <c r="B5842" t="s">
        <v>111</v>
      </c>
      <c r="C5842" s="39" t="s">
        <v>1692</v>
      </c>
      <c r="D5842" t="s">
        <v>4246</v>
      </c>
      <c r="F5842" s="56"/>
    </row>
    <row r="5843" spans="1:6" ht="15">
      <c r="A5843" s="51">
        <v>293061</v>
      </c>
      <c r="B5843" t="s">
        <v>112</v>
      </c>
      <c r="C5843" s="39" t="s">
        <v>1692</v>
      </c>
      <c r="D5843" t="s">
        <v>4244</v>
      </c>
      <c r="F5843" s="56"/>
    </row>
    <row r="5844" spans="1:6" ht="15">
      <c r="A5844" s="51">
        <v>293062</v>
      </c>
      <c r="B5844" t="s">
        <v>113</v>
      </c>
      <c r="C5844" s="39" t="s">
        <v>1692</v>
      </c>
      <c r="D5844" t="s">
        <v>4243</v>
      </c>
      <c r="F5844" s="56"/>
    </row>
    <row r="5845" spans="1:6" ht="15">
      <c r="A5845" s="51">
        <v>293063</v>
      </c>
      <c r="B5845" t="s">
        <v>844</v>
      </c>
      <c r="C5845" s="39" t="s">
        <v>1692</v>
      </c>
      <c r="D5845">
        <v>8</v>
      </c>
      <c r="F5845" s="56"/>
    </row>
    <row r="5846" spans="1:6" ht="15">
      <c r="A5846" s="51">
        <v>293064</v>
      </c>
      <c r="B5846" t="s">
        <v>347</v>
      </c>
      <c r="C5846" s="39" t="s">
        <v>1692</v>
      </c>
      <c r="D5846">
        <v>8</v>
      </c>
      <c r="F5846" s="56"/>
    </row>
    <row r="5847" spans="1:6" ht="15">
      <c r="A5847" s="51">
        <v>293065</v>
      </c>
      <c r="B5847" t="s">
        <v>1371</v>
      </c>
      <c r="C5847" s="39" t="s">
        <v>1692</v>
      </c>
      <c r="D5847">
        <v>8</v>
      </c>
      <c r="F5847" s="56"/>
    </row>
    <row r="5848" spans="1:6" ht="15">
      <c r="A5848" s="51">
        <v>293066</v>
      </c>
      <c r="B5848" t="s">
        <v>1704</v>
      </c>
      <c r="C5848" s="39" t="s">
        <v>1692</v>
      </c>
      <c r="D5848">
        <v>8</v>
      </c>
      <c r="F5848" s="56"/>
    </row>
    <row r="5849" spans="1:6" ht="15">
      <c r="A5849" s="51">
        <v>293067</v>
      </c>
      <c r="B5849" t="s">
        <v>114</v>
      </c>
      <c r="C5849" s="39" t="s">
        <v>1692</v>
      </c>
      <c r="D5849">
        <v>8</v>
      </c>
      <c r="F5849" s="56"/>
    </row>
    <row r="5850" spans="1:6" ht="15">
      <c r="A5850" s="51">
        <v>293068</v>
      </c>
      <c r="B5850" t="s">
        <v>3563</v>
      </c>
      <c r="C5850" s="39" t="s">
        <v>1692</v>
      </c>
      <c r="D5850">
        <v>9</v>
      </c>
      <c r="F5850" s="56"/>
    </row>
    <row r="5851" spans="1:6" ht="15">
      <c r="A5851" s="51">
        <v>293069</v>
      </c>
      <c r="B5851" t="s">
        <v>1707</v>
      </c>
      <c r="C5851" s="39" t="s">
        <v>1706</v>
      </c>
      <c r="D5851">
        <v>8</v>
      </c>
      <c r="F5851" s="56"/>
    </row>
    <row r="5852" spans="1:6" ht="15">
      <c r="A5852" s="51">
        <v>293070</v>
      </c>
      <c r="B5852" t="s">
        <v>1977</v>
      </c>
      <c r="C5852" s="39" t="s">
        <v>3564</v>
      </c>
      <c r="D5852">
        <v>8</v>
      </c>
      <c r="F5852" s="56"/>
    </row>
    <row r="5853" spans="1:6" ht="15">
      <c r="A5853" s="51">
        <v>293071</v>
      </c>
      <c r="B5853" t="s">
        <v>1712</v>
      </c>
      <c r="C5853" s="39" t="s">
        <v>3565</v>
      </c>
      <c r="D5853">
        <v>8</v>
      </c>
      <c r="F5853" s="56"/>
    </row>
    <row r="5854" spans="1:6" ht="15">
      <c r="A5854" s="51">
        <v>293072</v>
      </c>
      <c r="B5854" t="s">
        <v>849</v>
      </c>
      <c r="C5854" s="39" t="s">
        <v>3565</v>
      </c>
      <c r="D5854">
        <v>9</v>
      </c>
      <c r="F5854" s="56"/>
    </row>
    <row r="5855" spans="1:6" ht="15">
      <c r="A5855" s="51">
        <v>293073</v>
      </c>
      <c r="B5855" t="s">
        <v>1648</v>
      </c>
      <c r="C5855" s="39" t="s">
        <v>138</v>
      </c>
      <c r="D5855">
        <v>9</v>
      </c>
      <c r="F5855" s="56"/>
    </row>
    <row r="5856" spans="1:6" ht="15">
      <c r="A5856" s="51">
        <v>293074</v>
      </c>
      <c r="B5856" t="s">
        <v>1023</v>
      </c>
      <c r="C5856" s="39" t="s">
        <v>1024</v>
      </c>
      <c r="D5856" t="s">
        <v>4243</v>
      </c>
      <c r="F5856" s="56"/>
    </row>
    <row r="5857" spans="1:6" ht="15">
      <c r="A5857" s="51">
        <v>293075</v>
      </c>
      <c r="B5857" t="s">
        <v>150</v>
      </c>
      <c r="C5857" s="39" t="s">
        <v>2362</v>
      </c>
      <c r="D5857" t="s">
        <v>4243</v>
      </c>
      <c r="F5857" s="56"/>
    </row>
    <row r="5858" spans="1:6" ht="15">
      <c r="A5858" s="51">
        <v>293076</v>
      </c>
      <c r="B5858" t="s">
        <v>152</v>
      </c>
      <c r="C5858" s="39" t="s">
        <v>2362</v>
      </c>
      <c r="D5858">
        <v>7</v>
      </c>
      <c r="F5858" s="56"/>
    </row>
    <row r="5859" spans="1:6" ht="15">
      <c r="A5859" s="51">
        <v>293077</v>
      </c>
      <c r="B5859" t="s">
        <v>153</v>
      </c>
      <c r="C5859" s="39" t="s">
        <v>2362</v>
      </c>
      <c r="D5859">
        <v>8</v>
      </c>
      <c r="F5859" s="56"/>
    </row>
    <row r="5860" spans="1:6" ht="15">
      <c r="A5860" s="51">
        <v>293078</v>
      </c>
      <c r="B5860" t="s">
        <v>2008</v>
      </c>
      <c r="C5860" s="39" t="s">
        <v>2009</v>
      </c>
      <c r="D5860">
        <v>9</v>
      </c>
      <c r="F5860" s="56"/>
    </row>
    <row r="5861" spans="1:6" ht="15">
      <c r="A5861" s="51">
        <v>293079</v>
      </c>
      <c r="B5861" t="s">
        <v>3153</v>
      </c>
      <c r="C5861" s="39" t="s">
        <v>3154</v>
      </c>
      <c r="D5861" t="s">
        <v>4243</v>
      </c>
      <c r="F5861" s="56"/>
    </row>
    <row r="5862" spans="1:6" ht="15">
      <c r="A5862" s="51">
        <v>293080</v>
      </c>
      <c r="B5862" t="s">
        <v>1548</v>
      </c>
      <c r="C5862" s="39" t="s">
        <v>1550</v>
      </c>
      <c r="D5862" t="s">
        <v>4247</v>
      </c>
      <c r="F5862" s="56"/>
    </row>
    <row r="5863" spans="1:6" ht="15">
      <c r="A5863" s="51">
        <v>293081</v>
      </c>
      <c r="B5863" t="s">
        <v>3566</v>
      </c>
      <c r="C5863" s="39" t="s">
        <v>1550</v>
      </c>
      <c r="D5863" t="s">
        <v>4243</v>
      </c>
      <c r="F5863" s="56"/>
    </row>
    <row r="5864" spans="1:6" ht="15">
      <c r="A5864" s="51">
        <v>293082</v>
      </c>
      <c r="B5864" t="s">
        <v>2214</v>
      </c>
      <c r="C5864" s="39" t="s">
        <v>3567</v>
      </c>
      <c r="D5864">
        <v>8</v>
      </c>
      <c r="F5864" s="56"/>
    </row>
    <row r="5865" spans="1:6" ht="15">
      <c r="A5865" s="51">
        <v>293083</v>
      </c>
      <c r="B5865" t="s">
        <v>3568</v>
      </c>
      <c r="C5865" s="39" t="s">
        <v>3567</v>
      </c>
      <c r="D5865">
        <v>8</v>
      </c>
      <c r="F5865" s="56"/>
    </row>
    <row r="5866" spans="1:6" ht="15">
      <c r="A5866" s="51">
        <v>293125</v>
      </c>
      <c r="B5866" t="s">
        <v>3569</v>
      </c>
      <c r="C5866" s="39" t="s">
        <v>304</v>
      </c>
      <c r="D5866">
        <v>9</v>
      </c>
      <c r="F5866" s="56"/>
    </row>
    <row r="5867" spans="1:6" ht="15">
      <c r="A5867" s="51">
        <v>293084</v>
      </c>
      <c r="B5867" t="s">
        <v>165</v>
      </c>
      <c r="C5867" s="39" t="s">
        <v>3567</v>
      </c>
      <c r="D5867">
        <v>8</v>
      </c>
      <c r="F5867" s="56"/>
    </row>
    <row r="5868" spans="1:6" ht="15">
      <c r="A5868" s="51">
        <v>293085</v>
      </c>
      <c r="B5868" t="s">
        <v>1571</v>
      </c>
      <c r="C5868" s="39" t="s">
        <v>696</v>
      </c>
      <c r="D5868" t="s">
        <v>4243</v>
      </c>
      <c r="F5868" s="56"/>
    </row>
    <row r="5869" spans="1:6" ht="15">
      <c r="A5869" s="51">
        <v>293086</v>
      </c>
      <c r="B5869" t="s">
        <v>3570</v>
      </c>
      <c r="C5869" s="39" t="s">
        <v>3571</v>
      </c>
      <c r="D5869" t="s">
        <v>4243</v>
      </c>
      <c r="F5869" s="56"/>
    </row>
    <row r="5870" spans="1:6" ht="15">
      <c r="A5870" s="51">
        <v>293087</v>
      </c>
      <c r="B5870" t="s">
        <v>3572</v>
      </c>
      <c r="C5870" s="39" t="s">
        <v>2317</v>
      </c>
      <c r="D5870" t="s">
        <v>4246</v>
      </c>
      <c r="F5870" s="56"/>
    </row>
    <row r="5871" spans="1:6" ht="15">
      <c r="A5871" s="51">
        <v>293088</v>
      </c>
      <c r="B5871" t="s">
        <v>3573</v>
      </c>
      <c r="C5871" s="39" t="s">
        <v>2317</v>
      </c>
      <c r="D5871" t="s">
        <v>4244</v>
      </c>
      <c r="F5871" s="56"/>
    </row>
    <row r="5872" spans="1:6" ht="15">
      <c r="A5872" s="51">
        <v>293089</v>
      </c>
      <c r="B5872" t="s">
        <v>3574</v>
      </c>
      <c r="C5872" s="39" t="s">
        <v>2317</v>
      </c>
      <c r="D5872" t="s">
        <v>4243</v>
      </c>
      <c r="F5872" s="56"/>
    </row>
    <row r="5873" spans="1:6" ht="15">
      <c r="A5873" s="51">
        <v>293090</v>
      </c>
      <c r="B5873" t="s">
        <v>2752</v>
      </c>
      <c r="C5873" s="39" t="s">
        <v>2317</v>
      </c>
      <c r="D5873">
        <v>8</v>
      </c>
      <c r="F5873" s="56"/>
    </row>
    <row r="5874" spans="1:6" ht="15">
      <c r="A5874" s="51">
        <v>293091</v>
      </c>
      <c r="B5874" t="s">
        <v>2234</v>
      </c>
      <c r="C5874" s="39" t="s">
        <v>2317</v>
      </c>
      <c r="D5874">
        <v>8</v>
      </c>
      <c r="F5874" s="56"/>
    </row>
    <row r="5875" spans="1:6" ht="15">
      <c r="A5875" s="51">
        <v>293092</v>
      </c>
      <c r="B5875" t="s">
        <v>3575</v>
      </c>
      <c r="C5875" s="39" t="s">
        <v>2317</v>
      </c>
      <c r="D5875">
        <v>8</v>
      </c>
      <c r="F5875" s="56"/>
    </row>
    <row r="5876" spans="1:6" ht="15">
      <c r="A5876" s="51">
        <v>293093</v>
      </c>
      <c r="B5876" t="s">
        <v>227</v>
      </c>
      <c r="C5876" s="39" t="s">
        <v>228</v>
      </c>
      <c r="D5876">
        <v>9</v>
      </c>
      <c r="F5876" s="56"/>
    </row>
    <row r="5877" spans="1:6" ht="15">
      <c r="A5877" s="51">
        <v>293094</v>
      </c>
      <c r="B5877" t="s">
        <v>1106</v>
      </c>
      <c r="C5877" s="39" t="s">
        <v>228</v>
      </c>
      <c r="D5877">
        <v>9</v>
      </c>
      <c r="F5877" s="56"/>
    </row>
    <row r="5878" spans="1:6" ht="15">
      <c r="A5878" s="51">
        <v>293095</v>
      </c>
      <c r="B5878" t="s">
        <v>3576</v>
      </c>
      <c r="C5878" s="39" t="s">
        <v>1195</v>
      </c>
      <c r="D5878" t="s">
        <v>4247</v>
      </c>
      <c r="F5878" s="56"/>
    </row>
    <row r="5879" spans="1:6" ht="15">
      <c r="A5879" s="51">
        <v>293096</v>
      </c>
      <c r="B5879" t="s">
        <v>230</v>
      </c>
      <c r="C5879" s="39" t="s">
        <v>231</v>
      </c>
      <c r="D5879" t="s">
        <v>4244</v>
      </c>
      <c r="F5879" s="56"/>
    </row>
    <row r="5880" spans="1:6" ht="15">
      <c r="A5880" s="51">
        <v>293097</v>
      </c>
      <c r="B5880" t="s">
        <v>2891</v>
      </c>
      <c r="C5880" s="39" t="s">
        <v>2238</v>
      </c>
      <c r="D5880" t="s">
        <v>4243</v>
      </c>
      <c r="F5880" s="56"/>
    </row>
    <row r="5881" spans="1:6" ht="15">
      <c r="A5881" s="51">
        <v>293098</v>
      </c>
      <c r="B5881" t="s">
        <v>3164</v>
      </c>
      <c r="C5881" s="39" t="s">
        <v>2238</v>
      </c>
      <c r="D5881" t="s">
        <v>4243</v>
      </c>
      <c r="F5881" s="56"/>
    </row>
    <row r="5882" spans="1:6" ht="15">
      <c r="A5882" s="51">
        <v>293099</v>
      </c>
      <c r="B5882" t="s">
        <v>1108</v>
      </c>
      <c r="C5882" s="39" t="s">
        <v>2238</v>
      </c>
      <c r="D5882">
        <v>8</v>
      </c>
      <c r="F5882" s="56"/>
    </row>
    <row r="5883" spans="1:6" ht="15">
      <c r="A5883" s="51">
        <v>293100</v>
      </c>
      <c r="B5883" t="s">
        <v>234</v>
      </c>
      <c r="C5883" s="39" t="s">
        <v>238</v>
      </c>
      <c r="D5883" t="s">
        <v>4246</v>
      </c>
      <c r="F5883" s="56"/>
    </row>
    <row r="5884" spans="1:6" ht="15">
      <c r="A5884" s="51">
        <v>293101</v>
      </c>
      <c r="B5884" t="s">
        <v>236</v>
      </c>
      <c r="C5884" s="39" t="s">
        <v>238</v>
      </c>
      <c r="D5884" t="s">
        <v>4247</v>
      </c>
      <c r="F5884" s="56"/>
    </row>
    <row r="5885" spans="1:6" ht="15">
      <c r="A5885" s="51">
        <v>293102</v>
      </c>
      <c r="B5885" t="s">
        <v>1260</v>
      </c>
      <c r="C5885" s="39" t="s">
        <v>238</v>
      </c>
      <c r="D5885" t="s">
        <v>4243</v>
      </c>
      <c r="F5885" s="56"/>
    </row>
    <row r="5886" spans="1:6" ht="15">
      <c r="A5886" s="51">
        <v>293103</v>
      </c>
      <c r="B5886" t="s">
        <v>1682</v>
      </c>
      <c r="C5886" s="39" t="s">
        <v>238</v>
      </c>
      <c r="D5886">
        <v>7</v>
      </c>
      <c r="F5886" s="56"/>
    </row>
    <row r="5887" spans="1:6" ht="15">
      <c r="A5887" s="51">
        <v>293104</v>
      </c>
      <c r="B5887" t="s">
        <v>3577</v>
      </c>
      <c r="C5887" s="39" t="s">
        <v>238</v>
      </c>
      <c r="D5887">
        <v>9</v>
      </c>
      <c r="F5887" s="56"/>
    </row>
    <row r="5888" spans="1:6" ht="15">
      <c r="A5888" s="51">
        <v>293105</v>
      </c>
      <c r="B5888" t="s">
        <v>244</v>
      </c>
      <c r="C5888" s="39" t="s">
        <v>1583</v>
      </c>
      <c r="D5888" t="s">
        <v>4245</v>
      </c>
      <c r="F5888" s="56"/>
    </row>
    <row r="5889" spans="1:6" ht="15">
      <c r="A5889" s="51">
        <v>293106</v>
      </c>
      <c r="B5889" t="s">
        <v>2248</v>
      </c>
      <c r="C5889" s="39" t="s">
        <v>1583</v>
      </c>
      <c r="D5889" t="s">
        <v>4244</v>
      </c>
      <c r="F5889" s="56"/>
    </row>
    <row r="5890" spans="1:6" ht="15">
      <c r="A5890" s="51">
        <v>293107</v>
      </c>
      <c r="B5890" t="s">
        <v>3578</v>
      </c>
      <c r="C5890" s="39" t="s">
        <v>1583</v>
      </c>
      <c r="D5890" t="s">
        <v>4243</v>
      </c>
      <c r="F5890" s="56"/>
    </row>
    <row r="5891" spans="1:6" ht="15">
      <c r="A5891" s="51">
        <v>293108</v>
      </c>
      <c r="B5891" t="s">
        <v>3068</v>
      </c>
      <c r="C5891" s="39" t="s">
        <v>3579</v>
      </c>
      <c r="D5891" t="s">
        <v>4243</v>
      </c>
      <c r="F5891" s="56"/>
    </row>
    <row r="5892" spans="1:6" ht="15">
      <c r="A5892" s="51">
        <v>293109</v>
      </c>
      <c r="B5892" t="s">
        <v>425</v>
      </c>
      <c r="C5892" s="39" t="s">
        <v>1589</v>
      </c>
      <c r="D5892">
        <v>7</v>
      </c>
      <c r="F5892" s="56"/>
    </row>
    <row r="5893" spans="1:6" ht="15">
      <c r="A5893" s="51">
        <v>293110</v>
      </c>
      <c r="B5893" t="s">
        <v>1119</v>
      </c>
      <c r="C5893" s="39" t="s">
        <v>1589</v>
      </c>
      <c r="D5893">
        <v>9</v>
      </c>
      <c r="F5893" s="56"/>
    </row>
    <row r="5894" spans="1:6" ht="15">
      <c r="A5894" s="51">
        <v>293111</v>
      </c>
      <c r="B5894" t="s">
        <v>429</v>
      </c>
      <c r="C5894" s="39" t="s">
        <v>3580</v>
      </c>
      <c r="D5894" t="s">
        <v>4246</v>
      </c>
      <c r="F5894" s="56"/>
    </row>
    <row r="5895" spans="1:6" ht="15">
      <c r="A5895" s="51">
        <v>293112</v>
      </c>
      <c r="B5895" t="s">
        <v>431</v>
      </c>
      <c r="C5895" s="39" t="s">
        <v>3580</v>
      </c>
      <c r="D5895" t="s">
        <v>4246</v>
      </c>
      <c r="F5895" s="56"/>
    </row>
    <row r="5896" spans="1:6" ht="15">
      <c r="A5896" s="51">
        <v>293113</v>
      </c>
      <c r="B5896" t="s">
        <v>2768</v>
      </c>
      <c r="C5896" s="39" t="s">
        <v>258</v>
      </c>
      <c r="D5896">
        <v>9</v>
      </c>
      <c r="F5896" s="56"/>
    </row>
    <row r="5897" spans="1:6" ht="15">
      <c r="A5897" s="51">
        <v>293114</v>
      </c>
      <c r="B5897" t="s">
        <v>1129</v>
      </c>
      <c r="C5897" s="39" t="s">
        <v>258</v>
      </c>
      <c r="D5897">
        <v>9</v>
      </c>
      <c r="F5897" s="56"/>
    </row>
    <row r="5898" spans="1:6" ht="15">
      <c r="A5898" s="51">
        <v>293115</v>
      </c>
      <c r="B5898" t="s">
        <v>3581</v>
      </c>
      <c r="C5898" s="39" t="s">
        <v>261</v>
      </c>
      <c r="D5898" t="s">
        <v>4245</v>
      </c>
      <c r="F5898" s="56"/>
    </row>
    <row r="5899" spans="1:6" ht="15">
      <c r="A5899" s="51">
        <v>293116</v>
      </c>
      <c r="B5899" t="s">
        <v>441</v>
      </c>
      <c r="C5899" s="39" t="s">
        <v>450</v>
      </c>
      <c r="D5899">
        <v>9</v>
      </c>
      <c r="F5899" s="56"/>
    </row>
    <row r="5900" spans="1:6" ht="15">
      <c r="A5900" s="51">
        <v>293117</v>
      </c>
      <c r="B5900" t="s">
        <v>3582</v>
      </c>
      <c r="C5900" s="39" t="s">
        <v>3583</v>
      </c>
      <c r="D5900">
        <v>9</v>
      </c>
      <c r="F5900" s="56"/>
    </row>
    <row r="5901" spans="1:6" ht="15">
      <c r="A5901" s="51">
        <v>293118</v>
      </c>
      <c r="B5901" t="s">
        <v>3584</v>
      </c>
      <c r="C5901" s="39" t="s">
        <v>3583</v>
      </c>
      <c r="D5901">
        <v>9</v>
      </c>
      <c r="F5901" s="56"/>
    </row>
    <row r="5902" spans="1:6" ht="15">
      <c r="A5902" s="51">
        <v>293119</v>
      </c>
      <c r="B5902" t="s">
        <v>2084</v>
      </c>
      <c r="C5902" s="39" t="s">
        <v>3585</v>
      </c>
      <c r="D5902">
        <v>9</v>
      </c>
      <c r="F5902" s="56"/>
    </row>
    <row r="5903" spans="1:6" ht="15">
      <c r="A5903" s="51">
        <v>293120</v>
      </c>
      <c r="B5903" t="s">
        <v>3586</v>
      </c>
      <c r="C5903" s="39" t="s">
        <v>3585</v>
      </c>
      <c r="D5903">
        <v>9</v>
      </c>
      <c r="F5903" s="56"/>
    </row>
    <row r="5904" spans="1:6" ht="15">
      <c r="A5904" s="51">
        <v>293129</v>
      </c>
      <c r="B5904" t="s">
        <v>2271</v>
      </c>
      <c r="C5904" s="39" t="s">
        <v>2319</v>
      </c>
      <c r="D5904" t="s">
        <v>4246</v>
      </c>
      <c r="F5904" s="56"/>
    </row>
    <row r="5905" spans="1:6" ht="15">
      <c r="A5905" s="51">
        <v>293130</v>
      </c>
      <c r="B5905" t="s">
        <v>1514</v>
      </c>
      <c r="C5905" s="39" t="s">
        <v>2319</v>
      </c>
      <c r="D5905" t="s">
        <v>4246</v>
      </c>
      <c r="F5905" s="56"/>
    </row>
    <row r="5906" spans="1:6" ht="15">
      <c r="A5906" s="51">
        <v>293131</v>
      </c>
      <c r="B5906" t="s">
        <v>3587</v>
      </c>
      <c r="C5906" s="39" t="s">
        <v>2319</v>
      </c>
      <c r="D5906" t="s">
        <v>4244</v>
      </c>
      <c r="F5906" s="56"/>
    </row>
    <row r="5907" spans="1:6" ht="15">
      <c r="A5907" s="51">
        <v>293133</v>
      </c>
      <c r="B5907" t="s">
        <v>1143</v>
      </c>
      <c r="C5907" s="39" t="s">
        <v>3588</v>
      </c>
      <c r="D5907" t="s">
        <v>4247</v>
      </c>
      <c r="F5907" s="56"/>
    </row>
    <row r="5908" spans="1:6" ht="15">
      <c r="A5908" s="51">
        <v>293134</v>
      </c>
      <c r="B5908" t="s">
        <v>2674</v>
      </c>
      <c r="C5908" s="39" t="s">
        <v>3588</v>
      </c>
      <c r="D5908" t="s">
        <v>4243</v>
      </c>
      <c r="F5908" s="56"/>
    </row>
    <row r="5909" spans="1:6" ht="15">
      <c r="A5909" s="51">
        <v>293135</v>
      </c>
      <c r="B5909" t="s">
        <v>2675</v>
      </c>
      <c r="C5909" s="39" t="s">
        <v>3588</v>
      </c>
      <c r="D5909">
        <v>7</v>
      </c>
      <c r="F5909" s="56"/>
    </row>
    <row r="5910" spans="1:6" ht="15">
      <c r="A5910" s="51">
        <v>293136</v>
      </c>
      <c r="B5910" t="s">
        <v>1785</v>
      </c>
      <c r="C5910" s="39" t="s">
        <v>3588</v>
      </c>
      <c r="D5910">
        <v>8</v>
      </c>
      <c r="F5910" s="56"/>
    </row>
    <row r="5911" spans="1:6" ht="15">
      <c r="A5911" s="51">
        <v>293137</v>
      </c>
      <c r="B5911" t="s">
        <v>3589</v>
      </c>
      <c r="C5911" s="39" t="s">
        <v>3588</v>
      </c>
      <c r="D5911">
        <v>9</v>
      </c>
      <c r="F5911" s="56"/>
    </row>
    <row r="5912" spans="1:6" ht="15">
      <c r="A5912" s="51">
        <v>293138</v>
      </c>
      <c r="B5912" t="s">
        <v>319</v>
      </c>
      <c r="C5912" s="39" t="s">
        <v>88</v>
      </c>
      <c r="D5912">
        <v>8</v>
      </c>
      <c r="F5912" s="56"/>
    </row>
    <row r="5913" spans="1:6" ht="15">
      <c r="A5913" s="51">
        <v>293139</v>
      </c>
      <c r="B5913" t="s">
        <v>1786</v>
      </c>
      <c r="C5913" s="39" t="s">
        <v>88</v>
      </c>
      <c r="D5913">
        <v>8</v>
      </c>
      <c r="F5913" s="56"/>
    </row>
    <row r="5914" spans="1:6" ht="15">
      <c r="A5914" s="51">
        <v>293140</v>
      </c>
      <c r="B5914" t="s">
        <v>994</v>
      </c>
      <c r="C5914" s="39" t="s">
        <v>1524</v>
      </c>
      <c r="D5914" t="s">
        <v>4245</v>
      </c>
      <c r="F5914" s="56"/>
    </row>
    <row r="5915" spans="1:6" ht="15">
      <c r="A5915" s="51">
        <v>293141</v>
      </c>
      <c r="B5915" t="s">
        <v>311</v>
      </c>
      <c r="C5915" s="39" t="s">
        <v>1524</v>
      </c>
      <c r="D5915" t="s">
        <v>4244</v>
      </c>
      <c r="F5915" s="56"/>
    </row>
    <row r="5916" spans="1:6" ht="15">
      <c r="A5916" s="51">
        <v>293142</v>
      </c>
      <c r="B5916" t="s">
        <v>1355</v>
      </c>
      <c r="C5916" s="39" t="s">
        <v>1524</v>
      </c>
      <c r="D5916" t="s">
        <v>4243</v>
      </c>
      <c r="F5916" s="56"/>
    </row>
    <row r="5917" spans="1:6" ht="15">
      <c r="A5917" s="51">
        <v>293143</v>
      </c>
      <c r="B5917" t="s">
        <v>1525</v>
      </c>
      <c r="C5917" s="39" t="s">
        <v>1524</v>
      </c>
      <c r="D5917">
        <v>8</v>
      </c>
      <c r="F5917" s="56"/>
    </row>
    <row r="5918" spans="1:6" ht="15">
      <c r="A5918" s="51">
        <v>293144</v>
      </c>
      <c r="B5918" t="s">
        <v>93</v>
      </c>
      <c r="C5918" s="39" t="s">
        <v>1524</v>
      </c>
      <c r="D5918">
        <v>8</v>
      </c>
      <c r="F5918" s="56"/>
    </row>
    <row r="5919" spans="1:6" ht="15">
      <c r="A5919" s="51">
        <v>293145</v>
      </c>
      <c r="B5919" t="s">
        <v>61</v>
      </c>
      <c r="C5919" s="39" t="s">
        <v>1524</v>
      </c>
      <c r="D5919">
        <v>8</v>
      </c>
      <c r="F5919" s="56"/>
    </row>
    <row r="5920" spans="1:6" ht="15">
      <c r="A5920" s="51">
        <v>293146</v>
      </c>
      <c r="B5920" t="s">
        <v>2686</v>
      </c>
      <c r="C5920" s="39" t="s">
        <v>3590</v>
      </c>
      <c r="D5920" t="s">
        <v>4247</v>
      </c>
      <c r="F5920" s="56"/>
    </row>
    <row r="5921" spans="1:6" ht="15">
      <c r="A5921" s="51">
        <v>293147</v>
      </c>
      <c r="B5921" t="s">
        <v>2687</v>
      </c>
      <c r="C5921" s="39" t="s">
        <v>3590</v>
      </c>
      <c r="D5921" t="s">
        <v>4244</v>
      </c>
      <c r="F5921" s="56"/>
    </row>
    <row r="5922" spans="1:6" ht="15">
      <c r="A5922" s="51">
        <v>293148</v>
      </c>
      <c r="B5922" t="s">
        <v>3591</v>
      </c>
      <c r="C5922" s="39" t="s">
        <v>3590</v>
      </c>
      <c r="D5922">
        <v>7</v>
      </c>
      <c r="F5922" s="56"/>
    </row>
    <row r="5923" spans="1:6" ht="15">
      <c r="A5923" s="51">
        <v>293149</v>
      </c>
      <c r="B5923" t="s">
        <v>3096</v>
      </c>
      <c r="C5923" s="39" t="s">
        <v>3592</v>
      </c>
      <c r="D5923">
        <v>8</v>
      </c>
      <c r="F5923" s="56"/>
    </row>
    <row r="5924" spans="1:6" ht="15">
      <c r="A5924" s="51">
        <v>293150</v>
      </c>
      <c r="B5924" t="s">
        <v>1145</v>
      </c>
      <c r="C5924" s="39" t="s">
        <v>2186</v>
      </c>
      <c r="D5924">
        <v>8</v>
      </c>
      <c r="F5924" s="56"/>
    </row>
    <row r="5925" spans="1:6" ht="15">
      <c r="A5925" s="51">
        <v>293151</v>
      </c>
      <c r="B5925" t="s">
        <v>333</v>
      </c>
      <c r="C5925" s="39" t="s">
        <v>3593</v>
      </c>
      <c r="D5925">
        <v>8</v>
      </c>
      <c r="F5925" s="56"/>
    </row>
    <row r="5926" spans="1:6" ht="15">
      <c r="A5926" s="51">
        <v>293152</v>
      </c>
      <c r="B5926" t="s">
        <v>3594</v>
      </c>
      <c r="C5926" s="39" t="s">
        <v>3593</v>
      </c>
      <c r="D5926">
        <v>8</v>
      </c>
      <c r="F5926" s="56"/>
    </row>
    <row r="5927" spans="1:6" ht="15">
      <c r="A5927" s="51">
        <v>293153</v>
      </c>
      <c r="B5927" t="s">
        <v>3595</v>
      </c>
      <c r="C5927" s="39" t="s">
        <v>3593</v>
      </c>
      <c r="D5927">
        <v>9</v>
      </c>
      <c r="F5927" s="56"/>
    </row>
    <row r="5928" spans="1:6" ht="15">
      <c r="A5928" s="51">
        <v>293154</v>
      </c>
      <c r="B5928" t="s">
        <v>1970</v>
      </c>
      <c r="C5928" s="39" t="s">
        <v>3453</v>
      </c>
      <c r="D5928" t="s">
        <v>4243</v>
      </c>
      <c r="F5928" s="56"/>
    </row>
    <row r="5929" spans="1:6" ht="15">
      <c r="A5929" s="51">
        <v>293155</v>
      </c>
      <c r="B5929" t="s">
        <v>1971</v>
      </c>
      <c r="C5929" s="39" t="s">
        <v>106</v>
      </c>
      <c r="D5929" t="s">
        <v>4245</v>
      </c>
      <c r="F5929" s="56"/>
    </row>
    <row r="5930" spans="1:6" ht="15">
      <c r="A5930" s="51">
        <v>293156</v>
      </c>
      <c r="B5930" t="s">
        <v>109</v>
      </c>
      <c r="C5930" s="39" t="s">
        <v>108</v>
      </c>
      <c r="D5930" t="s">
        <v>4246</v>
      </c>
      <c r="F5930" s="56"/>
    </row>
    <row r="5931" spans="1:6" ht="15">
      <c r="A5931" s="51">
        <v>293157</v>
      </c>
      <c r="B5931" t="s">
        <v>111</v>
      </c>
      <c r="C5931" s="39" t="s">
        <v>108</v>
      </c>
      <c r="D5931" t="s">
        <v>4246</v>
      </c>
      <c r="F5931" s="56"/>
    </row>
    <row r="5932" spans="1:6" ht="15">
      <c r="A5932" s="51">
        <v>293158</v>
      </c>
      <c r="B5932" t="s">
        <v>344</v>
      </c>
      <c r="C5932" s="39" t="s">
        <v>108</v>
      </c>
      <c r="D5932" t="s">
        <v>4245</v>
      </c>
      <c r="F5932" s="56"/>
    </row>
    <row r="5933" spans="1:6" ht="15">
      <c r="A5933" s="51">
        <v>293159</v>
      </c>
      <c r="B5933" t="s">
        <v>356</v>
      </c>
      <c r="C5933" s="39" t="s">
        <v>357</v>
      </c>
      <c r="D5933">
        <v>9</v>
      </c>
      <c r="F5933" s="56"/>
    </row>
    <row r="5934" spans="1:6" ht="15">
      <c r="A5934" s="51">
        <v>293160</v>
      </c>
      <c r="B5934" t="s">
        <v>360</v>
      </c>
      <c r="C5934" s="39" t="s">
        <v>359</v>
      </c>
      <c r="D5934" t="s">
        <v>4246</v>
      </c>
      <c r="F5934" s="56"/>
    </row>
    <row r="5935" spans="1:6" ht="15">
      <c r="A5935" s="51">
        <v>293161</v>
      </c>
      <c r="B5935" t="s">
        <v>3596</v>
      </c>
      <c r="C5935" s="39" t="s">
        <v>138</v>
      </c>
      <c r="D5935">
        <v>9</v>
      </c>
      <c r="F5935" s="56"/>
    </row>
    <row r="5936" spans="1:6" ht="15">
      <c r="A5936" s="51">
        <v>293162</v>
      </c>
      <c r="B5936" t="s">
        <v>2463</v>
      </c>
      <c r="C5936" s="39" t="s">
        <v>1024</v>
      </c>
      <c r="D5936" t="s">
        <v>4243</v>
      </c>
      <c r="F5936" s="56"/>
    </row>
    <row r="5937" spans="1:6" ht="15">
      <c r="A5937" s="51">
        <v>293163</v>
      </c>
      <c r="B5937" t="s">
        <v>316</v>
      </c>
      <c r="C5937" s="39" t="s">
        <v>3597</v>
      </c>
      <c r="D5937">
        <v>8</v>
      </c>
      <c r="F5937" s="56"/>
    </row>
    <row r="5938" spans="1:6" ht="15">
      <c r="A5938" s="51">
        <v>293164</v>
      </c>
      <c r="B5938" t="s">
        <v>3598</v>
      </c>
      <c r="C5938" s="39" t="s">
        <v>3597</v>
      </c>
      <c r="D5938">
        <v>8</v>
      </c>
      <c r="F5938" s="56"/>
    </row>
    <row r="5939" spans="1:6" ht="15">
      <c r="A5939" s="51">
        <v>293165</v>
      </c>
      <c r="B5939" t="s">
        <v>3599</v>
      </c>
      <c r="C5939" s="39" t="s">
        <v>3600</v>
      </c>
      <c r="D5939">
        <v>9</v>
      </c>
      <c r="F5939" s="56"/>
    </row>
    <row r="5940" spans="1:6" ht="15">
      <c r="A5940" s="51">
        <v>293166</v>
      </c>
      <c r="B5940" t="s">
        <v>2467</v>
      </c>
      <c r="C5940" s="39" t="s">
        <v>373</v>
      </c>
      <c r="D5940" t="s">
        <v>4248</v>
      </c>
      <c r="F5940" s="56"/>
    </row>
    <row r="5941" spans="1:6" ht="15">
      <c r="A5941" s="51">
        <v>293167</v>
      </c>
      <c r="B5941" t="s">
        <v>2837</v>
      </c>
      <c r="C5941" s="39" t="s">
        <v>1740</v>
      </c>
      <c r="D5941" t="s">
        <v>4248</v>
      </c>
      <c r="F5941" s="56"/>
    </row>
    <row r="5942" spans="1:6" ht="15">
      <c r="A5942" s="51">
        <v>293168</v>
      </c>
      <c r="B5942" t="s">
        <v>2208</v>
      </c>
      <c r="C5942" s="39" t="s">
        <v>1740</v>
      </c>
      <c r="D5942" t="s">
        <v>4246</v>
      </c>
      <c r="F5942" s="56"/>
    </row>
    <row r="5943" spans="1:6" ht="15">
      <c r="A5943" s="51">
        <v>293169</v>
      </c>
      <c r="B5943" t="s">
        <v>376</v>
      </c>
      <c r="C5943" s="39" t="s">
        <v>1538</v>
      </c>
      <c r="D5943" t="s">
        <v>4246</v>
      </c>
      <c r="F5943" s="56"/>
    </row>
    <row r="5944" spans="1:6" ht="15">
      <c r="A5944" s="51">
        <v>293170</v>
      </c>
      <c r="B5944" t="s">
        <v>377</v>
      </c>
      <c r="C5944" s="39" t="s">
        <v>1538</v>
      </c>
      <c r="D5944" t="s">
        <v>4247</v>
      </c>
      <c r="F5944" s="56"/>
    </row>
    <row r="5945" spans="1:6" ht="15">
      <c r="A5945" s="51">
        <v>293171</v>
      </c>
      <c r="B5945" t="s">
        <v>378</v>
      </c>
      <c r="C5945" s="39" t="s">
        <v>1538</v>
      </c>
      <c r="D5945" t="s">
        <v>4243</v>
      </c>
      <c r="F5945" s="56"/>
    </row>
    <row r="5946" spans="1:6" ht="15">
      <c r="A5946" s="51">
        <v>293172</v>
      </c>
      <c r="B5946" t="s">
        <v>1216</v>
      </c>
      <c r="C5946" s="39" t="s">
        <v>1538</v>
      </c>
      <c r="D5946">
        <v>7</v>
      </c>
      <c r="F5946" s="56"/>
    </row>
    <row r="5947" spans="1:6" ht="15">
      <c r="A5947" s="51">
        <v>293173</v>
      </c>
      <c r="B5947" t="s">
        <v>154</v>
      </c>
      <c r="C5947" s="39" t="s">
        <v>1538</v>
      </c>
      <c r="D5947">
        <v>8</v>
      </c>
      <c r="F5947" s="56"/>
    </row>
    <row r="5948" spans="1:6" ht="15">
      <c r="A5948" s="51">
        <v>293174</v>
      </c>
      <c r="B5948" t="s">
        <v>379</v>
      </c>
      <c r="C5948" s="39" t="s">
        <v>380</v>
      </c>
      <c r="D5948" t="s">
        <v>4246</v>
      </c>
      <c r="F5948" s="56"/>
    </row>
    <row r="5949" spans="1:6" ht="15">
      <c r="A5949" s="51">
        <v>293175</v>
      </c>
      <c r="B5949" t="s">
        <v>381</v>
      </c>
      <c r="C5949" s="39" t="s">
        <v>380</v>
      </c>
      <c r="D5949" t="s">
        <v>4243</v>
      </c>
      <c r="F5949" s="56"/>
    </row>
    <row r="5950" spans="1:6" ht="15">
      <c r="A5950" s="51">
        <v>293176</v>
      </c>
      <c r="B5950" t="s">
        <v>382</v>
      </c>
      <c r="C5950" s="39" t="s">
        <v>380</v>
      </c>
      <c r="D5950">
        <v>7</v>
      </c>
      <c r="F5950" s="56"/>
    </row>
    <row r="5951" spans="1:6" ht="15">
      <c r="A5951" s="51">
        <v>293177</v>
      </c>
      <c r="B5951" t="s">
        <v>383</v>
      </c>
      <c r="C5951" s="39" t="s">
        <v>380</v>
      </c>
      <c r="D5951">
        <v>8</v>
      </c>
      <c r="F5951" s="56"/>
    </row>
    <row r="5952" spans="1:6" ht="15">
      <c r="A5952" s="51">
        <v>293178</v>
      </c>
      <c r="B5952" t="s">
        <v>1824</v>
      </c>
      <c r="C5952" s="39" t="s">
        <v>1559</v>
      </c>
      <c r="D5952">
        <v>7</v>
      </c>
      <c r="F5952" s="56"/>
    </row>
    <row r="5953" spans="1:6" ht="15">
      <c r="A5953" s="51">
        <v>293179</v>
      </c>
      <c r="B5953" t="s">
        <v>389</v>
      </c>
      <c r="C5953" s="39" t="s">
        <v>1268</v>
      </c>
      <c r="D5953">
        <v>7</v>
      </c>
      <c r="F5953" s="56"/>
    </row>
    <row r="5954" spans="1:6" ht="15">
      <c r="A5954" s="51">
        <v>293180</v>
      </c>
      <c r="B5954" t="s">
        <v>187</v>
      </c>
      <c r="C5954" s="39" t="s">
        <v>1564</v>
      </c>
      <c r="D5954">
        <v>8</v>
      </c>
      <c r="F5954" s="56"/>
    </row>
    <row r="5955" spans="1:6" ht="15">
      <c r="A5955" s="51">
        <v>293181</v>
      </c>
      <c r="B5955" t="s">
        <v>1663</v>
      </c>
      <c r="C5955" s="39" t="s">
        <v>1564</v>
      </c>
      <c r="D5955">
        <v>8</v>
      </c>
      <c r="F5955" s="56"/>
    </row>
    <row r="5956" spans="1:6" ht="15">
      <c r="A5956" s="51">
        <v>293182</v>
      </c>
      <c r="B5956" t="s">
        <v>3601</v>
      </c>
      <c r="C5956" s="39" t="s">
        <v>1564</v>
      </c>
      <c r="D5956">
        <v>9</v>
      </c>
      <c r="F5956" s="56"/>
    </row>
    <row r="5957" spans="1:6" ht="15">
      <c r="A5957" s="51">
        <v>293183</v>
      </c>
      <c r="B5957" t="s">
        <v>2215</v>
      </c>
      <c r="C5957" s="39" t="s">
        <v>394</v>
      </c>
      <c r="D5957">
        <v>7</v>
      </c>
      <c r="F5957" s="56"/>
    </row>
    <row r="5958" spans="1:6" ht="15">
      <c r="A5958" s="51">
        <v>293184</v>
      </c>
      <c r="B5958" t="s">
        <v>404</v>
      </c>
      <c r="C5958" s="39" t="s">
        <v>2741</v>
      </c>
      <c r="D5958" t="s">
        <v>4243</v>
      </c>
      <c r="F5958" s="56"/>
    </row>
    <row r="5959" spans="1:6" ht="15">
      <c r="A5959" s="51">
        <v>293185</v>
      </c>
      <c r="B5959" t="s">
        <v>406</v>
      </c>
      <c r="C5959" s="39" t="s">
        <v>2741</v>
      </c>
      <c r="D5959">
        <v>7</v>
      </c>
      <c r="F5959" s="56"/>
    </row>
    <row r="5960" spans="1:6" ht="15">
      <c r="A5960" s="51">
        <v>293186</v>
      </c>
      <c r="B5960" t="s">
        <v>407</v>
      </c>
      <c r="C5960" s="39" t="s">
        <v>1764</v>
      </c>
      <c r="D5960">
        <v>8</v>
      </c>
      <c r="F5960" s="56"/>
    </row>
    <row r="5961" spans="1:6" ht="15">
      <c r="A5961" s="51">
        <v>293187</v>
      </c>
      <c r="B5961" t="s">
        <v>408</v>
      </c>
      <c r="C5961" s="39" t="s">
        <v>1764</v>
      </c>
      <c r="D5961">
        <v>8</v>
      </c>
      <c r="F5961" s="56"/>
    </row>
    <row r="5962" spans="1:6" ht="15">
      <c r="A5962" s="51">
        <v>293189</v>
      </c>
      <c r="B5962" t="s">
        <v>3602</v>
      </c>
      <c r="C5962" s="39" t="s">
        <v>696</v>
      </c>
      <c r="D5962" t="s">
        <v>4243</v>
      </c>
      <c r="F5962" s="56"/>
    </row>
    <row r="5963" spans="1:6" ht="15">
      <c r="A5963" s="51">
        <v>293188</v>
      </c>
      <c r="B5963" t="s">
        <v>2227</v>
      </c>
      <c r="C5963" s="39" t="s">
        <v>3603</v>
      </c>
      <c r="D5963" t="s">
        <v>4248</v>
      </c>
      <c r="F5963" s="56"/>
    </row>
    <row r="5964" spans="1:6" ht="15">
      <c r="A5964" s="51">
        <v>293190</v>
      </c>
      <c r="B5964" t="s">
        <v>967</v>
      </c>
      <c r="C5964" s="39" t="s">
        <v>228</v>
      </c>
      <c r="D5964">
        <v>9</v>
      </c>
      <c r="F5964" s="56"/>
    </row>
    <row r="5965" spans="1:6" ht="15">
      <c r="A5965" s="51">
        <v>293191</v>
      </c>
      <c r="B5965" t="s">
        <v>1475</v>
      </c>
      <c r="C5965" s="39" t="s">
        <v>1576</v>
      </c>
      <c r="D5965" t="s">
        <v>4246</v>
      </c>
      <c r="F5965" s="56"/>
    </row>
    <row r="5966" spans="1:6" ht="15">
      <c r="A5966" s="51">
        <v>293192</v>
      </c>
      <c r="B5966" t="s">
        <v>1476</v>
      </c>
      <c r="C5966" s="39" t="s">
        <v>1576</v>
      </c>
      <c r="D5966" t="s">
        <v>4244</v>
      </c>
      <c r="F5966" s="56"/>
    </row>
    <row r="5967" spans="1:6" ht="15">
      <c r="A5967" s="51">
        <v>293193</v>
      </c>
      <c r="B5967" t="s">
        <v>1581</v>
      </c>
      <c r="C5967" s="39" t="s">
        <v>3604</v>
      </c>
      <c r="D5967">
        <v>8</v>
      </c>
      <c r="F5967" s="56"/>
    </row>
    <row r="5968" spans="1:6" ht="15">
      <c r="A5968" s="51">
        <v>293194</v>
      </c>
      <c r="B5968" t="s">
        <v>1196</v>
      </c>
      <c r="C5968" s="39" t="s">
        <v>231</v>
      </c>
      <c r="D5968" t="s">
        <v>4244</v>
      </c>
      <c r="F5968" s="56"/>
    </row>
    <row r="5969" spans="1:6" ht="15">
      <c r="A5969" s="51">
        <v>293195</v>
      </c>
      <c r="B5969" t="s">
        <v>234</v>
      </c>
      <c r="C5969" s="39" t="s">
        <v>235</v>
      </c>
      <c r="D5969" t="s">
        <v>4244</v>
      </c>
      <c r="F5969" s="56"/>
    </row>
    <row r="5970" spans="1:6" ht="15">
      <c r="A5970" s="51">
        <v>293196</v>
      </c>
      <c r="B5970" t="s">
        <v>236</v>
      </c>
      <c r="C5970" s="39" t="s">
        <v>235</v>
      </c>
      <c r="D5970" t="s">
        <v>4244</v>
      </c>
      <c r="F5970" s="56"/>
    </row>
    <row r="5971" spans="1:6" ht="15">
      <c r="A5971" s="51">
        <v>293197</v>
      </c>
      <c r="B5971" t="s">
        <v>422</v>
      </c>
      <c r="C5971" s="39" t="s">
        <v>238</v>
      </c>
      <c r="D5971" t="s">
        <v>4246</v>
      </c>
      <c r="F5971" s="56"/>
    </row>
    <row r="5972" spans="1:6" ht="15">
      <c r="A5972" s="51">
        <v>293198</v>
      </c>
      <c r="B5972" t="s">
        <v>423</v>
      </c>
      <c r="C5972" s="39" t="s">
        <v>238</v>
      </c>
      <c r="D5972" t="s">
        <v>4247</v>
      </c>
      <c r="F5972" s="56"/>
    </row>
    <row r="5973" spans="1:6" ht="15">
      <c r="A5973" s="51">
        <v>293199</v>
      </c>
      <c r="B5973" t="s">
        <v>424</v>
      </c>
      <c r="C5973" s="39" t="s">
        <v>238</v>
      </c>
      <c r="D5973" t="s">
        <v>4243</v>
      </c>
      <c r="F5973" s="56"/>
    </row>
    <row r="5974" spans="1:6" ht="15">
      <c r="A5974" s="51">
        <v>293200</v>
      </c>
      <c r="B5974" t="s">
        <v>240</v>
      </c>
      <c r="C5974" s="39" t="s">
        <v>241</v>
      </c>
      <c r="D5974" t="s">
        <v>4249</v>
      </c>
      <c r="F5974" s="56"/>
    </row>
    <row r="5975" spans="1:6" ht="15">
      <c r="A5975" s="51">
        <v>293201</v>
      </c>
      <c r="B5975" t="s">
        <v>242</v>
      </c>
      <c r="C5975" s="39" t="s">
        <v>243</v>
      </c>
      <c r="D5975" t="s">
        <v>4245</v>
      </c>
      <c r="F5975" s="56"/>
    </row>
    <row r="5976" spans="1:6" ht="15">
      <c r="A5976" s="51">
        <v>293202</v>
      </c>
      <c r="B5976" t="s">
        <v>245</v>
      </c>
      <c r="C5976" s="39" t="s">
        <v>243</v>
      </c>
      <c r="D5976" t="s">
        <v>4247</v>
      </c>
      <c r="F5976" s="56"/>
    </row>
    <row r="5977" spans="1:6" ht="15">
      <c r="A5977" s="51">
        <v>293203</v>
      </c>
      <c r="B5977" t="s">
        <v>2257</v>
      </c>
      <c r="C5977" s="39" t="s">
        <v>1118</v>
      </c>
      <c r="D5977" t="s">
        <v>4243</v>
      </c>
      <c r="F5977" s="56"/>
    </row>
    <row r="5978" spans="1:6" ht="15">
      <c r="A5978" s="51">
        <v>293204</v>
      </c>
      <c r="B5978" t="s">
        <v>1494</v>
      </c>
      <c r="C5978" s="39" t="s">
        <v>1118</v>
      </c>
      <c r="D5978" t="s">
        <v>4243</v>
      </c>
      <c r="F5978" s="56"/>
    </row>
    <row r="5979" spans="1:6" ht="15">
      <c r="A5979" s="51">
        <v>293205</v>
      </c>
      <c r="B5979" t="s">
        <v>1582</v>
      </c>
      <c r="C5979" s="39" t="s">
        <v>1118</v>
      </c>
      <c r="D5979">
        <v>8</v>
      </c>
      <c r="F5979" s="56"/>
    </row>
    <row r="5980" spans="1:6" ht="15">
      <c r="A5980" s="51">
        <v>293206</v>
      </c>
      <c r="B5980" t="s">
        <v>3605</v>
      </c>
      <c r="C5980" s="39" t="s">
        <v>3606</v>
      </c>
      <c r="D5980">
        <v>8</v>
      </c>
      <c r="F5980" s="56"/>
    </row>
    <row r="5981" spans="1:6" ht="15">
      <c r="A5981" s="51">
        <v>293207</v>
      </c>
      <c r="B5981" t="s">
        <v>3168</v>
      </c>
      <c r="C5981" s="39" t="s">
        <v>426</v>
      </c>
      <c r="D5981" t="s">
        <v>4244</v>
      </c>
      <c r="F5981" s="56"/>
    </row>
    <row r="5982" spans="1:6" ht="15">
      <c r="A5982" s="51">
        <v>293208</v>
      </c>
      <c r="B5982" t="s">
        <v>2080</v>
      </c>
      <c r="C5982" s="39" t="s">
        <v>433</v>
      </c>
      <c r="D5982" t="s">
        <v>4245</v>
      </c>
      <c r="F5982" s="56"/>
    </row>
    <row r="5983" spans="1:6" ht="15">
      <c r="A5983" s="51">
        <v>293209</v>
      </c>
      <c r="B5983" t="s">
        <v>257</v>
      </c>
      <c r="C5983" s="39" t="s">
        <v>258</v>
      </c>
      <c r="D5983">
        <v>9</v>
      </c>
      <c r="F5983" s="56"/>
    </row>
    <row r="5984" spans="1:6" ht="15">
      <c r="A5984" s="51">
        <v>293210</v>
      </c>
      <c r="B5984" t="s">
        <v>259</v>
      </c>
      <c r="C5984" s="39" t="s">
        <v>258</v>
      </c>
      <c r="D5984">
        <v>9</v>
      </c>
      <c r="F5984" s="56"/>
    </row>
    <row r="5985" spans="1:6" ht="15">
      <c r="A5985" s="51">
        <v>293211</v>
      </c>
      <c r="B5985" t="s">
        <v>260</v>
      </c>
      <c r="C5985" s="39" t="s">
        <v>261</v>
      </c>
      <c r="D5985" t="s">
        <v>4248</v>
      </c>
      <c r="F5985" s="56"/>
    </row>
    <row r="5986" spans="1:6" ht="15">
      <c r="A5986" s="51">
        <v>293212</v>
      </c>
      <c r="B5986" t="s">
        <v>262</v>
      </c>
      <c r="C5986" s="39" t="s">
        <v>261</v>
      </c>
      <c r="D5986" t="s">
        <v>4245</v>
      </c>
      <c r="F5986" s="56"/>
    </row>
    <row r="5987" spans="1:6" ht="15">
      <c r="A5987" s="51">
        <v>293213</v>
      </c>
      <c r="B5987" t="s">
        <v>447</v>
      </c>
      <c r="C5987" s="39" t="s">
        <v>261</v>
      </c>
      <c r="D5987" t="s">
        <v>4244</v>
      </c>
      <c r="F5987" s="56"/>
    </row>
    <row r="5988" spans="1:6" ht="15">
      <c r="A5988" s="51">
        <v>293214</v>
      </c>
      <c r="B5988" t="s">
        <v>449</v>
      </c>
      <c r="C5988" s="39" t="s">
        <v>450</v>
      </c>
      <c r="D5988">
        <v>9</v>
      </c>
      <c r="F5988" s="56"/>
    </row>
    <row r="5989" spans="1:6" ht="15">
      <c r="A5989" s="51">
        <v>293216</v>
      </c>
      <c r="B5989" t="s">
        <v>2093</v>
      </c>
      <c r="C5989" s="39" t="s">
        <v>2094</v>
      </c>
      <c r="D5989" t="s">
        <v>4244</v>
      </c>
      <c r="F5989" s="56"/>
    </row>
    <row r="5990" spans="1:6" ht="15">
      <c r="A5990" s="51">
        <v>293217</v>
      </c>
      <c r="B5990" t="s">
        <v>2095</v>
      </c>
      <c r="C5990" s="39" t="s">
        <v>2094</v>
      </c>
      <c r="D5990" t="s">
        <v>4244</v>
      </c>
      <c r="F5990" s="56"/>
    </row>
    <row r="5991" spans="1:6" ht="15">
      <c r="A5991" s="51">
        <v>293218</v>
      </c>
      <c r="B5991" t="s">
        <v>460</v>
      </c>
      <c r="C5991" s="39" t="s">
        <v>2094</v>
      </c>
      <c r="D5991">
        <v>7</v>
      </c>
      <c r="F5991" s="56"/>
    </row>
    <row r="5992" spans="1:6" ht="15">
      <c r="A5992" s="51">
        <v>293219</v>
      </c>
      <c r="B5992" t="s">
        <v>2097</v>
      </c>
      <c r="C5992" s="39" t="s">
        <v>2094</v>
      </c>
      <c r="D5992">
        <v>9</v>
      </c>
      <c r="F5992" s="56"/>
    </row>
    <row r="5993" spans="1:6" ht="15">
      <c r="A5993" s="51">
        <v>293221</v>
      </c>
      <c r="B5993" t="s">
        <v>87</v>
      </c>
      <c r="C5993" s="39" t="s">
        <v>88</v>
      </c>
      <c r="D5993">
        <v>8</v>
      </c>
      <c r="F5993" s="56"/>
    </row>
    <row r="5994" spans="1:6" ht="15">
      <c r="A5994" s="51">
        <v>293222</v>
      </c>
      <c r="B5994" t="s">
        <v>338</v>
      </c>
      <c r="C5994" s="39" t="s">
        <v>698</v>
      </c>
      <c r="D5994" t="s">
        <v>4243</v>
      </c>
      <c r="F5994" s="56"/>
    </row>
    <row r="5995" spans="1:6" ht="15">
      <c r="A5995" s="51">
        <v>293223</v>
      </c>
      <c r="B5995" t="s">
        <v>340</v>
      </c>
      <c r="C5995" s="39" t="s">
        <v>1692</v>
      </c>
      <c r="D5995" t="s">
        <v>4246</v>
      </c>
      <c r="F5995" s="56"/>
    </row>
    <row r="5996" spans="1:6" ht="15">
      <c r="A5996" s="51">
        <v>293224</v>
      </c>
      <c r="B5996" t="s">
        <v>1000</v>
      </c>
      <c r="C5996" s="39" t="s">
        <v>1692</v>
      </c>
      <c r="D5996" t="s">
        <v>4244</v>
      </c>
      <c r="F5996" s="56"/>
    </row>
    <row r="5997" spans="1:6" ht="15">
      <c r="A5997" s="51">
        <v>293225</v>
      </c>
      <c r="B5997" t="s">
        <v>1003</v>
      </c>
      <c r="C5997" s="39" t="s">
        <v>1692</v>
      </c>
      <c r="D5997" t="s">
        <v>4243</v>
      </c>
      <c r="F5997" s="56"/>
    </row>
    <row r="5998" spans="1:6" ht="15">
      <c r="A5998" s="51">
        <v>293226</v>
      </c>
      <c r="B5998" t="s">
        <v>112</v>
      </c>
      <c r="C5998" s="39" t="s">
        <v>1692</v>
      </c>
      <c r="D5998">
        <v>8</v>
      </c>
      <c r="F5998" s="56"/>
    </row>
    <row r="5999" spans="1:6" ht="15">
      <c r="A5999" s="51">
        <v>293227</v>
      </c>
      <c r="B5999" t="s">
        <v>844</v>
      </c>
      <c r="C5999" s="39" t="s">
        <v>1692</v>
      </c>
      <c r="D5999">
        <v>8</v>
      </c>
      <c r="F5999" s="56"/>
    </row>
    <row r="6000" spans="1:6" ht="15">
      <c r="A6000" s="51">
        <v>293228</v>
      </c>
      <c r="B6000" t="s">
        <v>1154</v>
      </c>
      <c r="C6000" s="39" t="s">
        <v>1692</v>
      </c>
      <c r="D6000">
        <v>9</v>
      </c>
      <c r="F6000" s="56"/>
    </row>
    <row r="6001" spans="1:6" ht="15">
      <c r="A6001" s="51">
        <v>293229</v>
      </c>
      <c r="B6001" t="s">
        <v>1155</v>
      </c>
      <c r="C6001" s="39" t="s">
        <v>3607</v>
      </c>
      <c r="D6001">
        <v>8</v>
      </c>
      <c r="F6001" s="56"/>
    </row>
    <row r="6002" spans="1:6" ht="15">
      <c r="A6002" s="51">
        <v>293230</v>
      </c>
      <c r="B6002" t="s">
        <v>1156</v>
      </c>
      <c r="C6002" s="39" t="s">
        <v>3607</v>
      </c>
      <c r="D6002">
        <v>8</v>
      </c>
      <c r="F6002" s="56"/>
    </row>
    <row r="6003" spans="1:6" ht="15">
      <c r="A6003" s="51">
        <v>293231</v>
      </c>
      <c r="B6003" t="s">
        <v>1005</v>
      </c>
      <c r="C6003" s="39" t="s">
        <v>3608</v>
      </c>
      <c r="D6003">
        <v>9</v>
      </c>
      <c r="F6003" s="56"/>
    </row>
    <row r="6004" spans="1:6" ht="15">
      <c r="B6004" t="s">
        <v>3609</v>
      </c>
      <c r="C6004" s="39" t="s">
        <v>3608</v>
      </c>
      <c r="D6004">
        <v>9</v>
      </c>
      <c r="F6004" s="56"/>
    </row>
    <row r="6005" spans="1:6" ht="15">
      <c r="A6005" s="51">
        <v>293233</v>
      </c>
      <c r="B6005" t="s">
        <v>351</v>
      </c>
      <c r="C6005" s="39" t="s">
        <v>2695</v>
      </c>
      <c r="D6005">
        <v>8</v>
      </c>
      <c r="F6005" s="56"/>
    </row>
    <row r="6006" spans="1:6" ht="15">
      <c r="A6006" s="51">
        <v>293234</v>
      </c>
      <c r="B6006" t="s">
        <v>352</v>
      </c>
      <c r="C6006" s="39" t="s">
        <v>2695</v>
      </c>
      <c r="D6006">
        <v>9</v>
      </c>
      <c r="F6006" s="56"/>
    </row>
    <row r="6007" spans="1:6" ht="15">
      <c r="A6007" s="51">
        <v>293235</v>
      </c>
      <c r="B6007" t="s">
        <v>1705</v>
      </c>
      <c r="C6007" s="39" t="s">
        <v>3610</v>
      </c>
      <c r="D6007" t="s">
        <v>4246</v>
      </c>
      <c r="F6007" s="56"/>
    </row>
    <row r="6008" spans="1:6" ht="15">
      <c r="A6008" s="51">
        <v>293236</v>
      </c>
      <c r="B6008" t="s">
        <v>1707</v>
      </c>
      <c r="C6008" s="39" t="s">
        <v>3610</v>
      </c>
      <c r="D6008" t="s">
        <v>4243</v>
      </c>
      <c r="F6008" s="56"/>
    </row>
    <row r="6009" spans="1:6" ht="15">
      <c r="A6009" s="51">
        <v>293237</v>
      </c>
      <c r="B6009" t="s">
        <v>846</v>
      </c>
      <c r="C6009" s="39" t="s">
        <v>3611</v>
      </c>
      <c r="D6009">
        <v>9</v>
      </c>
      <c r="F6009" s="56"/>
    </row>
    <row r="6010" spans="1:6" ht="15">
      <c r="A6010" s="51">
        <v>293238</v>
      </c>
      <c r="B6010" t="s">
        <v>847</v>
      </c>
      <c r="C6010" s="39" t="s">
        <v>3611</v>
      </c>
      <c r="D6010">
        <v>9</v>
      </c>
      <c r="F6010" s="56"/>
    </row>
    <row r="6011" spans="1:6" ht="15">
      <c r="A6011" s="51">
        <v>293239</v>
      </c>
      <c r="B6011" t="s">
        <v>3612</v>
      </c>
      <c r="C6011" s="39" t="s">
        <v>3613</v>
      </c>
      <c r="D6011">
        <v>9</v>
      </c>
      <c r="F6011" s="56"/>
    </row>
    <row r="6012" spans="1:6" ht="15">
      <c r="A6012" s="51">
        <v>293240</v>
      </c>
      <c r="B6012" t="s">
        <v>1023</v>
      </c>
      <c r="C6012" s="39" t="s">
        <v>1024</v>
      </c>
      <c r="D6012" t="s">
        <v>4243</v>
      </c>
      <c r="F6012" s="56"/>
    </row>
    <row r="6013" spans="1:6" ht="15">
      <c r="A6013" s="51">
        <v>293241</v>
      </c>
      <c r="B6013" t="s">
        <v>2467</v>
      </c>
      <c r="C6013" s="39" t="s">
        <v>1740</v>
      </c>
      <c r="D6013" t="s">
        <v>4248</v>
      </c>
      <c r="F6013" s="56"/>
    </row>
    <row r="6014" spans="1:6" ht="15">
      <c r="A6014" s="51">
        <v>293242</v>
      </c>
      <c r="B6014" t="s">
        <v>1999</v>
      </c>
      <c r="C6014" s="39" t="s">
        <v>1740</v>
      </c>
      <c r="D6014" t="s">
        <v>4246</v>
      </c>
      <c r="F6014" s="56"/>
    </row>
    <row r="6015" spans="1:6" ht="15">
      <c r="A6015" s="51">
        <v>293243</v>
      </c>
      <c r="B6015" t="s">
        <v>2208</v>
      </c>
      <c r="C6015" s="39" t="s">
        <v>1742</v>
      </c>
      <c r="D6015">
        <v>9</v>
      </c>
      <c r="F6015" s="56"/>
    </row>
    <row r="6016" spans="1:6" ht="15">
      <c r="A6016" s="51">
        <v>293244</v>
      </c>
      <c r="B6016" t="s">
        <v>2840</v>
      </c>
      <c r="C6016" s="39" t="s">
        <v>2362</v>
      </c>
      <c r="D6016" t="s">
        <v>4244</v>
      </c>
      <c r="F6016" s="56"/>
    </row>
    <row r="6017" spans="1:6" ht="15">
      <c r="A6017" s="51">
        <v>293245</v>
      </c>
      <c r="B6017" t="s">
        <v>2000</v>
      </c>
      <c r="C6017" s="39" t="s">
        <v>2362</v>
      </c>
      <c r="D6017" t="s">
        <v>4243</v>
      </c>
      <c r="F6017" s="56"/>
    </row>
    <row r="6018" spans="1:6" ht="15">
      <c r="A6018" s="51">
        <v>293246</v>
      </c>
      <c r="B6018" t="s">
        <v>1649</v>
      </c>
      <c r="C6018" s="39" t="s">
        <v>2362</v>
      </c>
      <c r="D6018">
        <v>7</v>
      </c>
      <c r="F6018" s="56"/>
    </row>
    <row r="6019" spans="1:6" ht="15">
      <c r="A6019" s="51">
        <v>293247</v>
      </c>
      <c r="B6019" t="s">
        <v>2001</v>
      </c>
      <c r="C6019" s="39" t="s">
        <v>2362</v>
      </c>
      <c r="D6019">
        <v>8</v>
      </c>
      <c r="F6019" s="56"/>
    </row>
    <row r="6020" spans="1:6" ht="15">
      <c r="A6020" s="51">
        <v>293248</v>
      </c>
      <c r="B6020" t="s">
        <v>2002</v>
      </c>
      <c r="C6020" s="39" t="s">
        <v>3614</v>
      </c>
      <c r="D6020">
        <v>9</v>
      </c>
      <c r="F6020" s="56"/>
    </row>
    <row r="6021" spans="1:6" ht="15">
      <c r="A6021" s="51">
        <v>293249</v>
      </c>
      <c r="B6021" t="s">
        <v>3615</v>
      </c>
      <c r="C6021" s="39" t="s">
        <v>2009</v>
      </c>
      <c r="D6021">
        <v>9</v>
      </c>
      <c r="F6021" s="56"/>
    </row>
    <row r="6022" spans="1:6" ht="15">
      <c r="A6022" s="51">
        <v>293250</v>
      </c>
      <c r="B6022" t="s">
        <v>378</v>
      </c>
      <c r="C6022" s="39" t="s">
        <v>3616</v>
      </c>
      <c r="D6022">
        <v>7</v>
      </c>
      <c r="F6022" s="56"/>
    </row>
    <row r="6023" spans="1:6" ht="15">
      <c r="A6023" s="51">
        <v>293251</v>
      </c>
      <c r="B6023" t="s">
        <v>1216</v>
      </c>
      <c r="C6023" s="39" t="s">
        <v>3616</v>
      </c>
      <c r="D6023">
        <v>8</v>
      </c>
      <c r="F6023" s="56"/>
    </row>
    <row r="6024" spans="1:6" ht="15">
      <c r="A6024" s="51">
        <v>293252</v>
      </c>
      <c r="B6024" t="s">
        <v>1744</v>
      </c>
      <c r="C6024" s="39" t="s">
        <v>3616</v>
      </c>
      <c r="D6024">
        <v>9</v>
      </c>
      <c r="F6024" s="56"/>
    </row>
    <row r="6025" spans="1:6" ht="15">
      <c r="A6025" s="51">
        <v>293253</v>
      </c>
      <c r="B6025" t="s">
        <v>381</v>
      </c>
      <c r="C6025" s="39" t="s">
        <v>3617</v>
      </c>
      <c r="D6025">
        <v>9</v>
      </c>
      <c r="F6025" s="56"/>
    </row>
    <row r="6026" spans="1:6" ht="15">
      <c r="A6026" s="51">
        <v>293254</v>
      </c>
      <c r="B6026" t="s">
        <v>3153</v>
      </c>
      <c r="C6026" s="39" t="s">
        <v>3154</v>
      </c>
      <c r="D6026" t="s">
        <v>4243</v>
      </c>
      <c r="F6026" s="56"/>
    </row>
    <row r="6027" spans="1:6" ht="15">
      <c r="A6027" s="51">
        <v>293255</v>
      </c>
      <c r="B6027" t="s">
        <v>1571</v>
      </c>
      <c r="C6027" s="39" t="s">
        <v>696</v>
      </c>
      <c r="D6027" t="s">
        <v>4243</v>
      </c>
      <c r="F6027" s="56"/>
    </row>
    <row r="6028" spans="1:6" ht="15">
      <c r="A6028" s="51">
        <v>293256</v>
      </c>
      <c r="B6028" t="s">
        <v>3572</v>
      </c>
      <c r="C6028" s="39" t="s">
        <v>2317</v>
      </c>
      <c r="D6028" t="s">
        <v>4246</v>
      </c>
      <c r="F6028" s="56"/>
    </row>
    <row r="6029" spans="1:6" ht="15">
      <c r="A6029" s="51">
        <v>293257</v>
      </c>
      <c r="B6029" t="s">
        <v>3573</v>
      </c>
      <c r="C6029" s="39" t="s">
        <v>2317</v>
      </c>
      <c r="D6029" t="s">
        <v>4244</v>
      </c>
      <c r="F6029" s="56"/>
    </row>
    <row r="6030" spans="1:6" ht="15">
      <c r="A6030" s="51">
        <v>293258</v>
      </c>
      <c r="B6030" t="s">
        <v>3618</v>
      </c>
      <c r="C6030" s="39" t="s">
        <v>2317</v>
      </c>
      <c r="D6030">
        <v>8</v>
      </c>
      <c r="F6030" s="56"/>
    </row>
    <row r="6031" spans="1:6" ht="15">
      <c r="A6031" s="51">
        <v>293259</v>
      </c>
      <c r="B6031" t="s">
        <v>3619</v>
      </c>
      <c r="C6031" s="39" t="s">
        <v>2317</v>
      </c>
      <c r="D6031">
        <v>8</v>
      </c>
      <c r="F6031" s="56"/>
    </row>
    <row r="6032" spans="1:6" ht="15">
      <c r="A6032" s="51">
        <v>293260</v>
      </c>
      <c r="B6032" t="s">
        <v>227</v>
      </c>
      <c r="C6032" s="39" t="s">
        <v>228</v>
      </c>
      <c r="D6032">
        <v>9</v>
      </c>
      <c r="F6032" s="56"/>
    </row>
    <row r="6033" spans="1:6" ht="15">
      <c r="A6033" s="51">
        <v>293261</v>
      </c>
      <c r="B6033" t="s">
        <v>1106</v>
      </c>
      <c r="C6033" s="39" t="s">
        <v>228</v>
      </c>
      <c r="D6033">
        <v>9</v>
      </c>
      <c r="F6033" s="56"/>
    </row>
    <row r="6034" spans="1:6" ht="15">
      <c r="A6034" s="51">
        <v>293262</v>
      </c>
      <c r="B6034" t="s">
        <v>230</v>
      </c>
      <c r="C6034" s="39" t="s">
        <v>2065</v>
      </c>
      <c r="D6034">
        <v>7</v>
      </c>
      <c r="F6034" s="56"/>
    </row>
    <row r="6035" spans="1:6" ht="15">
      <c r="A6035" s="51">
        <v>293263</v>
      </c>
      <c r="B6035" t="s">
        <v>2241</v>
      </c>
      <c r="C6035" s="39" t="s">
        <v>238</v>
      </c>
      <c r="D6035" t="s">
        <v>4246</v>
      </c>
      <c r="F6035" s="56"/>
    </row>
    <row r="6036" spans="1:6" ht="15">
      <c r="A6036" s="51">
        <v>293264</v>
      </c>
      <c r="B6036" t="s">
        <v>2497</v>
      </c>
      <c r="C6036" s="39" t="s">
        <v>238</v>
      </c>
      <c r="D6036" t="s">
        <v>4247</v>
      </c>
      <c r="F6036" s="56"/>
    </row>
    <row r="6037" spans="1:6" ht="15">
      <c r="A6037" s="51">
        <v>293265</v>
      </c>
      <c r="B6037" t="s">
        <v>2498</v>
      </c>
      <c r="C6037" s="39" t="s">
        <v>238</v>
      </c>
      <c r="D6037" t="s">
        <v>4243</v>
      </c>
      <c r="F6037" s="56"/>
    </row>
    <row r="6038" spans="1:6" ht="15">
      <c r="A6038" s="51">
        <v>293266</v>
      </c>
      <c r="B6038" t="s">
        <v>3620</v>
      </c>
      <c r="C6038" s="39" t="s">
        <v>238</v>
      </c>
      <c r="D6038">
        <v>7</v>
      </c>
      <c r="F6038" s="56"/>
    </row>
    <row r="6039" spans="1:6" ht="15">
      <c r="A6039" s="51">
        <v>293267</v>
      </c>
      <c r="B6039" t="s">
        <v>3621</v>
      </c>
      <c r="C6039" s="39" t="s">
        <v>3622</v>
      </c>
      <c r="D6039">
        <v>9</v>
      </c>
      <c r="F6039" s="56"/>
    </row>
    <row r="6040" spans="1:6" ht="15">
      <c r="A6040" s="51">
        <v>293268</v>
      </c>
      <c r="B6040" t="s">
        <v>3623</v>
      </c>
      <c r="C6040" s="39" t="s">
        <v>3622</v>
      </c>
      <c r="D6040">
        <v>9</v>
      </c>
      <c r="F6040" s="56"/>
    </row>
    <row r="6041" spans="1:6" ht="15">
      <c r="A6041" s="51">
        <v>293269</v>
      </c>
      <c r="B6041" t="s">
        <v>3624</v>
      </c>
      <c r="C6041" s="39" t="s">
        <v>3622</v>
      </c>
      <c r="D6041">
        <v>9</v>
      </c>
      <c r="F6041" s="56"/>
    </row>
    <row r="6042" spans="1:6" ht="15">
      <c r="A6042" s="51">
        <v>293270</v>
      </c>
      <c r="B6042" t="s">
        <v>240</v>
      </c>
      <c r="C6042" s="39" t="s">
        <v>1121</v>
      </c>
      <c r="D6042">
        <v>8</v>
      </c>
      <c r="F6042" s="56"/>
    </row>
    <row r="6043" spans="1:6" ht="15">
      <c r="A6043" s="51">
        <v>293220</v>
      </c>
      <c r="B6043" t="s">
        <v>434</v>
      </c>
      <c r="C6043" s="39" t="s">
        <v>435</v>
      </c>
      <c r="D6043" t="s">
        <v>4243</v>
      </c>
      <c r="F6043" s="56"/>
    </row>
    <row r="6044" spans="1:6" ht="15">
      <c r="A6044" s="51">
        <v>293271</v>
      </c>
      <c r="B6044" t="s">
        <v>449</v>
      </c>
      <c r="C6044" s="39" t="s">
        <v>258</v>
      </c>
      <c r="D6044">
        <v>9</v>
      </c>
      <c r="F6044" s="56"/>
    </row>
    <row r="6045" spans="1:6" ht="15">
      <c r="A6045" s="51">
        <v>293272</v>
      </c>
      <c r="B6045" t="s">
        <v>451</v>
      </c>
      <c r="C6045" s="39" t="s">
        <v>258</v>
      </c>
      <c r="D6045">
        <v>9</v>
      </c>
      <c r="F6045" s="56"/>
    </row>
    <row r="6046" spans="1:6" ht="15">
      <c r="A6046" s="51">
        <v>293273</v>
      </c>
      <c r="B6046" t="s">
        <v>1882</v>
      </c>
      <c r="C6046" s="39" t="s">
        <v>258</v>
      </c>
      <c r="D6046">
        <v>9</v>
      </c>
      <c r="F6046" s="56"/>
    </row>
    <row r="6047" spans="1:6" ht="15">
      <c r="A6047" s="51">
        <v>293274</v>
      </c>
      <c r="B6047" t="s">
        <v>1884</v>
      </c>
      <c r="C6047" s="39" t="s">
        <v>450</v>
      </c>
      <c r="D6047">
        <v>9</v>
      </c>
      <c r="F6047" s="56"/>
    </row>
    <row r="6048" spans="1:6" ht="15">
      <c r="A6048" s="51">
        <v>293275</v>
      </c>
      <c r="B6048" t="s">
        <v>455</v>
      </c>
      <c r="C6048" s="39" t="s">
        <v>550</v>
      </c>
      <c r="D6048" t="s">
        <v>4244</v>
      </c>
      <c r="F6048" s="56"/>
    </row>
    <row r="6049" spans="1:6" ht="15">
      <c r="A6049" s="51">
        <v>293276</v>
      </c>
      <c r="B6049" t="s">
        <v>3625</v>
      </c>
      <c r="C6049" s="39" t="s">
        <v>3626</v>
      </c>
      <c r="D6049" t="s">
        <v>4246</v>
      </c>
      <c r="F6049" s="56"/>
    </row>
    <row r="6050" spans="1:6" ht="15">
      <c r="A6050" s="51">
        <v>293277</v>
      </c>
      <c r="B6050" t="s">
        <v>277</v>
      </c>
      <c r="C6050" s="39" t="s">
        <v>3627</v>
      </c>
      <c r="D6050" t="s">
        <v>4246</v>
      </c>
      <c r="F6050" s="56"/>
    </row>
    <row r="6051" spans="1:6" ht="15">
      <c r="A6051" s="51">
        <v>293278</v>
      </c>
      <c r="B6051" t="s">
        <v>279</v>
      </c>
      <c r="C6051" s="39" t="s">
        <v>3627</v>
      </c>
      <c r="D6051" t="s">
        <v>4247</v>
      </c>
      <c r="F6051" s="56"/>
    </row>
    <row r="6052" spans="1:6" ht="15">
      <c r="A6052" s="51">
        <v>293279</v>
      </c>
      <c r="B6052" t="s">
        <v>280</v>
      </c>
      <c r="C6052" s="39" t="s">
        <v>3627</v>
      </c>
      <c r="D6052" t="s">
        <v>4243</v>
      </c>
      <c r="F6052" s="56"/>
    </row>
    <row r="6053" spans="1:6" ht="15">
      <c r="A6053" s="51">
        <v>293280</v>
      </c>
      <c r="B6053" t="s">
        <v>281</v>
      </c>
      <c r="C6053" s="39" t="s">
        <v>3627</v>
      </c>
      <c r="D6053">
        <v>7</v>
      </c>
      <c r="F6053" s="56"/>
    </row>
    <row r="6054" spans="1:6" ht="15">
      <c r="A6054" s="51">
        <v>293281</v>
      </c>
      <c r="B6054" t="s">
        <v>3503</v>
      </c>
      <c r="C6054" s="39" t="s">
        <v>3628</v>
      </c>
      <c r="D6054">
        <v>9</v>
      </c>
      <c r="F6054" s="56"/>
    </row>
    <row r="6055" spans="1:6" ht="15">
      <c r="A6055" s="51">
        <v>293282</v>
      </c>
      <c r="B6055" t="s">
        <v>3505</v>
      </c>
      <c r="C6055" s="39" t="s">
        <v>3628</v>
      </c>
      <c r="D6055">
        <v>9</v>
      </c>
      <c r="F6055" s="56"/>
    </row>
    <row r="6056" spans="1:6" ht="15">
      <c r="A6056" s="51">
        <v>293283</v>
      </c>
      <c r="B6056" t="s">
        <v>3629</v>
      </c>
      <c r="C6056" s="39" t="s">
        <v>3628</v>
      </c>
      <c r="D6056">
        <v>9</v>
      </c>
      <c r="F6056" s="56"/>
    </row>
    <row r="6057" spans="1:6" ht="15">
      <c r="A6057" s="51">
        <v>293285</v>
      </c>
      <c r="B6057" t="s">
        <v>3630</v>
      </c>
      <c r="C6057" s="39" t="s">
        <v>3631</v>
      </c>
      <c r="D6057" t="s">
        <v>4247</v>
      </c>
      <c r="F6057" s="56"/>
    </row>
    <row r="6058" spans="1:6" ht="15">
      <c r="A6058" s="51">
        <v>293286</v>
      </c>
      <c r="B6058" t="s">
        <v>3632</v>
      </c>
      <c r="C6058" s="39" t="s">
        <v>3631</v>
      </c>
      <c r="D6058" t="s">
        <v>4243</v>
      </c>
      <c r="F6058" s="56"/>
    </row>
    <row r="6059" spans="1:6" ht="15">
      <c r="A6059" s="51">
        <v>293287</v>
      </c>
      <c r="B6059" t="s">
        <v>3633</v>
      </c>
      <c r="C6059" s="39" t="s">
        <v>3631</v>
      </c>
      <c r="D6059">
        <v>8</v>
      </c>
      <c r="F6059" s="56"/>
    </row>
    <row r="6060" spans="1:6" ht="15">
      <c r="A6060" s="51">
        <v>293288</v>
      </c>
      <c r="B6060" t="s">
        <v>3634</v>
      </c>
      <c r="C6060" s="39" t="s">
        <v>3635</v>
      </c>
      <c r="D6060">
        <v>9</v>
      </c>
      <c r="F6060" s="56"/>
    </row>
    <row r="6061" spans="1:6" ht="15">
      <c r="A6061" s="51">
        <v>293289</v>
      </c>
      <c r="B6061" t="s">
        <v>3636</v>
      </c>
      <c r="C6061" s="39" t="s">
        <v>3635</v>
      </c>
      <c r="D6061">
        <v>9</v>
      </c>
      <c r="F6061" s="56"/>
    </row>
    <row r="6062" spans="1:6" ht="15">
      <c r="A6062" s="51">
        <v>293290</v>
      </c>
      <c r="B6062" t="s">
        <v>3637</v>
      </c>
      <c r="C6062" s="39" t="s">
        <v>3635</v>
      </c>
      <c r="D6062">
        <v>9</v>
      </c>
      <c r="F6062" s="56"/>
    </row>
    <row r="6063" spans="1:6" ht="15">
      <c r="A6063" s="51">
        <v>294327</v>
      </c>
      <c r="B6063" t="s">
        <v>3638</v>
      </c>
      <c r="C6063" s="39" t="s">
        <v>2389</v>
      </c>
      <c r="D6063" t="s">
        <v>4246</v>
      </c>
      <c r="F6063" s="56"/>
    </row>
    <row r="6064" spans="1:6" ht="15">
      <c r="A6064" s="51">
        <v>294328</v>
      </c>
      <c r="B6064" t="s">
        <v>3639</v>
      </c>
      <c r="C6064" s="39" t="s">
        <v>2389</v>
      </c>
      <c r="D6064" t="s">
        <v>4244</v>
      </c>
      <c r="F6064" s="56"/>
    </row>
    <row r="6065" spans="1:6" ht="15">
      <c r="A6065" s="51">
        <v>294329</v>
      </c>
      <c r="B6065" t="s">
        <v>3640</v>
      </c>
      <c r="C6065" s="39" t="s">
        <v>2389</v>
      </c>
      <c r="D6065">
        <v>8</v>
      </c>
      <c r="F6065" s="56"/>
    </row>
    <row r="6066" spans="1:6" ht="15">
      <c r="A6066" s="51">
        <v>294330</v>
      </c>
      <c r="B6066" t="s">
        <v>1144</v>
      </c>
      <c r="C6066" s="39" t="s">
        <v>318</v>
      </c>
      <c r="D6066">
        <v>7</v>
      </c>
      <c r="F6066" s="56"/>
    </row>
    <row r="6067" spans="1:6" ht="15">
      <c r="A6067" s="51">
        <v>294331</v>
      </c>
      <c r="B6067" t="s">
        <v>3641</v>
      </c>
      <c r="C6067" s="39" t="s">
        <v>1301</v>
      </c>
      <c r="D6067">
        <v>8</v>
      </c>
      <c r="F6067" s="56"/>
    </row>
    <row r="6068" spans="1:6" ht="15">
      <c r="A6068" s="51">
        <v>294332</v>
      </c>
      <c r="B6068" t="s">
        <v>3030</v>
      </c>
      <c r="C6068" s="39" t="s">
        <v>1301</v>
      </c>
      <c r="D6068">
        <v>8</v>
      </c>
      <c r="F6068" s="56"/>
    </row>
    <row r="6069" spans="1:6" ht="15">
      <c r="A6069" s="51">
        <v>294333</v>
      </c>
      <c r="B6069" t="s">
        <v>3642</v>
      </c>
      <c r="C6069" s="39" t="s">
        <v>1299</v>
      </c>
      <c r="D6069">
        <v>8</v>
      </c>
      <c r="F6069" s="56"/>
    </row>
    <row r="6070" spans="1:6" ht="15">
      <c r="A6070" s="51">
        <v>294334</v>
      </c>
      <c r="B6070" t="s">
        <v>3643</v>
      </c>
      <c r="C6070" s="39" t="s">
        <v>1299</v>
      </c>
      <c r="D6070">
        <v>9</v>
      </c>
      <c r="F6070" s="56"/>
    </row>
    <row r="6071" spans="1:6" ht="15">
      <c r="A6071" s="51">
        <v>294335</v>
      </c>
      <c r="B6071" t="s">
        <v>3644</v>
      </c>
      <c r="C6071" s="39" t="s">
        <v>2130</v>
      </c>
      <c r="D6071">
        <v>8</v>
      </c>
      <c r="F6071" s="56"/>
    </row>
    <row r="6072" spans="1:6" ht="15">
      <c r="A6072" s="51">
        <v>294336</v>
      </c>
      <c r="B6072" t="s">
        <v>3645</v>
      </c>
      <c r="C6072" s="39" t="s">
        <v>2130</v>
      </c>
      <c r="D6072">
        <v>9</v>
      </c>
      <c r="F6072" s="56"/>
    </row>
    <row r="6073" spans="1:6" ht="15">
      <c r="A6073" s="51">
        <v>294337</v>
      </c>
      <c r="B6073" t="s">
        <v>3646</v>
      </c>
      <c r="C6073" s="39" t="s">
        <v>3647</v>
      </c>
      <c r="D6073">
        <v>8</v>
      </c>
      <c r="F6073" s="56"/>
    </row>
    <row r="6074" spans="1:6" ht="15">
      <c r="A6074" s="51">
        <v>294338</v>
      </c>
      <c r="B6074" t="s">
        <v>3648</v>
      </c>
      <c r="C6074" s="39" t="s">
        <v>3647</v>
      </c>
      <c r="D6074">
        <v>9</v>
      </c>
      <c r="F6074" s="56"/>
    </row>
    <row r="6075" spans="1:6" ht="15">
      <c r="A6075" s="51">
        <v>294343</v>
      </c>
      <c r="B6075" t="s">
        <v>1532</v>
      </c>
      <c r="C6075" s="39" t="s">
        <v>1524</v>
      </c>
      <c r="D6075" t="s">
        <v>4245</v>
      </c>
      <c r="F6075" s="56"/>
    </row>
    <row r="6076" spans="1:6" ht="15">
      <c r="A6076" s="51">
        <v>294344</v>
      </c>
      <c r="B6076" t="s">
        <v>2683</v>
      </c>
      <c r="C6076" s="39" t="s">
        <v>1524</v>
      </c>
      <c r="D6076" t="s">
        <v>4244</v>
      </c>
      <c r="F6076" s="56"/>
    </row>
    <row r="6077" spans="1:6" ht="15">
      <c r="A6077" s="51">
        <v>294345</v>
      </c>
      <c r="B6077" t="s">
        <v>2684</v>
      </c>
      <c r="C6077" s="39" t="s">
        <v>1524</v>
      </c>
      <c r="D6077" t="s">
        <v>4243</v>
      </c>
      <c r="F6077" s="56"/>
    </row>
    <row r="6078" spans="1:6" ht="15">
      <c r="A6078" s="51">
        <v>294346</v>
      </c>
      <c r="B6078" t="s">
        <v>2686</v>
      </c>
      <c r="C6078" s="39" t="s">
        <v>3649</v>
      </c>
      <c r="D6078" t="s">
        <v>4247</v>
      </c>
      <c r="F6078" s="56"/>
    </row>
    <row r="6079" spans="1:6" ht="15">
      <c r="A6079" s="51">
        <v>294347</v>
      </c>
      <c r="B6079" t="s">
        <v>2687</v>
      </c>
      <c r="C6079" s="39" t="s">
        <v>3649</v>
      </c>
      <c r="D6079" t="s">
        <v>4244</v>
      </c>
      <c r="F6079" s="56"/>
    </row>
    <row r="6080" spans="1:6" ht="15">
      <c r="A6080" s="51">
        <v>294348</v>
      </c>
      <c r="B6080" t="s">
        <v>3591</v>
      </c>
      <c r="C6080" s="39" t="s">
        <v>3649</v>
      </c>
      <c r="D6080">
        <v>7</v>
      </c>
      <c r="F6080" s="56"/>
    </row>
    <row r="6081" spans="1:6" ht="15">
      <c r="A6081" s="51">
        <v>294339</v>
      </c>
      <c r="B6081" t="s">
        <v>3650</v>
      </c>
      <c r="C6081" s="39" t="s">
        <v>1360</v>
      </c>
      <c r="D6081" t="s">
        <v>4243</v>
      </c>
      <c r="F6081" s="56"/>
    </row>
    <row r="6082" spans="1:6" ht="15">
      <c r="A6082" s="51">
        <v>294340</v>
      </c>
      <c r="B6082" t="s">
        <v>3651</v>
      </c>
      <c r="C6082" s="39" t="s">
        <v>1360</v>
      </c>
      <c r="D6082">
        <v>8</v>
      </c>
      <c r="F6082" s="56"/>
    </row>
    <row r="6083" spans="1:6" ht="15">
      <c r="A6083" s="51">
        <v>294341</v>
      </c>
      <c r="B6083" t="s">
        <v>3652</v>
      </c>
      <c r="C6083" s="39" t="s">
        <v>3653</v>
      </c>
      <c r="D6083" t="s">
        <v>4243</v>
      </c>
      <c r="F6083" s="56"/>
    </row>
    <row r="6084" spans="1:6" ht="15">
      <c r="A6084" s="51">
        <v>294342</v>
      </c>
      <c r="B6084" t="s">
        <v>3654</v>
      </c>
      <c r="C6084" s="39" t="s">
        <v>3653</v>
      </c>
      <c r="D6084">
        <v>8</v>
      </c>
      <c r="F6084" s="56"/>
    </row>
    <row r="6085" spans="1:6" ht="15">
      <c r="A6085" s="51">
        <v>294349</v>
      </c>
      <c r="B6085" t="s">
        <v>1627</v>
      </c>
      <c r="C6085" s="39" t="s">
        <v>2295</v>
      </c>
      <c r="D6085" t="s">
        <v>4246</v>
      </c>
      <c r="F6085" s="56"/>
    </row>
    <row r="6086" spans="1:6" ht="15">
      <c r="A6086" s="51">
        <v>294350</v>
      </c>
      <c r="B6086" t="s">
        <v>1628</v>
      </c>
      <c r="C6086" s="39" t="s">
        <v>2295</v>
      </c>
      <c r="D6086" t="s">
        <v>4244</v>
      </c>
      <c r="F6086" s="56"/>
    </row>
    <row r="6087" spans="1:6" ht="15">
      <c r="A6087" s="51">
        <v>294351</v>
      </c>
      <c r="B6087" t="s">
        <v>1629</v>
      </c>
      <c r="C6087" s="39" t="s">
        <v>2295</v>
      </c>
      <c r="D6087" t="s">
        <v>4243</v>
      </c>
      <c r="F6087" s="56"/>
    </row>
    <row r="6088" spans="1:6" ht="15">
      <c r="A6088" s="51">
        <v>294352</v>
      </c>
      <c r="B6088" t="s">
        <v>334</v>
      </c>
      <c r="C6088" s="39" t="s">
        <v>3655</v>
      </c>
      <c r="D6088" t="s">
        <v>4247</v>
      </c>
      <c r="F6088" s="56"/>
    </row>
    <row r="6089" spans="1:6" ht="15">
      <c r="A6089" s="51">
        <v>294353</v>
      </c>
      <c r="B6089" t="s">
        <v>1237</v>
      </c>
      <c r="C6089" s="39" t="s">
        <v>3655</v>
      </c>
      <c r="D6089" t="s">
        <v>4243</v>
      </c>
      <c r="F6089" s="56"/>
    </row>
    <row r="6090" spans="1:6" ht="15">
      <c r="A6090" s="51">
        <v>294354</v>
      </c>
      <c r="B6090" t="s">
        <v>1238</v>
      </c>
      <c r="C6090" s="39" t="s">
        <v>3655</v>
      </c>
      <c r="D6090">
        <v>7</v>
      </c>
      <c r="F6090" s="56"/>
    </row>
    <row r="6091" spans="1:6" ht="15">
      <c r="A6091" s="51">
        <v>294355</v>
      </c>
      <c r="B6091" t="s">
        <v>337</v>
      </c>
      <c r="C6091" s="39" t="s">
        <v>331</v>
      </c>
      <c r="D6091" t="s">
        <v>4244</v>
      </c>
      <c r="F6091" s="56"/>
    </row>
    <row r="6092" spans="1:6" ht="15">
      <c r="A6092" s="51">
        <v>294358</v>
      </c>
      <c r="B6092" t="s">
        <v>2809</v>
      </c>
      <c r="C6092" s="39" t="s">
        <v>1692</v>
      </c>
      <c r="D6092" t="s">
        <v>4246</v>
      </c>
      <c r="F6092" s="56"/>
    </row>
    <row r="6093" spans="1:6" ht="15">
      <c r="A6093" s="51">
        <v>294359</v>
      </c>
      <c r="B6093" t="s">
        <v>840</v>
      </c>
      <c r="C6093" s="39" t="s">
        <v>1692</v>
      </c>
      <c r="D6093" t="s">
        <v>4244</v>
      </c>
      <c r="F6093" s="56"/>
    </row>
    <row r="6094" spans="1:6" ht="15">
      <c r="A6094" s="51">
        <v>294360</v>
      </c>
      <c r="B6094" t="s">
        <v>841</v>
      </c>
      <c r="C6094" s="39" t="s">
        <v>1692</v>
      </c>
      <c r="D6094" t="s">
        <v>4243</v>
      </c>
      <c r="F6094" s="56"/>
    </row>
    <row r="6095" spans="1:6" ht="15">
      <c r="A6095" s="51">
        <v>294361</v>
      </c>
      <c r="B6095" t="s">
        <v>340</v>
      </c>
      <c r="C6095" s="39" t="s">
        <v>1711</v>
      </c>
      <c r="D6095" t="s">
        <v>4244</v>
      </c>
      <c r="F6095" s="56"/>
    </row>
    <row r="6096" spans="1:6" ht="15">
      <c r="A6096" s="51">
        <v>294362</v>
      </c>
      <c r="B6096" t="s">
        <v>1000</v>
      </c>
      <c r="C6096" s="39" t="s">
        <v>1711</v>
      </c>
      <c r="D6096">
        <v>7</v>
      </c>
      <c r="F6096" s="56"/>
    </row>
    <row r="6097" spans="1:6" ht="15">
      <c r="A6097" s="51">
        <v>294363</v>
      </c>
      <c r="B6097" t="s">
        <v>1153</v>
      </c>
      <c r="C6097" s="39" t="s">
        <v>1711</v>
      </c>
      <c r="D6097">
        <v>8</v>
      </c>
      <c r="F6097" s="56"/>
    </row>
    <row r="6098" spans="1:6" ht="15">
      <c r="A6098" s="51">
        <v>294364</v>
      </c>
      <c r="B6098" t="s">
        <v>3508</v>
      </c>
      <c r="C6098" s="39" t="s">
        <v>1799</v>
      </c>
      <c r="D6098">
        <v>7</v>
      </c>
      <c r="F6098" s="56"/>
    </row>
    <row r="6099" spans="1:6" ht="15">
      <c r="A6099" s="51">
        <v>294365</v>
      </c>
      <c r="B6099" t="s">
        <v>111</v>
      </c>
      <c r="C6099" s="39" t="s">
        <v>108</v>
      </c>
      <c r="D6099" t="s">
        <v>4245</v>
      </c>
      <c r="F6099" s="56"/>
    </row>
    <row r="6100" spans="1:6" ht="15">
      <c r="A6100" s="51">
        <v>294366</v>
      </c>
      <c r="B6100" t="s">
        <v>112</v>
      </c>
      <c r="C6100" s="39" t="s">
        <v>108</v>
      </c>
      <c r="D6100" t="s">
        <v>4244</v>
      </c>
      <c r="F6100" s="56"/>
    </row>
    <row r="6101" spans="1:6" ht="15">
      <c r="A6101" s="51">
        <v>294367</v>
      </c>
      <c r="B6101" t="s">
        <v>345</v>
      </c>
      <c r="C6101" s="39" t="s">
        <v>346</v>
      </c>
      <c r="D6101" t="s">
        <v>4246</v>
      </c>
      <c r="F6101" s="56"/>
    </row>
    <row r="6102" spans="1:6" ht="15">
      <c r="A6102" s="51">
        <v>294368</v>
      </c>
      <c r="B6102" t="s">
        <v>347</v>
      </c>
      <c r="C6102" s="39" t="s">
        <v>346</v>
      </c>
      <c r="D6102" t="s">
        <v>4246</v>
      </c>
      <c r="F6102" s="56"/>
    </row>
    <row r="6103" spans="1:6" ht="15">
      <c r="A6103" s="51">
        <v>294356</v>
      </c>
      <c r="B6103" t="s">
        <v>3656</v>
      </c>
      <c r="C6103" s="39" t="s">
        <v>1347</v>
      </c>
      <c r="D6103">
        <v>8</v>
      </c>
      <c r="F6103" s="56"/>
    </row>
    <row r="6104" spans="1:6" ht="15">
      <c r="A6104" s="51">
        <v>294357</v>
      </c>
      <c r="B6104" t="s">
        <v>3657</v>
      </c>
      <c r="C6104" s="39" t="s">
        <v>1347</v>
      </c>
      <c r="D6104">
        <v>8</v>
      </c>
      <c r="F6104" s="56"/>
    </row>
    <row r="6105" spans="1:6" ht="15">
      <c r="A6105" s="51">
        <v>294369</v>
      </c>
      <c r="B6105" t="s">
        <v>354</v>
      </c>
      <c r="C6105" s="39" t="s">
        <v>355</v>
      </c>
      <c r="D6105" t="s">
        <v>4247</v>
      </c>
      <c r="F6105" s="56"/>
    </row>
    <row r="6106" spans="1:6" ht="15">
      <c r="A6106" s="51">
        <v>294370</v>
      </c>
      <c r="B6106" t="s">
        <v>1166</v>
      </c>
      <c r="C6106" s="39" t="s">
        <v>1390</v>
      </c>
      <c r="D6106" t="s">
        <v>4244</v>
      </c>
      <c r="F6106" s="56"/>
    </row>
    <row r="6107" spans="1:6" ht="15">
      <c r="A6107" s="51">
        <v>294371</v>
      </c>
      <c r="B6107" t="s">
        <v>126</v>
      </c>
      <c r="C6107" s="39" t="s">
        <v>1390</v>
      </c>
      <c r="D6107" t="s">
        <v>4244</v>
      </c>
      <c r="F6107" s="56"/>
    </row>
    <row r="6108" spans="1:6" ht="15">
      <c r="A6108" s="51">
        <v>294372</v>
      </c>
      <c r="B6108" t="s">
        <v>360</v>
      </c>
      <c r="C6108" s="39" t="s">
        <v>359</v>
      </c>
      <c r="D6108" t="s">
        <v>4246</v>
      </c>
      <c r="F6108" s="56"/>
    </row>
    <row r="6109" spans="1:6" ht="15">
      <c r="A6109" s="51">
        <v>294374</v>
      </c>
      <c r="B6109" t="s">
        <v>131</v>
      </c>
      <c r="C6109" s="39" t="s">
        <v>132</v>
      </c>
      <c r="D6109" t="s">
        <v>471</v>
      </c>
      <c r="F6109" s="56"/>
    </row>
    <row r="6110" spans="1:6" ht="15">
      <c r="A6110" s="51">
        <v>294375</v>
      </c>
      <c r="B6110" t="s">
        <v>1731</v>
      </c>
      <c r="C6110" s="39" t="s">
        <v>132</v>
      </c>
      <c r="D6110">
        <v>8</v>
      </c>
      <c r="F6110" s="56"/>
    </row>
    <row r="6111" spans="1:6" ht="15">
      <c r="A6111" s="51">
        <v>294376</v>
      </c>
      <c r="B6111" t="s">
        <v>3658</v>
      </c>
      <c r="C6111" s="39" t="s">
        <v>3103</v>
      </c>
      <c r="D6111">
        <v>9</v>
      </c>
      <c r="F6111" s="56"/>
    </row>
    <row r="6112" spans="1:6" ht="15">
      <c r="A6112" s="51">
        <v>294373</v>
      </c>
      <c r="B6112" t="s">
        <v>3659</v>
      </c>
      <c r="C6112" s="39" t="s">
        <v>3660</v>
      </c>
      <c r="D6112">
        <v>9</v>
      </c>
      <c r="F6112" s="56"/>
    </row>
    <row r="6113" spans="1:6" ht="15">
      <c r="A6113" s="51">
        <v>294377</v>
      </c>
      <c r="B6113" t="s">
        <v>1029</v>
      </c>
      <c r="C6113" s="39" t="s">
        <v>2298</v>
      </c>
      <c r="D6113" t="s">
        <v>4246</v>
      </c>
      <c r="F6113" s="56"/>
    </row>
    <row r="6114" spans="1:6" ht="15">
      <c r="A6114" s="51">
        <v>294378</v>
      </c>
      <c r="B6114" t="s">
        <v>1537</v>
      </c>
      <c r="C6114" s="39" t="s">
        <v>2298</v>
      </c>
      <c r="D6114" t="s">
        <v>4244</v>
      </c>
      <c r="F6114" s="56"/>
    </row>
    <row r="6115" spans="1:6" ht="15">
      <c r="A6115" s="51">
        <v>294379</v>
      </c>
      <c r="B6115" t="s">
        <v>2840</v>
      </c>
      <c r="C6115" s="39" t="s">
        <v>2362</v>
      </c>
      <c r="D6115" t="s">
        <v>4244</v>
      </c>
      <c r="F6115" s="56"/>
    </row>
    <row r="6116" spans="1:6" ht="15">
      <c r="A6116" s="51">
        <v>294380</v>
      </c>
      <c r="B6116" t="s">
        <v>2000</v>
      </c>
      <c r="C6116" s="39" t="s">
        <v>2362</v>
      </c>
      <c r="D6116" t="s">
        <v>4243</v>
      </c>
      <c r="F6116" s="56"/>
    </row>
    <row r="6117" spans="1:6" ht="15">
      <c r="A6117" s="51">
        <v>294381</v>
      </c>
      <c r="B6117" t="s">
        <v>1649</v>
      </c>
      <c r="C6117" s="39" t="s">
        <v>2362</v>
      </c>
      <c r="D6117">
        <v>7</v>
      </c>
      <c r="F6117" s="56"/>
    </row>
    <row r="6118" spans="1:6" ht="15">
      <c r="A6118" s="51">
        <v>294382</v>
      </c>
      <c r="B6118" t="s">
        <v>2001</v>
      </c>
      <c r="C6118" s="39" t="s">
        <v>2362</v>
      </c>
      <c r="D6118">
        <v>8</v>
      </c>
      <c r="F6118" s="56"/>
    </row>
    <row r="6119" spans="1:6" ht="15">
      <c r="A6119" s="51">
        <v>294383</v>
      </c>
      <c r="B6119" t="s">
        <v>376</v>
      </c>
      <c r="C6119" s="39" t="s">
        <v>1538</v>
      </c>
      <c r="D6119" t="s">
        <v>4246</v>
      </c>
      <c r="F6119" s="56"/>
    </row>
    <row r="6120" spans="1:6" ht="15">
      <c r="A6120" s="51">
        <v>294384</v>
      </c>
      <c r="B6120" t="s">
        <v>377</v>
      </c>
      <c r="C6120" s="39" t="s">
        <v>1538</v>
      </c>
      <c r="D6120" t="s">
        <v>4247</v>
      </c>
      <c r="F6120" s="56"/>
    </row>
    <row r="6121" spans="1:6" ht="15">
      <c r="A6121" s="51">
        <v>294385</v>
      </c>
      <c r="B6121" t="s">
        <v>378</v>
      </c>
      <c r="C6121" s="39" t="s">
        <v>1538</v>
      </c>
      <c r="D6121" t="s">
        <v>4243</v>
      </c>
      <c r="F6121" s="56"/>
    </row>
    <row r="6122" spans="1:6" ht="15">
      <c r="A6122" s="51">
        <v>294386</v>
      </c>
      <c r="B6122" t="s">
        <v>379</v>
      </c>
      <c r="C6122" s="39" t="s">
        <v>380</v>
      </c>
      <c r="D6122" t="s">
        <v>4246</v>
      </c>
      <c r="F6122" s="56"/>
    </row>
    <row r="6123" spans="1:6" ht="15">
      <c r="A6123" s="51">
        <v>294387</v>
      </c>
      <c r="B6123" t="s">
        <v>381</v>
      </c>
      <c r="C6123" s="39" t="s">
        <v>380</v>
      </c>
      <c r="D6123" t="s">
        <v>4243</v>
      </c>
      <c r="F6123" s="56"/>
    </row>
    <row r="6124" spans="1:6" ht="15">
      <c r="A6124" s="51">
        <v>294388</v>
      </c>
      <c r="B6124" t="s">
        <v>382</v>
      </c>
      <c r="C6124" s="39" t="s">
        <v>380</v>
      </c>
      <c r="D6124">
        <v>7</v>
      </c>
      <c r="F6124" s="56"/>
    </row>
    <row r="6125" spans="1:6" ht="15">
      <c r="A6125" s="51">
        <v>294389</v>
      </c>
      <c r="B6125" t="s">
        <v>383</v>
      </c>
      <c r="C6125" s="39" t="s">
        <v>380</v>
      </c>
      <c r="D6125">
        <v>8</v>
      </c>
      <c r="F6125" s="56"/>
    </row>
    <row r="6126" spans="1:6" ht="15">
      <c r="A6126" s="51">
        <v>294390</v>
      </c>
      <c r="B6126" t="s">
        <v>384</v>
      </c>
      <c r="C6126" s="39" t="s">
        <v>385</v>
      </c>
      <c r="D6126">
        <v>7</v>
      </c>
      <c r="F6126" s="56"/>
    </row>
    <row r="6127" spans="1:6" ht="15">
      <c r="A6127" s="51">
        <v>294392</v>
      </c>
      <c r="B6127" t="s">
        <v>3043</v>
      </c>
      <c r="C6127" s="39" t="s">
        <v>3661</v>
      </c>
      <c r="D6127">
        <v>7</v>
      </c>
      <c r="F6127" s="56"/>
    </row>
    <row r="6128" spans="1:6" ht="15">
      <c r="A6128" s="51">
        <v>294391</v>
      </c>
      <c r="B6128" t="s">
        <v>3662</v>
      </c>
      <c r="C6128" s="39" t="s">
        <v>3663</v>
      </c>
      <c r="D6128">
        <v>8</v>
      </c>
      <c r="F6128" s="56"/>
    </row>
    <row r="6129" spans="1:6" ht="15">
      <c r="A6129" s="51">
        <v>294393</v>
      </c>
      <c r="B6129" t="s">
        <v>393</v>
      </c>
      <c r="C6129" s="39" t="s">
        <v>394</v>
      </c>
      <c r="D6129">
        <v>7</v>
      </c>
      <c r="F6129" s="56"/>
    </row>
    <row r="6130" spans="1:6" ht="15">
      <c r="A6130" s="51">
        <v>294394</v>
      </c>
      <c r="B6130" t="s">
        <v>196</v>
      </c>
      <c r="C6130" s="39" t="s">
        <v>3664</v>
      </c>
      <c r="D6130">
        <v>7</v>
      </c>
      <c r="F6130" s="56"/>
    </row>
    <row r="6131" spans="1:6" ht="15">
      <c r="A6131" s="51">
        <v>294395</v>
      </c>
      <c r="B6131" t="s">
        <v>868</v>
      </c>
      <c r="C6131" s="39" t="s">
        <v>3664</v>
      </c>
      <c r="D6131">
        <v>7</v>
      </c>
      <c r="F6131" s="56"/>
    </row>
    <row r="6132" spans="1:6" ht="15">
      <c r="A6132" s="51">
        <v>294396</v>
      </c>
      <c r="B6132" t="s">
        <v>870</v>
      </c>
      <c r="C6132" s="39" t="s">
        <v>3664</v>
      </c>
      <c r="D6132">
        <v>8</v>
      </c>
      <c r="F6132" s="56"/>
    </row>
    <row r="6133" spans="1:6" ht="15">
      <c r="A6133" s="51">
        <v>294397</v>
      </c>
      <c r="B6133" t="s">
        <v>872</v>
      </c>
      <c r="C6133" s="39" t="s">
        <v>1442</v>
      </c>
      <c r="D6133" t="s">
        <v>4244</v>
      </c>
      <c r="F6133" s="56"/>
    </row>
    <row r="6134" spans="1:6" ht="15">
      <c r="A6134" s="51">
        <v>294398</v>
      </c>
      <c r="B6134" t="s">
        <v>1448</v>
      </c>
      <c r="C6134" s="39" t="s">
        <v>2311</v>
      </c>
      <c r="D6134" t="s">
        <v>4244</v>
      </c>
      <c r="F6134" s="56"/>
    </row>
    <row r="6135" spans="1:6" ht="15">
      <c r="A6135" s="51">
        <v>294399</v>
      </c>
      <c r="B6135" t="s">
        <v>1450</v>
      </c>
      <c r="C6135" s="39" t="s">
        <v>2311</v>
      </c>
      <c r="D6135" t="s">
        <v>4243</v>
      </c>
      <c r="F6135" s="56"/>
    </row>
    <row r="6136" spans="1:6" ht="15">
      <c r="A6136" s="51">
        <v>294400</v>
      </c>
      <c r="B6136" t="s">
        <v>3665</v>
      </c>
      <c r="C6136" s="39" t="s">
        <v>3666</v>
      </c>
      <c r="D6136" t="s">
        <v>4243</v>
      </c>
      <c r="F6136" s="56"/>
    </row>
    <row r="6137" spans="1:6" ht="15">
      <c r="A6137" s="51">
        <v>294401</v>
      </c>
      <c r="B6137" t="s">
        <v>406</v>
      </c>
      <c r="C6137" s="39" t="s">
        <v>1764</v>
      </c>
      <c r="D6137">
        <v>8</v>
      </c>
      <c r="F6137" s="56"/>
    </row>
    <row r="6138" spans="1:6" ht="15">
      <c r="A6138" s="51">
        <v>294402</v>
      </c>
      <c r="B6138" t="s">
        <v>2634</v>
      </c>
      <c r="C6138" s="39" t="s">
        <v>1764</v>
      </c>
      <c r="D6138">
        <v>8</v>
      </c>
      <c r="F6138" s="56"/>
    </row>
    <row r="6139" spans="1:6" ht="15">
      <c r="A6139" s="51">
        <v>294411</v>
      </c>
      <c r="B6139" t="s">
        <v>1571</v>
      </c>
      <c r="C6139" s="39" t="s">
        <v>696</v>
      </c>
      <c r="D6139" t="s">
        <v>4243</v>
      </c>
      <c r="F6139" s="56"/>
    </row>
    <row r="6140" spans="1:6" ht="15">
      <c r="A6140" s="51">
        <v>294412</v>
      </c>
      <c r="B6140" t="s">
        <v>3570</v>
      </c>
      <c r="C6140" s="39" t="s">
        <v>3667</v>
      </c>
      <c r="D6140" t="s">
        <v>4243</v>
      </c>
      <c r="F6140" s="56"/>
    </row>
    <row r="6141" spans="1:6" ht="15">
      <c r="A6141" s="51">
        <v>294403</v>
      </c>
      <c r="B6141" t="s">
        <v>1834</v>
      </c>
      <c r="C6141" s="39" t="s">
        <v>1835</v>
      </c>
      <c r="D6141" t="s">
        <v>4243</v>
      </c>
      <c r="F6141" s="56"/>
    </row>
    <row r="6142" spans="1:6" ht="15">
      <c r="A6142" s="51">
        <v>294404</v>
      </c>
      <c r="B6142" t="s">
        <v>409</v>
      </c>
      <c r="C6142" s="39" t="s">
        <v>410</v>
      </c>
      <c r="D6142" t="s">
        <v>4246</v>
      </c>
      <c r="F6142" s="56"/>
    </row>
    <row r="6143" spans="1:6" ht="15">
      <c r="A6143" s="51">
        <v>294405</v>
      </c>
      <c r="B6143" t="s">
        <v>411</v>
      </c>
      <c r="C6143" s="39" t="s">
        <v>410</v>
      </c>
      <c r="D6143" t="s">
        <v>4243</v>
      </c>
      <c r="F6143" s="56"/>
    </row>
    <row r="6144" spans="1:6" ht="15">
      <c r="A6144" s="51">
        <v>294406</v>
      </c>
      <c r="B6144" t="s">
        <v>2225</v>
      </c>
      <c r="C6144" s="39" t="s">
        <v>3471</v>
      </c>
      <c r="D6144" t="s">
        <v>4244</v>
      </c>
      <c r="F6144" s="56"/>
    </row>
    <row r="6145" spans="1:6" ht="15">
      <c r="A6145" s="51">
        <v>294407</v>
      </c>
      <c r="B6145" t="s">
        <v>1254</v>
      </c>
      <c r="C6145" s="39" t="s">
        <v>3471</v>
      </c>
      <c r="D6145" t="s">
        <v>4244</v>
      </c>
      <c r="F6145" s="56"/>
    </row>
    <row r="6146" spans="1:6" ht="15">
      <c r="A6146" s="51">
        <v>294408</v>
      </c>
      <c r="B6146" t="s">
        <v>1255</v>
      </c>
      <c r="C6146" s="39" t="s">
        <v>3471</v>
      </c>
      <c r="D6146">
        <v>7</v>
      </c>
      <c r="F6146" s="56"/>
    </row>
    <row r="6147" spans="1:6" ht="15">
      <c r="A6147" s="51">
        <v>294409</v>
      </c>
      <c r="B6147" t="s">
        <v>3668</v>
      </c>
      <c r="C6147" s="39" t="s">
        <v>3471</v>
      </c>
      <c r="D6147">
        <v>8</v>
      </c>
      <c r="F6147" s="56"/>
    </row>
    <row r="6148" spans="1:6" ht="15">
      <c r="A6148" s="51">
        <v>294410</v>
      </c>
      <c r="B6148" t="s">
        <v>3669</v>
      </c>
      <c r="C6148" s="39" t="s">
        <v>3670</v>
      </c>
      <c r="D6148">
        <v>8</v>
      </c>
      <c r="F6148" s="56"/>
    </row>
    <row r="6149" spans="1:6" ht="15">
      <c r="A6149" s="51">
        <v>294413</v>
      </c>
      <c r="B6149" t="s">
        <v>1475</v>
      </c>
      <c r="C6149" s="39" t="s">
        <v>2317</v>
      </c>
      <c r="D6149" t="s">
        <v>4246</v>
      </c>
      <c r="F6149" s="56"/>
    </row>
    <row r="6150" spans="1:6" ht="15">
      <c r="A6150" s="51">
        <v>294414</v>
      </c>
      <c r="B6150" t="s">
        <v>1476</v>
      </c>
      <c r="C6150" s="39" t="s">
        <v>2317</v>
      </c>
      <c r="D6150" t="s">
        <v>4244</v>
      </c>
      <c r="F6150" s="56"/>
    </row>
    <row r="6151" spans="1:6" ht="15">
      <c r="A6151" s="51">
        <v>294415</v>
      </c>
      <c r="B6151" t="s">
        <v>229</v>
      </c>
      <c r="C6151" s="39" t="s">
        <v>228</v>
      </c>
      <c r="D6151">
        <v>9</v>
      </c>
      <c r="F6151" s="56"/>
    </row>
    <row r="6152" spans="1:6" ht="15">
      <c r="A6152" s="51">
        <v>294416</v>
      </c>
      <c r="B6152" t="s">
        <v>1106</v>
      </c>
      <c r="C6152" s="39" t="s">
        <v>228</v>
      </c>
      <c r="D6152">
        <v>9</v>
      </c>
      <c r="F6152" s="56"/>
    </row>
    <row r="6153" spans="1:6" ht="15">
      <c r="A6153" s="51">
        <v>294417</v>
      </c>
      <c r="B6153" t="s">
        <v>3671</v>
      </c>
      <c r="C6153" s="39" t="s">
        <v>1576</v>
      </c>
      <c r="D6153" t="s">
        <v>4246</v>
      </c>
      <c r="F6153" s="56"/>
    </row>
    <row r="6154" spans="1:6" ht="15">
      <c r="A6154" s="51">
        <v>294418</v>
      </c>
      <c r="B6154" t="s">
        <v>1767</v>
      </c>
      <c r="C6154" s="39" t="s">
        <v>1576</v>
      </c>
      <c r="D6154" t="s">
        <v>4246</v>
      </c>
      <c r="F6154" s="56"/>
    </row>
    <row r="6155" spans="1:6" ht="15">
      <c r="A6155" s="51">
        <v>294419</v>
      </c>
      <c r="B6155" t="s">
        <v>230</v>
      </c>
      <c r="C6155" s="39" t="s">
        <v>231</v>
      </c>
      <c r="D6155" t="s">
        <v>4244</v>
      </c>
      <c r="F6155" s="56"/>
    </row>
    <row r="6156" spans="1:6" ht="15">
      <c r="A6156" s="51">
        <v>294420</v>
      </c>
      <c r="B6156" t="s">
        <v>234</v>
      </c>
      <c r="C6156" s="39" t="s">
        <v>235</v>
      </c>
      <c r="D6156" t="s">
        <v>4244</v>
      </c>
      <c r="F6156" s="56"/>
    </row>
    <row r="6157" spans="1:6" ht="15">
      <c r="A6157" s="51">
        <v>294421</v>
      </c>
      <c r="B6157" t="s">
        <v>236</v>
      </c>
      <c r="C6157" s="39" t="s">
        <v>235</v>
      </c>
      <c r="D6157" t="s">
        <v>4244</v>
      </c>
      <c r="F6157" s="56"/>
    </row>
    <row r="6158" spans="1:6" ht="15">
      <c r="A6158" s="51">
        <v>294424</v>
      </c>
      <c r="B6158" t="s">
        <v>240</v>
      </c>
      <c r="C6158" s="39" t="s">
        <v>2251</v>
      </c>
      <c r="D6158">
        <v>8</v>
      </c>
      <c r="F6158" s="56"/>
    </row>
    <row r="6159" spans="1:6" ht="15">
      <c r="A6159" s="51">
        <v>294422</v>
      </c>
      <c r="B6159" t="s">
        <v>3672</v>
      </c>
      <c r="C6159" s="39" t="s">
        <v>1488</v>
      </c>
      <c r="D6159" t="s">
        <v>4246</v>
      </c>
      <c r="F6159" s="56"/>
    </row>
    <row r="6160" spans="1:6" ht="15">
      <c r="A6160" s="51">
        <v>294425</v>
      </c>
      <c r="B6160" t="s">
        <v>2073</v>
      </c>
      <c r="C6160" s="39" t="s">
        <v>243</v>
      </c>
      <c r="D6160" t="s">
        <v>4245</v>
      </c>
      <c r="F6160" s="56"/>
    </row>
    <row r="6161" spans="1:6" ht="15">
      <c r="A6161" s="51">
        <v>294426</v>
      </c>
      <c r="B6161" t="s">
        <v>1113</v>
      </c>
      <c r="C6161" s="39" t="s">
        <v>243</v>
      </c>
      <c r="D6161" t="s">
        <v>4245</v>
      </c>
      <c r="F6161" s="56"/>
    </row>
    <row r="6162" spans="1:6" ht="15">
      <c r="A6162" s="51">
        <v>294427</v>
      </c>
      <c r="B6162" t="s">
        <v>425</v>
      </c>
      <c r="C6162" s="39" t="s">
        <v>426</v>
      </c>
      <c r="D6162" t="s">
        <v>4244</v>
      </c>
      <c r="F6162" s="56"/>
    </row>
    <row r="6163" spans="1:6" ht="15">
      <c r="A6163" s="51">
        <v>294423</v>
      </c>
      <c r="B6163" t="s">
        <v>3673</v>
      </c>
      <c r="C6163" s="39" t="s">
        <v>1495</v>
      </c>
      <c r="D6163">
        <v>8</v>
      </c>
      <c r="F6163" s="56"/>
    </row>
    <row r="6164" spans="1:6" ht="15">
      <c r="A6164" s="51">
        <v>294428</v>
      </c>
      <c r="B6164" t="s">
        <v>1120</v>
      </c>
      <c r="C6164" s="39" t="s">
        <v>1589</v>
      </c>
      <c r="D6164">
        <v>7</v>
      </c>
      <c r="F6164" s="56"/>
    </row>
    <row r="6165" spans="1:6" ht="15">
      <c r="A6165" s="51">
        <v>294429</v>
      </c>
      <c r="B6165" t="s">
        <v>2077</v>
      </c>
      <c r="C6165" s="39" t="s">
        <v>3580</v>
      </c>
      <c r="D6165" t="s">
        <v>4246</v>
      </c>
      <c r="F6165" s="56"/>
    </row>
    <row r="6166" spans="1:6" ht="15">
      <c r="A6166" s="51">
        <v>294430</v>
      </c>
      <c r="B6166" t="s">
        <v>1582</v>
      </c>
      <c r="C6166" s="39" t="s">
        <v>3580</v>
      </c>
      <c r="D6166" t="s">
        <v>4246</v>
      </c>
      <c r="F6166" s="56"/>
    </row>
    <row r="6167" spans="1:6" ht="15">
      <c r="A6167" s="51">
        <v>294434</v>
      </c>
      <c r="B6167" t="s">
        <v>432</v>
      </c>
      <c r="C6167" s="39" t="s">
        <v>433</v>
      </c>
      <c r="D6167" t="s">
        <v>4245</v>
      </c>
      <c r="F6167" s="56"/>
    </row>
    <row r="6168" spans="1:6" ht="15">
      <c r="A6168" s="51">
        <v>294435</v>
      </c>
      <c r="B6168" t="s">
        <v>882</v>
      </c>
      <c r="C6168" s="39" t="s">
        <v>437</v>
      </c>
      <c r="D6168" t="s">
        <v>4248</v>
      </c>
      <c r="F6168" s="56"/>
    </row>
    <row r="6169" spans="1:6" ht="15">
      <c r="A6169" s="51">
        <v>294912</v>
      </c>
      <c r="B6169" t="s">
        <v>1966</v>
      </c>
      <c r="C6169" s="39" t="s">
        <v>3674</v>
      </c>
      <c r="D6169">
        <v>8</v>
      </c>
      <c r="F6169" s="56"/>
    </row>
    <row r="6170" spans="1:6" ht="15">
      <c r="A6170" s="51">
        <v>294431</v>
      </c>
      <c r="B6170" t="s">
        <v>3675</v>
      </c>
      <c r="C6170" s="39" t="s">
        <v>1308</v>
      </c>
      <c r="D6170">
        <v>8</v>
      </c>
      <c r="F6170" s="56"/>
    </row>
    <row r="6171" spans="1:6" ht="15">
      <c r="A6171" s="51">
        <v>294432</v>
      </c>
      <c r="B6171" t="s">
        <v>3676</v>
      </c>
      <c r="C6171" s="39" t="s">
        <v>1308</v>
      </c>
      <c r="D6171">
        <v>9</v>
      </c>
      <c r="F6171" s="56"/>
    </row>
    <row r="6172" spans="1:6" ht="15">
      <c r="A6172" s="51">
        <v>294433</v>
      </c>
      <c r="B6172" t="s">
        <v>3677</v>
      </c>
      <c r="C6172" s="39" t="s">
        <v>1308</v>
      </c>
      <c r="D6172">
        <v>9</v>
      </c>
      <c r="F6172" s="56"/>
    </row>
    <row r="6173" spans="1:6" ht="15">
      <c r="A6173" s="51">
        <v>294436</v>
      </c>
      <c r="B6173" t="s">
        <v>257</v>
      </c>
      <c r="C6173" s="39" t="s">
        <v>440</v>
      </c>
      <c r="D6173">
        <v>9</v>
      </c>
      <c r="F6173" s="56"/>
    </row>
    <row r="6174" spans="1:6" ht="15">
      <c r="A6174" s="51">
        <v>294437</v>
      </c>
      <c r="B6174" t="s">
        <v>259</v>
      </c>
      <c r="C6174" s="39" t="s">
        <v>258</v>
      </c>
      <c r="D6174">
        <v>9</v>
      </c>
      <c r="F6174" s="56"/>
    </row>
    <row r="6175" spans="1:6" ht="15">
      <c r="A6175" s="51">
        <v>294438</v>
      </c>
      <c r="B6175" t="s">
        <v>262</v>
      </c>
      <c r="C6175" s="39" t="s">
        <v>261</v>
      </c>
      <c r="D6175" t="s">
        <v>4245</v>
      </c>
      <c r="F6175" s="56"/>
    </row>
    <row r="6176" spans="1:6" ht="15">
      <c r="A6176" s="51">
        <v>294439</v>
      </c>
      <c r="B6176" t="s">
        <v>447</v>
      </c>
      <c r="C6176" s="39" t="s">
        <v>261</v>
      </c>
      <c r="D6176" t="s">
        <v>4244</v>
      </c>
      <c r="F6176" s="56"/>
    </row>
    <row r="6177" spans="1:6" ht="15">
      <c r="A6177" s="51">
        <v>294442</v>
      </c>
      <c r="B6177" t="s">
        <v>455</v>
      </c>
      <c r="C6177" s="39" t="s">
        <v>2270</v>
      </c>
      <c r="D6177" t="s">
        <v>4243</v>
      </c>
      <c r="F6177" s="56"/>
    </row>
    <row r="6178" spans="1:6" ht="15">
      <c r="A6178" s="51">
        <v>294443</v>
      </c>
      <c r="B6178" t="s">
        <v>2093</v>
      </c>
      <c r="C6178" s="39" t="s">
        <v>2094</v>
      </c>
      <c r="D6178" t="s">
        <v>4244</v>
      </c>
      <c r="F6178" s="56"/>
    </row>
    <row r="6179" spans="1:6" ht="15">
      <c r="A6179" s="51">
        <v>294444</v>
      </c>
      <c r="B6179" t="s">
        <v>2095</v>
      </c>
      <c r="C6179" s="39" t="s">
        <v>2094</v>
      </c>
      <c r="D6179" t="s">
        <v>4244</v>
      </c>
      <c r="F6179" s="56"/>
    </row>
    <row r="6180" spans="1:6" ht="15">
      <c r="A6180" s="51">
        <v>294445</v>
      </c>
      <c r="B6180" t="s">
        <v>460</v>
      </c>
      <c r="C6180" s="39" t="s">
        <v>2094</v>
      </c>
      <c r="D6180">
        <v>7</v>
      </c>
      <c r="F6180" s="56"/>
    </row>
    <row r="6181" spans="1:6" ht="15">
      <c r="A6181" s="51">
        <v>294446</v>
      </c>
      <c r="B6181" t="s">
        <v>2096</v>
      </c>
      <c r="C6181" s="39" t="s">
        <v>2094</v>
      </c>
      <c r="D6181">
        <v>7</v>
      </c>
      <c r="F6181" s="56"/>
    </row>
    <row r="6182" spans="1:6" ht="15">
      <c r="A6182" s="51">
        <v>294440</v>
      </c>
      <c r="B6182" t="s">
        <v>3678</v>
      </c>
      <c r="C6182" s="39" t="s">
        <v>1521</v>
      </c>
      <c r="D6182" t="s">
        <v>4243</v>
      </c>
      <c r="F6182" s="56"/>
    </row>
    <row r="6183" spans="1:6" ht="15">
      <c r="A6183" s="51">
        <v>294447</v>
      </c>
      <c r="B6183" t="s">
        <v>463</v>
      </c>
      <c r="C6183" s="39" t="s">
        <v>2319</v>
      </c>
      <c r="D6183" t="s">
        <v>4246</v>
      </c>
      <c r="F6183" s="56"/>
    </row>
    <row r="6184" spans="1:6" ht="15">
      <c r="A6184" s="51">
        <v>309533</v>
      </c>
      <c r="B6184" t="s">
        <v>321</v>
      </c>
      <c r="C6184" s="39" t="s">
        <v>320</v>
      </c>
      <c r="D6184" t="s">
        <v>4243</v>
      </c>
      <c r="F6184" s="56"/>
    </row>
    <row r="6185" spans="1:6" ht="15">
      <c r="A6185" s="51">
        <v>309534</v>
      </c>
      <c r="B6185" t="s">
        <v>1786</v>
      </c>
      <c r="C6185" s="39" t="s">
        <v>320</v>
      </c>
      <c r="D6185" t="s">
        <v>4243</v>
      </c>
      <c r="F6185" s="56"/>
    </row>
    <row r="6186" spans="1:6" ht="15">
      <c r="A6186" s="51">
        <v>309535</v>
      </c>
      <c r="B6186" t="s">
        <v>1787</v>
      </c>
      <c r="C6186" s="39" t="s">
        <v>320</v>
      </c>
      <c r="D6186" t="s">
        <v>4243</v>
      </c>
      <c r="F6186" s="56"/>
    </row>
    <row r="6187" spans="1:6" ht="15">
      <c r="A6187" s="51">
        <v>309536</v>
      </c>
      <c r="B6187" t="s">
        <v>1788</v>
      </c>
      <c r="C6187" s="39" t="s">
        <v>1352</v>
      </c>
      <c r="D6187" t="s">
        <v>469</v>
      </c>
      <c r="F6187" s="56"/>
    </row>
    <row r="6188" spans="1:6" ht="15">
      <c r="A6188" s="51">
        <v>309537</v>
      </c>
      <c r="B6188" t="s">
        <v>1789</v>
      </c>
      <c r="C6188" s="39" t="s">
        <v>1352</v>
      </c>
      <c r="D6188" t="s">
        <v>469</v>
      </c>
      <c r="F6188" s="56"/>
    </row>
    <row r="6189" spans="1:6" ht="15">
      <c r="A6189" s="51">
        <v>309538</v>
      </c>
      <c r="B6189" t="s">
        <v>975</v>
      </c>
      <c r="C6189" s="39" t="s">
        <v>324</v>
      </c>
      <c r="D6189" t="s">
        <v>4243</v>
      </c>
      <c r="F6189" s="56"/>
    </row>
    <row r="6190" spans="1:6" ht="15">
      <c r="A6190" s="51">
        <v>309542</v>
      </c>
      <c r="B6190" t="s">
        <v>3095</v>
      </c>
      <c r="C6190" s="39" t="s">
        <v>326</v>
      </c>
      <c r="D6190">
        <v>9</v>
      </c>
      <c r="F6190" s="56"/>
    </row>
    <row r="6191" spans="1:6" ht="15">
      <c r="A6191" s="51">
        <v>309543</v>
      </c>
      <c r="B6191" t="s">
        <v>1967</v>
      </c>
      <c r="C6191" s="39" t="s">
        <v>2295</v>
      </c>
      <c r="D6191" t="s">
        <v>4246</v>
      </c>
      <c r="F6191" s="56"/>
    </row>
    <row r="6192" spans="1:6" ht="15">
      <c r="A6192" s="51">
        <v>309544</v>
      </c>
      <c r="B6192" t="s">
        <v>2606</v>
      </c>
      <c r="C6192" s="39" t="s">
        <v>2295</v>
      </c>
      <c r="D6192" t="s">
        <v>4244</v>
      </c>
      <c r="F6192" s="56"/>
    </row>
    <row r="6193" spans="1:6" ht="15">
      <c r="A6193" s="51">
        <v>309545</v>
      </c>
      <c r="B6193" t="s">
        <v>3096</v>
      </c>
      <c r="C6193" s="39" t="s">
        <v>2295</v>
      </c>
      <c r="D6193" t="s">
        <v>4243</v>
      </c>
      <c r="F6193" s="56"/>
    </row>
    <row r="6194" spans="1:6" ht="15">
      <c r="A6194" s="51">
        <v>309548</v>
      </c>
      <c r="B6194" t="s">
        <v>332</v>
      </c>
      <c r="C6194" s="39" t="s">
        <v>331</v>
      </c>
      <c r="D6194" t="s">
        <v>4244</v>
      </c>
      <c r="F6194" s="56"/>
    </row>
    <row r="6195" spans="1:6" ht="15">
      <c r="A6195" s="51">
        <v>309549</v>
      </c>
      <c r="B6195" t="s">
        <v>333</v>
      </c>
      <c r="C6195" s="39" t="s">
        <v>331</v>
      </c>
      <c r="D6195">
        <v>7</v>
      </c>
      <c r="F6195" s="56"/>
    </row>
    <row r="6196" spans="1:6" ht="15">
      <c r="A6196" s="51">
        <v>309550</v>
      </c>
      <c r="B6196" t="s">
        <v>1968</v>
      </c>
      <c r="C6196" s="39" t="s">
        <v>3097</v>
      </c>
      <c r="D6196" t="s">
        <v>4243</v>
      </c>
      <c r="F6196" s="56"/>
    </row>
    <row r="6197" spans="1:6" ht="15">
      <c r="A6197" s="51">
        <v>309551</v>
      </c>
      <c r="B6197" t="s">
        <v>334</v>
      </c>
      <c r="C6197" s="39" t="s">
        <v>3097</v>
      </c>
      <c r="D6197" t="s">
        <v>4243</v>
      </c>
      <c r="F6197" s="56"/>
    </row>
    <row r="6198" spans="1:6" ht="15">
      <c r="A6198" s="51">
        <v>309552</v>
      </c>
      <c r="B6198" t="s">
        <v>1237</v>
      </c>
      <c r="C6198" s="39" t="s">
        <v>3097</v>
      </c>
      <c r="D6198" t="s">
        <v>4243</v>
      </c>
      <c r="F6198" s="56"/>
    </row>
    <row r="6199" spans="1:6" ht="15">
      <c r="A6199" s="51">
        <v>309553</v>
      </c>
      <c r="B6199" t="s">
        <v>3098</v>
      </c>
      <c r="C6199" s="39" t="s">
        <v>3097</v>
      </c>
      <c r="D6199">
        <v>9</v>
      </c>
      <c r="F6199" s="56"/>
    </row>
    <row r="6200" spans="1:6" ht="15">
      <c r="A6200" s="51">
        <v>309555</v>
      </c>
      <c r="B6200" t="s">
        <v>338</v>
      </c>
      <c r="C6200" s="39" t="s">
        <v>104</v>
      </c>
      <c r="D6200" t="s">
        <v>4243</v>
      </c>
      <c r="F6200" s="56"/>
    </row>
    <row r="6201" spans="1:6" ht="15">
      <c r="A6201" s="51">
        <v>309556</v>
      </c>
      <c r="B6201" t="s">
        <v>103</v>
      </c>
      <c r="C6201" s="39" t="s">
        <v>1799</v>
      </c>
      <c r="D6201">
        <v>7</v>
      </c>
      <c r="F6201" s="56"/>
    </row>
    <row r="6202" spans="1:6" ht="15">
      <c r="A6202" s="51">
        <v>309558</v>
      </c>
      <c r="B6202" t="s">
        <v>111</v>
      </c>
      <c r="C6202" s="39" t="s">
        <v>547</v>
      </c>
      <c r="D6202" t="s">
        <v>4244</v>
      </c>
      <c r="F6202" s="56"/>
    </row>
    <row r="6203" spans="1:6" ht="15">
      <c r="A6203" s="51">
        <v>309559</v>
      </c>
      <c r="B6203" t="s">
        <v>345</v>
      </c>
      <c r="C6203" s="39" t="s">
        <v>346</v>
      </c>
      <c r="D6203" t="s">
        <v>4246</v>
      </c>
      <c r="F6203" s="56"/>
    </row>
    <row r="6204" spans="1:6" ht="15">
      <c r="A6204" s="51">
        <v>309560</v>
      </c>
      <c r="B6204" t="s">
        <v>347</v>
      </c>
      <c r="C6204" s="39" t="s">
        <v>346</v>
      </c>
      <c r="D6204" t="s">
        <v>4246</v>
      </c>
      <c r="F6204" s="56"/>
    </row>
    <row r="6205" spans="1:6" ht="15">
      <c r="A6205" s="51">
        <v>309561</v>
      </c>
      <c r="B6205" t="s">
        <v>348</v>
      </c>
      <c r="C6205" s="39" t="s">
        <v>349</v>
      </c>
      <c r="D6205" t="s">
        <v>4247</v>
      </c>
      <c r="F6205" s="56"/>
    </row>
    <row r="6206" spans="1:6" ht="15">
      <c r="A6206" s="51">
        <v>1590327</v>
      </c>
      <c r="B6206" t="s">
        <v>351</v>
      </c>
      <c r="C6206" s="39" t="s">
        <v>349</v>
      </c>
      <c r="D6206" t="s">
        <v>4243</v>
      </c>
      <c r="F6206" s="56"/>
    </row>
    <row r="6207" spans="1:6" ht="15">
      <c r="A6207" s="51">
        <v>309563</v>
      </c>
      <c r="B6207" t="s">
        <v>3099</v>
      </c>
      <c r="C6207" s="39" t="s">
        <v>3100</v>
      </c>
      <c r="D6207">
        <v>9</v>
      </c>
      <c r="F6207" s="56"/>
    </row>
    <row r="6208" spans="1:6" ht="15">
      <c r="A6208" s="51">
        <v>309568</v>
      </c>
      <c r="B6208" t="s">
        <v>1533</v>
      </c>
      <c r="C6208" s="39" t="s">
        <v>362</v>
      </c>
      <c r="D6208" t="s">
        <v>4247</v>
      </c>
      <c r="F6208" s="56"/>
    </row>
    <row r="6209" spans="1:6" ht="15">
      <c r="A6209" s="51">
        <v>309571</v>
      </c>
      <c r="B6209" t="s">
        <v>131</v>
      </c>
      <c r="C6209" s="39" t="s">
        <v>132</v>
      </c>
      <c r="D6209" t="s">
        <v>471</v>
      </c>
      <c r="F6209" s="56"/>
    </row>
    <row r="6210" spans="1:6" ht="15">
      <c r="A6210" s="51">
        <v>309569</v>
      </c>
      <c r="B6210" t="s">
        <v>3101</v>
      </c>
      <c r="C6210" s="39" t="s">
        <v>134</v>
      </c>
      <c r="D6210">
        <v>8</v>
      </c>
      <c r="F6210" s="56"/>
    </row>
    <row r="6211" spans="1:6" ht="15">
      <c r="A6211" s="51">
        <v>309570</v>
      </c>
      <c r="B6211" t="s">
        <v>3102</v>
      </c>
      <c r="C6211" s="39" t="s">
        <v>3103</v>
      </c>
      <c r="D6211">
        <v>9</v>
      </c>
      <c r="F6211" s="56"/>
    </row>
    <row r="6212" spans="1:6" ht="15">
      <c r="A6212" s="51">
        <v>309573</v>
      </c>
      <c r="B6212" t="s">
        <v>1023</v>
      </c>
      <c r="C6212" s="39" t="s">
        <v>1024</v>
      </c>
      <c r="D6212" t="s">
        <v>4243</v>
      </c>
      <c r="F6212" s="56"/>
    </row>
    <row r="6213" spans="1:6" ht="15">
      <c r="A6213" s="51">
        <v>309575</v>
      </c>
      <c r="B6213" t="s">
        <v>370</v>
      </c>
      <c r="C6213" s="39" t="s">
        <v>371</v>
      </c>
      <c r="D6213">
        <v>8</v>
      </c>
      <c r="F6213" s="56"/>
    </row>
    <row r="6214" spans="1:6" ht="15">
      <c r="A6214" s="51">
        <v>309579</v>
      </c>
      <c r="B6214" t="s">
        <v>372</v>
      </c>
      <c r="C6214" s="39" t="s">
        <v>373</v>
      </c>
      <c r="D6214" t="s">
        <v>4248</v>
      </c>
      <c r="F6214" s="56"/>
    </row>
    <row r="6215" spans="1:6" ht="15">
      <c r="A6215" s="51">
        <v>309580</v>
      </c>
      <c r="B6215" t="s">
        <v>1176</v>
      </c>
      <c r="C6215" s="39" t="s">
        <v>148</v>
      </c>
      <c r="D6215" t="s">
        <v>4245</v>
      </c>
      <c r="F6215" s="56"/>
    </row>
    <row r="6216" spans="1:6" ht="15">
      <c r="A6216" s="51">
        <v>309581</v>
      </c>
      <c r="B6216" t="s">
        <v>376</v>
      </c>
      <c r="C6216" s="39" t="s">
        <v>375</v>
      </c>
      <c r="D6216" t="s">
        <v>4243</v>
      </c>
      <c r="F6216" s="56"/>
    </row>
    <row r="6217" spans="1:6" ht="15">
      <c r="A6217" s="51">
        <v>309582</v>
      </c>
      <c r="B6217" t="s">
        <v>377</v>
      </c>
      <c r="C6217" s="39" t="s">
        <v>375</v>
      </c>
      <c r="D6217" t="s">
        <v>4243</v>
      </c>
      <c r="F6217" s="56"/>
    </row>
    <row r="6218" spans="1:6" ht="15">
      <c r="A6218" s="51">
        <v>309583</v>
      </c>
      <c r="B6218" t="s">
        <v>378</v>
      </c>
      <c r="C6218" s="39" t="s">
        <v>375</v>
      </c>
      <c r="D6218">
        <v>7</v>
      </c>
      <c r="F6218" s="56"/>
    </row>
    <row r="6219" spans="1:6" ht="15">
      <c r="A6219" s="51">
        <v>309584</v>
      </c>
      <c r="B6219" t="s">
        <v>1181</v>
      </c>
      <c r="C6219" s="39" t="s">
        <v>157</v>
      </c>
      <c r="D6219" t="s">
        <v>4245</v>
      </c>
      <c r="F6219" s="56"/>
    </row>
    <row r="6220" spans="1:6" ht="15">
      <c r="A6220" s="51">
        <v>309585</v>
      </c>
      <c r="B6220" t="s">
        <v>156</v>
      </c>
      <c r="C6220" s="39" t="s">
        <v>157</v>
      </c>
      <c r="D6220" t="s">
        <v>4245</v>
      </c>
      <c r="F6220" s="56"/>
    </row>
    <row r="6221" spans="1:6" ht="15">
      <c r="A6221" s="51">
        <v>309586</v>
      </c>
      <c r="B6221" t="s">
        <v>158</v>
      </c>
      <c r="C6221" s="39" t="s">
        <v>157</v>
      </c>
      <c r="D6221" t="s">
        <v>4244</v>
      </c>
      <c r="F6221" s="56"/>
    </row>
    <row r="6222" spans="1:6" ht="15">
      <c r="A6222" s="51">
        <v>309587</v>
      </c>
      <c r="B6222" t="s">
        <v>159</v>
      </c>
      <c r="C6222" s="39" t="s">
        <v>157</v>
      </c>
      <c r="D6222" t="s">
        <v>4243</v>
      </c>
      <c r="F6222" s="56"/>
    </row>
    <row r="6223" spans="1:6" ht="15">
      <c r="A6223" s="51">
        <v>309577</v>
      </c>
      <c r="B6223" t="s">
        <v>3105</v>
      </c>
      <c r="C6223" s="39" t="s">
        <v>157</v>
      </c>
      <c r="D6223">
        <v>9</v>
      </c>
      <c r="F6223" s="56"/>
    </row>
    <row r="6224" spans="1:6" ht="15">
      <c r="A6224" s="51">
        <v>309588</v>
      </c>
      <c r="B6224" t="s">
        <v>379</v>
      </c>
      <c r="C6224" s="39" t="s">
        <v>380</v>
      </c>
      <c r="D6224" t="s">
        <v>4246</v>
      </c>
      <c r="F6224" s="56"/>
    </row>
    <row r="6225" spans="1:6" ht="15">
      <c r="A6225" s="51">
        <v>309589</v>
      </c>
      <c r="B6225" t="s">
        <v>381</v>
      </c>
      <c r="C6225" s="39" t="s">
        <v>380</v>
      </c>
      <c r="D6225" t="s">
        <v>4243</v>
      </c>
      <c r="F6225" s="56"/>
    </row>
    <row r="6226" spans="1:6" ht="15">
      <c r="A6226" s="51">
        <v>309590</v>
      </c>
      <c r="B6226" t="s">
        <v>382</v>
      </c>
      <c r="C6226" s="39" t="s">
        <v>380</v>
      </c>
      <c r="D6226">
        <v>7</v>
      </c>
      <c r="F6226" s="56"/>
    </row>
    <row r="6227" spans="1:6" ht="15">
      <c r="A6227" s="51">
        <v>309578</v>
      </c>
      <c r="B6227" t="s">
        <v>3106</v>
      </c>
      <c r="C6227" s="39" t="s">
        <v>380</v>
      </c>
      <c r="D6227">
        <v>9</v>
      </c>
      <c r="F6227" s="56"/>
    </row>
    <row r="6228" spans="1:6" ht="15">
      <c r="A6228" s="51">
        <v>309591</v>
      </c>
      <c r="B6228" t="s">
        <v>3107</v>
      </c>
      <c r="C6228" s="39" t="s">
        <v>385</v>
      </c>
      <c r="D6228">
        <v>7</v>
      </c>
      <c r="F6228" s="56"/>
    </row>
    <row r="6229" spans="1:6" ht="15">
      <c r="A6229" s="51">
        <v>309592</v>
      </c>
      <c r="B6229" t="s">
        <v>3108</v>
      </c>
      <c r="C6229" s="39" t="s">
        <v>385</v>
      </c>
      <c r="D6229">
        <v>7</v>
      </c>
      <c r="F6229" s="56"/>
    </row>
    <row r="6230" spans="1:6" ht="15">
      <c r="A6230" s="51">
        <v>309593</v>
      </c>
      <c r="B6230" t="s">
        <v>1421</v>
      </c>
      <c r="C6230" s="39" t="s">
        <v>385</v>
      </c>
      <c r="D6230">
        <v>8</v>
      </c>
      <c r="F6230" s="56"/>
    </row>
    <row r="6231" spans="1:6" ht="15">
      <c r="A6231" s="51">
        <v>309595</v>
      </c>
      <c r="B6231" t="s">
        <v>2728</v>
      </c>
      <c r="C6231" s="39" t="s">
        <v>1424</v>
      </c>
      <c r="D6231" t="s">
        <v>4243</v>
      </c>
      <c r="F6231" s="56"/>
    </row>
    <row r="6232" spans="1:6" ht="15">
      <c r="A6232" s="51">
        <v>309598</v>
      </c>
      <c r="B6232" t="s">
        <v>160</v>
      </c>
      <c r="C6232" s="39" t="s">
        <v>166</v>
      </c>
      <c r="D6232" t="s">
        <v>4245</v>
      </c>
      <c r="F6232" s="56"/>
    </row>
    <row r="6233" spans="1:6" ht="15">
      <c r="A6233" s="51">
        <v>309599</v>
      </c>
      <c r="B6233" t="s">
        <v>162</v>
      </c>
      <c r="C6233" s="39" t="s">
        <v>166</v>
      </c>
      <c r="D6233" t="s">
        <v>4244</v>
      </c>
      <c r="F6233" s="56"/>
    </row>
    <row r="6234" spans="1:6" ht="15">
      <c r="A6234" s="51">
        <v>309600</v>
      </c>
      <c r="B6234" t="s">
        <v>163</v>
      </c>
      <c r="C6234" s="39" t="s">
        <v>166</v>
      </c>
      <c r="D6234" t="s">
        <v>4243</v>
      </c>
      <c r="F6234" s="56"/>
    </row>
    <row r="6235" spans="1:6" ht="15">
      <c r="A6235" s="51">
        <v>309596</v>
      </c>
      <c r="B6235" t="s">
        <v>3111</v>
      </c>
      <c r="C6235" s="39" t="s">
        <v>2293</v>
      </c>
      <c r="D6235">
        <v>9</v>
      </c>
      <c r="F6235" s="56"/>
    </row>
    <row r="6236" spans="1:6" ht="15">
      <c r="A6236" s="51">
        <v>309601</v>
      </c>
      <c r="B6236" t="s">
        <v>389</v>
      </c>
      <c r="C6236" s="39" t="s">
        <v>390</v>
      </c>
      <c r="D6236" t="s">
        <v>4247</v>
      </c>
      <c r="F6236" s="56"/>
    </row>
    <row r="6237" spans="1:6" ht="15">
      <c r="A6237" s="51">
        <v>309602</v>
      </c>
      <c r="B6237" t="s">
        <v>179</v>
      </c>
      <c r="C6237" s="39" t="s">
        <v>390</v>
      </c>
      <c r="D6237" t="s">
        <v>4247</v>
      </c>
      <c r="F6237" s="56"/>
    </row>
    <row r="6238" spans="1:6" ht="15">
      <c r="A6238" s="51">
        <v>309603</v>
      </c>
      <c r="B6238" t="s">
        <v>391</v>
      </c>
      <c r="C6238" s="39" t="s">
        <v>390</v>
      </c>
      <c r="D6238" t="s">
        <v>4243</v>
      </c>
      <c r="F6238" s="56"/>
    </row>
    <row r="6239" spans="1:6" ht="15">
      <c r="A6239" s="51">
        <v>309604</v>
      </c>
      <c r="B6239" t="s">
        <v>392</v>
      </c>
      <c r="C6239" s="39" t="s">
        <v>390</v>
      </c>
      <c r="D6239">
        <v>7</v>
      </c>
      <c r="F6239" s="56"/>
    </row>
    <row r="6240" spans="1:6" ht="15">
      <c r="A6240" s="51">
        <v>309597</v>
      </c>
      <c r="B6240" t="s">
        <v>3112</v>
      </c>
      <c r="C6240" s="39" t="s">
        <v>3113</v>
      </c>
      <c r="D6240">
        <v>8</v>
      </c>
      <c r="F6240" s="56"/>
    </row>
    <row r="6241" spans="1:6" ht="15">
      <c r="A6241" s="51">
        <v>309606</v>
      </c>
      <c r="B6241" t="s">
        <v>393</v>
      </c>
      <c r="C6241" s="39" t="s">
        <v>394</v>
      </c>
      <c r="D6241">
        <v>7</v>
      </c>
      <c r="F6241" s="56"/>
    </row>
    <row r="6242" spans="1:6" ht="15">
      <c r="A6242" s="51">
        <v>309608</v>
      </c>
      <c r="B6242" t="s">
        <v>1833</v>
      </c>
      <c r="C6242" s="39" t="s">
        <v>862</v>
      </c>
      <c r="D6242">
        <v>9</v>
      </c>
      <c r="F6242" s="56"/>
    </row>
    <row r="6243" spans="1:6" ht="15">
      <c r="A6243" s="51">
        <v>309610</v>
      </c>
      <c r="B6243" t="s">
        <v>867</v>
      </c>
      <c r="C6243" s="39" t="s">
        <v>185</v>
      </c>
      <c r="D6243" t="s">
        <v>4244</v>
      </c>
      <c r="F6243" s="56"/>
    </row>
    <row r="6244" spans="1:6" ht="15">
      <c r="A6244" s="51">
        <v>309611</v>
      </c>
      <c r="B6244" t="s">
        <v>196</v>
      </c>
      <c r="C6244" s="39" t="s">
        <v>189</v>
      </c>
      <c r="D6244" t="s">
        <v>4247</v>
      </c>
      <c r="F6244" s="56"/>
    </row>
    <row r="6245" spans="1:6" ht="15">
      <c r="A6245" s="51">
        <v>309612</v>
      </c>
      <c r="B6245" t="s">
        <v>201</v>
      </c>
      <c r="C6245" s="39" t="s">
        <v>189</v>
      </c>
      <c r="D6245" t="s">
        <v>4243</v>
      </c>
      <c r="F6245" s="56"/>
    </row>
    <row r="6246" spans="1:6" ht="15">
      <c r="A6246" s="51">
        <v>309613</v>
      </c>
      <c r="B6246" t="s">
        <v>2479</v>
      </c>
      <c r="C6246" s="39" t="s">
        <v>189</v>
      </c>
      <c r="D6246">
        <v>7</v>
      </c>
      <c r="F6246" s="56"/>
    </row>
    <row r="6247" spans="1:6" ht="15">
      <c r="A6247" s="51">
        <v>309605</v>
      </c>
      <c r="B6247" t="s">
        <v>3114</v>
      </c>
      <c r="C6247" s="39" t="s">
        <v>3115</v>
      </c>
      <c r="D6247">
        <v>8</v>
      </c>
      <c r="F6247" s="56"/>
    </row>
    <row r="6248" spans="1:6" ht="15">
      <c r="A6248" s="51">
        <v>309614</v>
      </c>
      <c r="B6248" t="s">
        <v>403</v>
      </c>
      <c r="C6248" s="39" t="s">
        <v>192</v>
      </c>
      <c r="D6248" t="s">
        <v>4247</v>
      </c>
      <c r="F6248" s="56"/>
    </row>
    <row r="6249" spans="1:6" ht="15">
      <c r="A6249" s="51">
        <v>309615</v>
      </c>
      <c r="B6249" t="s">
        <v>1668</v>
      </c>
      <c r="C6249" s="39" t="s">
        <v>192</v>
      </c>
      <c r="D6249" t="s">
        <v>4243</v>
      </c>
      <c r="F6249" s="56"/>
    </row>
    <row r="6250" spans="1:6" ht="15">
      <c r="A6250" s="51">
        <v>309616</v>
      </c>
      <c r="B6250" t="s">
        <v>3679</v>
      </c>
      <c r="C6250" s="39" t="s">
        <v>192</v>
      </c>
      <c r="D6250">
        <v>7</v>
      </c>
      <c r="F6250" s="56"/>
    </row>
    <row r="6251" spans="1:6" ht="15">
      <c r="A6251" s="51">
        <v>309617</v>
      </c>
      <c r="B6251" t="s">
        <v>1567</v>
      </c>
      <c r="C6251" s="39" t="s">
        <v>2301</v>
      </c>
      <c r="D6251" t="s">
        <v>468</v>
      </c>
      <c r="F6251" s="56"/>
    </row>
    <row r="6252" spans="1:6" ht="15">
      <c r="A6252" s="51">
        <v>309618</v>
      </c>
      <c r="B6252" t="s">
        <v>3116</v>
      </c>
      <c r="C6252" s="39" t="s">
        <v>2301</v>
      </c>
      <c r="D6252" t="s">
        <v>469</v>
      </c>
      <c r="F6252" s="56"/>
    </row>
    <row r="6253" spans="1:6" ht="15">
      <c r="A6253" s="51">
        <v>309619</v>
      </c>
      <c r="B6253" t="s">
        <v>3117</v>
      </c>
      <c r="C6253" s="39" t="s">
        <v>2301</v>
      </c>
      <c r="D6253" t="s">
        <v>471</v>
      </c>
      <c r="F6253" s="56"/>
    </row>
    <row r="6254" spans="1:6" ht="15">
      <c r="A6254" s="51">
        <v>309624</v>
      </c>
      <c r="B6254" t="s">
        <v>404</v>
      </c>
      <c r="C6254" s="39" t="s">
        <v>405</v>
      </c>
      <c r="D6254">
        <v>7</v>
      </c>
      <c r="F6254" s="56"/>
    </row>
    <row r="6255" spans="1:6" ht="15">
      <c r="A6255" s="51">
        <v>309625</v>
      </c>
      <c r="B6255" t="s">
        <v>2634</v>
      </c>
      <c r="C6255" s="39" t="s">
        <v>405</v>
      </c>
      <c r="D6255">
        <v>8</v>
      </c>
      <c r="F6255" s="56"/>
    </row>
    <row r="6256" spans="1:6" ht="15">
      <c r="A6256" s="51">
        <v>309629</v>
      </c>
      <c r="B6256" t="s">
        <v>409</v>
      </c>
      <c r="C6256" s="39" t="s">
        <v>410</v>
      </c>
      <c r="D6256" t="s">
        <v>4246</v>
      </c>
      <c r="F6256" s="56"/>
    </row>
    <row r="6257" spans="1:6" ht="15">
      <c r="A6257" s="51">
        <v>309630</v>
      </c>
      <c r="B6257" t="s">
        <v>411</v>
      </c>
      <c r="C6257" s="39" t="s">
        <v>410</v>
      </c>
      <c r="D6257" t="s">
        <v>4243</v>
      </c>
      <c r="F6257" s="56"/>
    </row>
    <row r="6258" spans="1:6" ht="15">
      <c r="A6258" s="51">
        <v>309631</v>
      </c>
      <c r="B6258" t="s">
        <v>412</v>
      </c>
      <c r="C6258" s="39" t="s">
        <v>410</v>
      </c>
      <c r="D6258">
        <v>7</v>
      </c>
      <c r="F6258" s="56"/>
    </row>
    <row r="6259" spans="1:6" ht="15">
      <c r="A6259" s="51">
        <v>309622</v>
      </c>
      <c r="B6259" t="s">
        <v>3119</v>
      </c>
      <c r="C6259" s="39" t="s">
        <v>410</v>
      </c>
      <c r="D6259">
        <v>9</v>
      </c>
      <c r="F6259" s="56"/>
    </row>
    <row r="6260" spans="1:6" ht="15">
      <c r="A6260" s="51">
        <v>309623</v>
      </c>
      <c r="B6260" t="s">
        <v>3120</v>
      </c>
      <c r="C6260" s="39" t="s">
        <v>410</v>
      </c>
      <c r="D6260">
        <v>9</v>
      </c>
      <c r="F6260" s="56"/>
    </row>
    <row r="6261" spans="1:6" ht="15">
      <c r="A6261" s="51">
        <v>309632</v>
      </c>
      <c r="B6261" t="s">
        <v>1081</v>
      </c>
      <c r="C6261" s="39" t="s">
        <v>1080</v>
      </c>
      <c r="D6261" t="s">
        <v>4244</v>
      </c>
      <c r="F6261" s="56"/>
    </row>
    <row r="6262" spans="1:6" ht="15">
      <c r="A6262" s="51">
        <v>309633</v>
      </c>
      <c r="B6262" t="s">
        <v>3364</v>
      </c>
      <c r="C6262" s="39" t="s">
        <v>3193</v>
      </c>
      <c r="D6262" t="s">
        <v>4244</v>
      </c>
      <c r="F6262" s="56"/>
    </row>
    <row r="6263" spans="1:6" ht="15">
      <c r="A6263" s="51">
        <v>309635</v>
      </c>
      <c r="B6263" t="s">
        <v>1099</v>
      </c>
      <c r="C6263" s="39" t="s">
        <v>2314</v>
      </c>
      <c r="D6263" t="s">
        <v>471</v>
      </c>
      <c r="F6263" s="56"/>
    </row>
    <row r="6264" spans="1:6" ht="15">
      <c r="A6264" s="51">
        <v>309637</v>
      </c>
      <c r="B6264" t="s">
        <v>3055</v>
      </c>
      <c r="C6264" s="39" t="s">
        <v>224</v>
      </c>
      <c r="D6264" t="s">
        <v>4243</v>
      </c>
      <c r="F6264" s="56"/>
    </row>
    <row r="6265" spans="1:6" ht="15">
      <c r="A6265" s="51">
        <v>309639</v>
      </c>
      <c r="B6265" t="s">
        <v>2232</v>
      </c>
      <c r="C6265" s="39" t="s">
        <v>1098</v>
      </c>
      <c r="D6265" t="s">
        <v>1595</v>
      </c>
      <c r="F6265" s="56"/>
    </row>
    <row r="6266" spans="1:6" ht="15">
      <c r="A6266" s="51">
        <v>309641</v>
      </c>
      <c r="B6266" t="s">
        <v>3063</v>
      </c>
      <c r="C6266" s="39" t="s">
        <v>1107</v>
      </c>
      <c r="D6266" t="s">
        <v>4245</v>
      </c>
      <c r="F6266" s="56"/>
    </row>
    <row r="6267" spans="1:6" ht="15">
      <c r="A6267" s="51">
        <v>309642</v>
      </c>
      <c r="B6267" t="s">
        <v>2639</v>
      </c>
      <c r="C6267" s="39" t="s">
        <v>1107</v>
      </c>
      <c r="D6267" t="s">
        <v>4245</v>
      </c>
      <c r="F6267" s="56"/>
    </row>
    <row r="6268" spans="1:6" ht="15">
      <c r="A6268" s="51">
        <v>309643</v>
      </c>
      <c r="B6268" t="s">
        <v>1574</v>
      </c>
      <c r="C6268" s="39" t="s">
        <v>1107</v>
      </c>
      <c r="D6268" t="s">
        <v>4245</v>
      </c>
      <c r="F6268" s="56"/>
    </row>
    <row r="6269" spans="1:6" ht="15">
      <c r="A6269" s="51">
        <v>309644</v>
      </c>
      <c r="B6269" t="s">
        <v>2494</v>
      </c>
      <c r="C6269" s="39" t="s">
        <v>1474</v>
      </c>
      <c r="D6269" t="s">
        <v>4244</v>
      </c>
      <c r="F6269" s="56"/>
    </row>
    <row r="6270" spans="1:6" ht="15">
      <c r="A6270" s="51">
        <v>309645</v>
      </c>
      <c r="B6270" t="s">
        <v>2495</v>
      </c>
      <c r="C6270" s="39" t="s">
        <v>1474</v>
      </c>
      <c r="D6270" t="s">
        <v>4243</v>
      </c>
      <c r="F6270" s="56"/>
    </row>
    <row r="6271" spans="1:6" ht="15">
      <c r="A6271" s="51">
        <v>309648</v>
      </c>
      <c r="B6271" t="s">
        <v>230</v>
      </c>
      <c r="C6271" s="39" t="s">
        <v>231</v>
      </c>
      <c r="D6271" t="s">
        <v>4244</v>
      </c>
      <c r="F6271" s="56"/>
    </row>
    <row r="6272" spans="1:6" ht="15">
      <c r="A6272" s="51">
        <v>309649</v>
      </c>
      <c r="B6272" t="s">
        <v>234</v>
      </c>
      <c r="C6272" s="39" t="s">
        <v>235</v>
      </c>
      <c r="D6272" t="s">
        <v>4244</v>
      </c>
      <c r="F6272" s="56"/>
    </row>
    <row r="6273" spans="1:6" ht="15">
      <c r="A6273" s="51">
        <v>309650</v>
      </c>
      <c r="B6273" t="s">
        <v>236</v>
      </c>
      <c r="C6273" s="39" t="s">
        <v>235</v>
      </c>
      <c r="D6273" t="s">
        <v>4244</v>
      </c>
      <c r="F6273" s="56"/>
    </row>
    <row r="6274" spans="1:6" ht="15">
      <c r="A6274" s="51">
        <v>309647</v>
      </c>
      <c r="B6274" t="s">
        <v>3122</v>
      </c>
      <c r="C6274" s="39" t="s">
        <v>2869</v>
      </c>
      <c r="D6274">
        <v>9</v>
      </c>
      <c r="F6274" s="56"/>
    </row>
    <row r="6275" spans="1:6" ht="15">
      <c r="A6275" s="51">
        <v>309651</v>
      </c>
      <c r="B6275" t="s">
        <v>3123</v>
      </c>
      <c r="C6275" s="39" t="s">
        <v>241</v>
      </c>
      <c r="D6275" t="s">
        <v>4249</v>
      </c>
      <c r="F6275" s="56"/>
    </row>
    <row r="6276" spans="1:6" ht="15">
      <c r="A6276" s="51">
        <v>309652</v>
      </c>
      <c r="B6276" t="s">
        <v>242</v>
      </c>
      <c r="C6276" s="39" t="s">
        <v>243</v>
      </c>
      <c r="D6276" t="s">
        <v>4245</v>
      </c>
      <c r="F6276" s="56"/>
    </row>
    <row r="6277" spans="1:6" ht="15">
      <c r="A6277" s="51">
        <v>309653</v>
      </c>
      <c r="B6277" t="s">
        <v>245</v>
      </c>
      <c r="C6277" s="39" t="s">
        <v>243</v>
      </c>
      <c r="D6277" t="s">
        <v>4247</v>
      </c>
      <c r="F6277" s="56"/>
    </row>
    <row r="6278" spans="1:6" ht="15">
      <c r="A6278" s="51">
        <v>309655</v>
      </c>
      <c r="B6278" t="s">
        <v>432</v>
      </c>
      <c r="C6278" s="39" t="s">
        <v>433</v>
      </c>
      <c r="D6278" t="s">
        <v>4245</v>
      </c>
      <c r="F6278" s="56"/>
    </row>
    <row r="6279" spans="1:6" ht="15">
      <c r="A6279" s="51">
        <v>309656</v>
      </c>
      <c r="B6279" t="s">
        <v>1263</v>
      </c>
      <c r="C6279" s="39" t="s">
        <v>884</v>
      </c>
      <c r="D6279">
        <v>7</v>
      </c>
      <c r="F6279" s="56"/>
    </row>
    <row r="6280" spans="1:6" ht="15">
      <c r="A6280" s="51">
        <v>309657</v>
      </c>
      <c r="B6280" t="s">
        <v>3124</v>
      </c>
      <c r="C6280" s="39" t="s">
        <v>3125</v>
      </c>
      <c r="D6280">
        <v>7</v>
      </c>
      <c r="F6280" s="56"/>
    </row>
    <row r="6281" spans="1:6" ht="15">
      <c r="A6281" s="51">
        <v>309658</v>
      </c>
      <c r="B6281" t="s">
        <v>2555</v>
      </c>
      <c r="C6281" s="39" t="s">
        <v>3125</v>
      </c>
      <c r="D6281">
        <v>7</v>
      </c>
      <c r="F6281" s="56"/>
    </row>
    <row r="6282" spans="1:6" ht="15">
      <c r="A6282" s="51">
        <v>309660</v>
      </c>
      <c r="B6282" t="s">
        <v>262</v>
      </c>
      <c r="C6282" s="39" t="s">
        <v>261</v>
      </c>
      <c r="D6282" t="s">
        <v>4245</v>
      </c>
      <c r="F6282" s="56"/>
    </row>
    <row r="6283" spans="1:6" ht="15">
      <c r="A6283" s="51">
        <v>309661</v>
      </c>
      <c r="B6283" t="s">
        <v>447</v>
      </c>
      <c r="C6283" s="39" t="s">
        <v>261</v>
      </c>
      <c r="D6283" t="s">
        <v>4244</v>
      </c>
      <c r="F6283" s="56"/>
    </row>
    <row r="6284" spans="1:6" ht="15">
      <c r="A6284" s="51">
        <v>309659</v>
      </c>
      <c r="B6284" t="s">
        <v>832</v>
      </c>
      <c r="C6284" s="39" t="s">
        <v>1869</v>
      </c>
      <c r="D6284">
        <v>9</v>
      </c>
      <c r="F6284" s="56"/>
    </row>
    <row r="6285" spans="1:6" ht="15">
      <c r="A6285" s="51">
        <v>309663</v>
      </c>
      <c r="B6285" t="s">
        <v>3126</v>
      </c>
      <c r="C6285" s="39" t="s">
        <v>1132</v>
      </c>
      <c r="D6285">
        <v>7</v>
      </c>
      <c r="F6285" s="56"/>
    </row>
    <row r="6286" spans="1:6" ht="15">
      <c r="A6286" s="51">
        <v>309664</v>
      </c>
      <c r="B6286" t="s">
        <v>265</v>
      </c>
      <c r="C6286" s="39" t="s">
        <v>1132</v>
      </c>
      <c r="D6286">
        <v>7</v>
      </c>
      <c r="F6286" s="56"/>
    </row>
    <row r="6287" spans="1:6" ht="15">
      <c r="A6287" s="51">
        <v>309666</v>
      </c>
      <c r="B6287" t="s">
        <v>1133</v>
      </c>
      <c r="C6287" s="39" t="s">
        <v>278</v>
      </c>
      <c r="D6287" t="s">
        <v>468</v>
      </c>
      <c r="F6287" s="56"/>
    </row>
    <row r="6288" spans="1:6" ht="15">
      <c r="A6288" s="51">
        <v>309667</v>
      </c>
      <c r="B6288" t="s">
        <v>1135</v>
      </c>
      <c r="C6288" s="39" t="s">
        <v>278</v>
      </c>
      <c r="D6288" t="s">
        <v>468</v>
      </c>
      <c r="F6288" s="56"/>
    </row>
    <row r="6289" spans="1:6" ht="15">
      <c r="A6289" s="51">
        <v>309668</v>
      </c>
      <c r="B6289" t="s">
        <v>2268</v>
      </c>
      <c r="C6289" s="39" t="s">
        <v>278</v>
      </c>
      <c r="D6289" t="s">
        <v>469</v>
      </c>
      <c r="F6289" s="56"/>
    </row>
    <row r="6290" spans="1:6" ht="15">
      <c r="A6290" s="51">
        <v>309669</v>
      </c>
      <c r="B6290" t="s">
        <v>1213</v>
      </c>
      <c r="C6290" s="39" t="s">
        <v>283</v>
      </c>
      <c r="D6290">
        <v>8</v>
      </c>
      <c r="F6290" s="56"/>
    </row>
    <row r="6291" spans="1:6" ht="15">
      <c r="A6291" s="51">
        <v>294448</v>
      </c>
      <c r="B6291" t="s">
        <v>969</v>
      </c>
      <c r="C6291" s="39" t="s">
        <v>835</v>
      </c>
      <c r="D6291">
        <v>9</v>
      </c>
      <c r="F6291" s="56"/>
    </row>
    <row r="6292" spans="1:6" ht="15">
      <c r="A6292" s="51">
        <v>294449</v>
      </c>
      <c r="B6292" t="s">
        <v>1789</v>
      </c>
      <c r="C6292" s="39" t="s">
        <v>1352</v>
      </c>
      <c r="D6292" t="s">
        <v>469</v>
      </c>
      <c r="F6292" s="56"/>
    </row>
    <row r="6293" spans="1:6" ht="15">
      <c r="A6293" s="51">
        <v>294450</v>
      </c>
      <c r="B6293" t="s">
        <v>323</v>
      </c>
      <c r="C6293" s="39" t="s">
        <v>324</v>
      </c>
      <c r="D6293">
        <v>7</v>
      </c>
      <c r="F6293" s="56"/>
    </row>
    <row r="6294" spans="1:6" ht="15">
      <c r="A6294" s="51">
        <v>294451</v>
      </c>
      <c r="B6294" t="s">
        <v>2518</v>
      </c>
      <c r="C6294" s="39" t="s">
        <v>3680</v>
      </c>
      <c r="D6294" t="s">
        <v>4248</v>
      </c>
      <c r="F6294" s="56"/>
    </row>
    <row r="6295" spans="1:6" ht="15">
      <c r="A6295" s="51">
        <v>294452</v>
      </c>
      <c r="B6295" t="s">
        <v>3681</v>
      </c>
      <c r="C6295" s="39" t="s">
        <v>3680</v>
      </c>
      <c r="D6295" t="s">
        <v>4245</v>
      </c>
      <c r="F6295" s="56"/>
    </row>
    <row r="6296" spans="1:6" ht="15">
      <c r="A6296" s="51">
        <v>294453</v>
      </c>
      <c r="B6296" t="s">
        <v>1623</v>
      </c>
      <c r="C6296" s="39" t="s">
        <v>3680</v>
      </c>
      <c r="D6296" t="s">
        <v>4248</v>
      </c>
      <c r="F6296" s="56"/>
    </row>
    <row r="6297" spans="1:6" ht="15">
      <c r="A6297" s="51">
        <v>294454</v>
      </c>
      <c r="B6297" t="s">
        <v>3682</v>
      </c>
      <c r="C6297" s="39" t="s">
        <v>3683</v>
      </c>
      <c r="D6297" t="s">
        <v>4245</v>
      </c>
      <c r="F6297" s="56"/>
    </row>
    <row r="6298" spans="1:6" ht="15">
      <c r="A6298" s="51">
        <v>294455</v>
      </c>
      <c r="B6298" t="s">
        <v>1146</v>
      </c>
      <c r="C6298" s="39" t="s">
        <v>3684</v>
      </c>
      <c r="D6298" t="s">
        <v>4243</v>
      </c>
      <c r="F6298" s="56"/>
    </row>
    <row r="6299" spans="1:6" ht="15">
      <c r="A6299" s="51">
        <v>294456</v>
      </c>
      <c r="B6299" t="s">
        <v>1361</v>
      </c>
      <c r="C6299" s="39" t="s">
        <v>3684</v>
      </c>
      <c r="D6299">
        <v>7</v>
      </c>
      <c r="F6299" s="56"/>
    </row>
    <row r="6300" spans="1:6" ht="15">
      <c r="A6300" s="51">
        <v>294457</v>
      </c>
      <c r="B6300" t="s">
        <v>2808</v>
      </c>
      <c r="C6300" s="39" t="s">
        <v>161</v>
      </c>
      <c r="D6300">
        <v>7</v>
      </c>
      <c r="F6300" s="56"/>
    </row>
    <row r="6301" spans="1:6" ht="15">
      <c r="A6301" s="51">
        <v>294458</v>
      </c>
      <c r="B6301" t="s">
        <v>1633</v>
      </c>
      <c r="C6301" s="39" t="s">
        <v>161</v>
      </c>
      <c r="D6301">
        <v>8</v>
      </c>
      <c r="F6301" s="56"/>
    </row>
    <row r="6302" spans="1:6" ht="15">
      <c r="A6302" s="51">
        <v>294459</v>
      </c>
      <c r="B6302" t="s">
        <v>109</v>
      </c>
      <c r="C6302" s="39" t="s">
        <v>117</v>
      </c>
      <c r="D6302">
        <v>8</v>
      </c>
      <c r="F6302" s="56"/>
    </row>
    <row r="6303" spans="1:6" ht="15">
      <c r="A6303" s="51">
        <v>294460</v>
      </c>
      <c r="B6303" t="s">
        <v>112</v>
      </c>
      <c r="C6303" s="39" t="s">
        <v>117</v>
      </c>
      <c r="D6303">
        <v>8</v>
      </c>
      <c r="F6303" s="56"/>
    </row>
    <row r="6304" spans="1:6" ht="15">
      <c r="A6304" s="51">
        <v>294461</v>
      </c>
      <c r="B6304" t="s">
        <v>1158</v>
      </c>
      <c r="C6304" s="39" t="s">
        <v>117</v>
      </c>
      <c r="D6304">
        <v>8</v>
      </c>
      <c r="F6304" s="56"/>
    </row>
    <row r="6305" spans="1:6" ht="15">
      <c r="A6305" s="51">
        <v>294462</v>
      </c>
      <c r="B6305" t="s">
        <v>350</v>
      </c>
      <c r="C6305" s="39" t="s">
        <v>120</v>
      </c>
      <c r="D6305" t="s">
        <v>4246</v>
      </c>
      <c r="F6305" s="56"/>
    </row>
    <row r="6306" spans="1:6" ht="15">
      <c r="A6306" s="51">
        <v>294463</v>
      </c>
      <c r="B6306" t="s">
        <v>351</v>
      </c>
      <c r="C6306" s="39" t="s">
        <v>120</v>
      </c>
      <c r="D6306" t="s">
        <v>4243</v>
      </c>
      <c r="F6306" s="56"/>
    </row>
    <row r="6307" spans="1:6" ht="15">
      <c r="A6307" s="51">
        <v>294464</v>
      </c>
      <c r="B6307" t="s">
        <v>846</v>
      </c>
      <c r="C6307" s="39" t="s">
        <v>285</v>
      </c>
      <c r="D6307" t="s">
        <v>4244</v>
      </c>
      <c r="F6307" s="56"/>
    </row>
    <row r="6308" spans="1:6" ht="15">
      <c r="A6308" s="51">
        <v>294465</v>
      </c>
      <c r="B6308" t="s">
        <v>847</v>
      </c>
      <c r="C6308" s="39" t="s">
        <v>285</v>
      </c>
      <c r="D6308">
        <v>7</v>
      </c>
      <c r="F6308" s="56"/>
    </row>
    <row r="6309" spans="1:6" ht="15">
      <c r="A6309" s="51">
        <v>294466</v>
      </c>
      <c r="B6309" t="s">
        <v>849</v>
      </c>
      <c r="C6309" s="39" t="s">
        <v>285</v>
      </c>
      <c r="D6309">
        <v>8</v>
      </c>
      <c r="F6309" s="56"/>
    </row>
    <row r="6310" spans="1:6" ht="15">
      <c r="A6310" s="51">
        <v>294467</v>
      </c>
      <c r="B6310" t="s">
        <v>122</v>
      </c>
      <c r="C6310" s="39" t="s">
        <v>914</v>
      </c>
      <c r="D6310" t="s">
        <v>4244</v>
      </c>
      <c r="F6310" s="56"/>
    </row>
    <row r="6311" spans="1:6" ht="15">
      <c r="A6311" s="51">
        <v>294468</v>
      </c>
      <c r="B6311" t="s">
        <v>124</v>
      </c>
      <c r="C6311" s="39" t="s">
        <v>914</v>
      </c>
      <c r="D6311">
        <v>7</v>
      </c>
      <c r="F6311" s="56"/>
    </row>
    <row r="6312" spans="1:6" ht="15">
      <c r="A6312" s="51">
        <v>294469</v>
      </c>
      <c r="B6312" t="s">
        <v>3685</v>
      </c>
      <c r="C6312" s="39" t="s">
        <v>914</v>
      </c>
      <c r="D6312">
        <v>8</v>
      </c>
      <c r="F6312" s="56"/>
    </row>
    <row r="6313" spans="1:6" ht="15">
      <c r="A6313" s="51">
        <v>294470</v>
      </c>
      <c r="B6313" t="s">
        <v>1810</v>
      </c>
      <c r="C6313" s="39" t="s">
        <v>914</v>
      </c>
      <c r="D6313" t="s">
        <v>4244</v>
      </c>
      <c r="F6313" s="56"/>
    </row>
    <row r="6314" spans="1:6" ht="15">
      <c r="A6314" s="51">
        <v>294471</v>
      </c>
      <c r="B6314" t="s">
        <v>1811</v>
      </c>
      <c r="C6314" s="39" t="s">
        <v>914</v>
      </c>
      <c r="D6314">
        <v>7</v>
      </c>
      <c r="F6314" s="56"/>
    </row>
    <row r="6315" spans="1:6" ht="15">
      <c r="A6315" s="51">
        <v>294472</v>
      </c>
      <c r="B6315" t="s">
        <v>3686</v>
      </c>
      <c r="C6315" s="39" t="s">
        <v>914</v>
      </c>
      <c r="D6315">
        <v>8</v>
      </c>
      <c r="F6315" s="56"/>
    </row>
    <row r="6316" spans="1:6" ht="15">
      <c r="A6316" s="51">
        <v>294473</v>
      </c>
      <c r="B6316" t="s">
        <v>126</v>
      </c>
      <c r="C6316" s="39" t="s">
        <v>914</v>
      </c>
      <c r="D6316" t="s">
        <v>4244</v>
      </c>
      <c r="F6316" s="56"/>
    </row>
    <row r="6317" spans="1:6" ht="15">
      <c r="A6317" s="51">
        <v>294474</v>
      </c>
      <c r="B6317" t="s">
        <v>128</v>
      </c>
      <c r="C6317" s="39" t="s">
        <v>914</v>
      </c>
      <c r="D6317">
        <v>7</v>
      </c>
      <c r="F6317" s="56"/>
    </row>
    <row r="6318" spans="1:6" ht="15">
      <c r="A6318" s="51">
        <v>294475</v>
      </c>
      <c r="B6318" t="s">
        <v>3687</v>
      </c>
      <c r="C6318" s="39" t="s">
        <v>914</v>
      </c>
      <c r="D6318" t="s">
        <v>4243</v>
      </c>
      <c r="F6318" s="56"/>
    </row>
    <row r="6319" spans="1:6" ht="15">
      <c r="A6319" s="51">
        <v>294476</v>
      </c>
      <c r="B6319" t="s">
        <v>1011</v>
      </c>
      <c r="C6319" s="39" t="s">
        <v>914</v>
      </c>
      <c r="D6319">
        <v>8</v>
      </c>
      <c r="F6319" s="56"/>
    </row>
    <row r="6320" spans="1:6" ht="15">
      <c r="A6320" s="51">
        <v>294477</v>
      </c>
      <c r="B6320" t="s">
        <v>131</v>
      </c>
      <c r="C6320" s="39" t="s">
        <v>132</v>
      </c>
      <c r="D6320">
        <v>8</v>
      </c>
      <c r="F6320" s="56"/>
    </row>
    <row r="6321" spans="1:6" ht="15">
      <c r="A6321" s="51">
        <v>294478</v>
      </c>
      <c r="B6321" t="s">
        <v>3688</v>
      </c>
      <c r="C6321" s="39" t="s">
        <v>132</v>
      </c>
      <c r="D6321">
        <v>9</v>
      </c>
      <c r="F6321" s="56"/>
    </row>
    <row r="6322" spans="1:6" ht="15">
      <c r="A6322" s="51">
        <v>294479</v>
      </c>
      <c r="B6322" t="s">
        <v>3612</v>
      </c>
      <c r="C6322" s="39" t="s">
        <v>3689</v>
      </c>
      <c r="D6322" t="s">
        <v>4243</v>
      </c>
      <c r="F6322" s="56"/>
    </row>
    <row r="6323" spans="1:6" ht="15">
      <c r="A6323" s="51">
        <v>294480</v>
      </c>
      <c r="B6323" t="s">
        <v>372</v>
      </c>
      <c r="C6323" s="39" t="s">
        <v>3690</v>
      </c>
      <c r="D6323">
        <v>8</v>
      </c>
      <c r="F6323" s="56"/>
    </row>
    <row r="6324" spans="1:6" ht="15">
      <c r="A6324" s="51">
        <v>294481</v>
      </c>
      <c r="B6324" t="s">
        <v>2843</v>
      </c>
      <c r="C6324" s="39" t="s">
        <v>3036</v>
      </c>
      <c r="D6324" t="s">
        <v>468</v>
      </c>
      <c r="F6324" s="56"/>
    </row>
    <row r="6325" spans="1:6" ht="15">
      <c r="A6325" s="51">
        <v>294482</v>
      </c>
      <c r="B6325" t="s">
        <v>1414</v>
      </c>
      <c r="C6325" s="39" t="s">
        <v>3036</v>
      </c>
      <c r="D6325" t="s">
        <v>471</v>
      </c>
      <c r="F6325" s="56"/>
    </row>
    <row r="6326" spans="1:6" ht="15">
      <c r="A6326" s="51">
        <v>294483</v>
      </c>
      <c r="B6326" t="s">
        <v>2844</v>
      </c>
      <c r="C6326" s="39" t="s">
        <v>157</v>
      </c>
      <c r="D6326" t="s">
        <v>4245</v>
      </c>
      <c r="F6326" s="56"/>
    </row>
    <row r="6327" spans="1:6" ht="15">
      <c r="A6327" s="51">
        <v>294484</v>
      </c>
      <c r="B6327" t="s">
        <v>1416</v>
      </c>
      <c r="C6327" s="39" t="s">
        <v>157</v>
      </c>
      <c r="D6327" t="s">
        <v>4244</v>
      </c>
      <c r="F6327" s="56"/>
    </row>
    <row r="6328" spans="1:6" ht="15">
      <c r="A6328" s="51">
        <v>294485</v>
      </c>
      <c r="B6328" t="s">
        <v>2848</v>
      </c>
      <c r="C6328" s="39" t="s">
        <v>3691</v>
      </c>
      <c r="D6328" t="s">
        <v>4243</v>
      </c>
      <c r="F6328" s="56"/>
    </row>
    <row r="6329" spans="1:6" ht="15">
      <c r="A6329" s="51">
        <v>294913</v>
      </c>
      <c r="B6329" t="s">
        <v>1358</v>
      </c>
      <c r="C6329" s="39" t="s">
        <v>3692</v>
      </c>
      <c r="D6329" t="s">
        <v>4249</v>
      </c>
      <c r="F6329" s="56"/>
    </row>
    <row r="6330" spans="1:6" ht="15">
      <c r="A6330" s="51">
        <v>294486</v>
      </c>
      <c r="B6330" t="s">
        <v>3107</v>
      </c>
      <c r="C6330" s="39" t="s">
        <v>3693</v>
      </c>
      <c r="D6330">
        <v>7</v>
      </c>
      <c r="F6330" s="56"/>
    </row>
    <row r="6331" spans="1:6" ht="15">
      <c r="A6331" s="51">
        <v>294487</v>
      </c>
      <c r="B6331" t="s">
        <v>3694</v>
      </c>
      <c r="C6331" s="39" t="s">
        <v>3693</v>
      </c>
      <c r="D6331">
        <v>8</v>
      </c>
      <c r="F6331" s="56"/>
    </row>
    <row r="6332" spans="1:6" ht="15">
      <c r="A6332" s="51">
        <v>294488</v>
      </c>
      <c r="B6332" t="s">
        <v>2212</v>
      </c>
      <c r="C6332" s="39" t="s">
        <v>3695</v>
      </c>
      <c r="D6332" t="s">
        <v>4243</v>
      </c>
      <c r="F6332" s="56"/>
    </row>
    <row r="6333" spans="1:6" ht="15">
      <c r="A6333" s="51">
        <v>294489</v>
      </c>
      <c r="B6333" t="s">
        <v>854</v>
      </c>
      <c r="C6333" s="39" t="s">
        <v>3695</v>
      </c>
      <c r="D6333" t="s">
        <v>4243</v>
      </c>
      <c r="F6333" s="56"/>
    </row>
    <row r="6334" spans="1:6" ht="15">
      <c r="A6334" s="51">
        <v>294490</v>
      </c>
      <c r="B6334" t="s">
        <v>1059</v>
      </c>
      <c r="C6334" s="39" t="s">
        <v>166</v>
      </c>
      <c r="D6334" t="s">
        <v>4246</v>
      </c>
      <c r="F6334" s="56"/>
    </row>
    <row r="6335" spans="1:6" ht="15">
      <c r="A6335" s="51">
        <v>294491</v>
      </c>
      <c r="B6335" t="s">
        <v>174</v>
      </c>
      <c r="C6335" s="39" t="s">
        <v>166</v>
      </c>
      <c r="D6335" t="s">
        <v>4243</v>
      </c>
      <c r="F6335" s="56"/>
    </row>
    <row r="6336" spans="1:6" ht="15">
      <c r="B6336" t="s">
        <v>3696</v>
      </c>
      <c r="C6336" s="39" t="s">
        <v>166</v>
      </c>
      <c r="D6336" t="s">
        <v>4243</v>
      </c>
      <c r="F6336" s="56"/>
    </row>
    <row r="6337" spans="1:6" ht="15">
      <c r="A6337" s="51">
        <v>294493</v>
      </c>
      <c r="B6337" t="s">
        <v>1824</v>
      </c>
      <c r="C6337" s="39" t="s">
        <v>390</v>
      </c>
      <c r="D6337" t="s">
        <v>4247</v>
      </c>
      <c r="F6337" s="56"/>
    </row>
    <row r="6338" spans="1:6" ht="15">
      <c r="A6338" s="51">
        <v>294494</v>
      </c>
      <c r="B6338" t="s">
        <v>1556</v>
      </c>
      <c r="C6338" s="39" t="s">
        <v>390</v>
      </c>
      <c r="D6338" t="s">
        <v>4243</v>
      </c>
      <c r="F6338" s="56"/>
    </row>
    <row r="6339" spans="1:6" ht="15">
      <c r="A6339" s="51">
        <v>294495</v>
      </c>
      <c r="B6339" t="s">
        <v>2539</v>
      </c>
      <c r="C6339" s="39" t="s">
        <v>390</v>
      </c>
      <c r="D6339">
        <v>7</v>
      </c>
      <c r="F6339" s="56"/>
    </row>
    <row r="6340" spans="1:6" ht="15">
      <c r="A6340" s="51">
        <v>294496</v>
      </c>
      <c r="B6340" t="s">
        <v>3697</v>
      </c>
      <c r="C6340" s="39" t="s">
        <v>390</v>
      </c>
      <c r="D6340">
        <v>8</v>
      </c>
      <c r="F6340" s="56"/>
    </row>
    <row r="6341" spans="1:6" ht="15">
      <c r="A6341" s="51">
        <v>294497</v>
      </c>
      <c r="B6341" t="s">
        <v>1063</v>
      </c>
      <c r="C6341" s="39" t="s">
        <v>983</v>
      </c>
      <c r="D6341" t="s">
        <v>4247</v>
      </c>
      <c r="F6341" s="56"/>
    </row>
    <row r="6342" spans="1:6" ht="15">
      <c r="A6342" s="51">
        <v>294498</v>
      </c>
      <c r="B6342" t="s">
        <v>857</v>
      </c>
      <c r="C6342" s="39" t="s">
        <v>858</v>
      </c>
      <c r="D6342">
        <v>8</v>
      </c>
      <c r="F6342" s="56"/>
    </row>
    <row r="6343" spans="1:6" ht="15">
      <c r="A6343" s="51">
        <v>294499</v>
      </c>
      <c r="B6343" t="s">
        <v>859</v>
      </c>
      <c r="C6343" s="39" t="s">
        <v>3698</v>
      </c>
      <c r="D6343">
        <v>9</v>
      </c>
      <c r="F6343" s="56"/>
    </row>
    <row r="6344" spans="1:6" ht="15">
      <c r="A6344" s="51">
        <v>294500</v>
      </c>
      <c r="B6344" t="s">
        <v>1064</v>
      </c>
      <c r="C6344" s="39" t="s">
        <v>183</v>
      </c>
      <c r="D6344">
        <v>7</v>
      </c>
      <c r="F6344" s="56"/>
    </row>
    <row r="6345" spans="1:6" ht="15">
      <c r="A6345" s="51">
        <v>294501</v>
      </c>
      <c r="B6345" t="s">
        <v>3699</v>
      </c>
      <c r="C6345" s="39" t="s">
        <v>3700</v>
      </c>
      <c r="D6345">
        <v>8</v>
      </c>
      <c r="F6345" s="56"/>
    </row>
    <row r="6346" spans="1:6" ht="15">
      <c r="A6346" s="51">
        <v>294502</v>
      </c>
      <c r="B6346" t="s">
        <v>393</v>
      </c>
      <c r="C6346" s="39" t="s">
        <v>394</v>
      </c>
      <c r="D6346">
        <v>7</v>
      </c>
      <c r="F6346" s="56"/>
    </row>
    <row r="6347" spans="1:6" ht="15">
      <c r="A6347" s="51">
        <v>294503</v>
      </c>
      <c r="B6347" t="s">
        <v>188</v>
      </c>
      <c r="C6347" s="39" t="s">
        <v>192</v>
      </c>
      <c r="D6347" t="s">
        <v>4247</v>
      </c>
      <c r="F6347" s="56"/>
    </row>
    <row r="6348" spans="1:6" ht="15">
      <c r="A6348" s="51">
        <v>294504</v>
      </c>
      <c r="B6348" t="s">
        <v>190</v>
      </c>
      <c r="C6348" s="39" t="s">
        <v>192</v>
      </c>
      <c r="D6348" t="s">
        <v>4243</v>
      </c>
      <c r="F6348" s="56"/>
    </row>
    <row r="6349" spans="1:6" ht="15">
      <c r="A6349" s="51">
        <v>294505</v>
      </c>
      <c r="B6349" t="s">
        <v>3701</v>
      </c>
      <c r="C6349" s="39" t="s">
        <v>192</v>
      </c>
      <c r="D6349">
        <v>7</v>
      </c>
      <c r="F6349" s="56"/>
    </row>
    <row r="6350" spans="1:6" ht="15">
      <c r="A6350" s="51">
        <v>294506</v>
      </c>
      <c r="B6350" t="s">
        <v>191</v>
      </c>
      <c r="C6350" s="39" t="s">
        <v>192</v>
      </c>
      <c r="D6350">
        <v>7</v>
      </c>
      <c r="F6350" s="56"/>
    </row>
    <row r="6351" spans="1:6" ht="15">
      <c r="A6351" s="51">
        <v>294507</v>
      </c>
      <c r="B6351" t="s">
        <v>3702</v>
      </c>
      <c r="C6351" s="39" t="s">
        <v>92</v>
      </c>
      <c r="D6351">
        <v>8</v>
      </c>
      <c r="F6351" s="56"/>
    </row>
    <row r="6352" spans="1:6" ht="15">
      <c r="A6352" s="51">
        <v>294508</v>
      </c>
      <c r="B6352" t="s">
        <v>3703</v>
      </c>
      <c r="C6352" s="39" t="s">
        <v>96</v>
      </c>
      <c r="D6352">
        <v>9</v>
      </c>
      <c r="F6352" s="56"/>
    </row>
    <row r="6353" spans="1:6" ht="15">
      <c r="A6353" s="51">
        <v>294509</v>
      </c>
      <c r="B6353" t="s">
        <v>3704</v>
      </c>
      <c r="C6353" s="39" t="s">
        <v>1252</v>
      </c>
      <c r="D6353">
        <v>8</v>
      </c>
      <c r="F6353" s="56"/>
    </row>
    <row r="6354" spans="1:6" ht="15">
      <c r="A6354" s="51">
        <v>294510</v>
      </c>
      <c r="B6354" t="s">
        <v>864</v>
      </c>
      <c r="C6354" s="39" t="s">
        <v>3705</v>
      </c>
      <c r="D6354" t="s">
        <v>469</v>
      </c>
      <c r="F6354" s="56"/>
    </row>
    <row r="6355" spans="1:6" ht="15">
      <c r="B6355" t="s">
        <v>3706</v>
      </c>
      <c r="C6355" s="39" t="s">
        <v>3705</v>
      </c>
      <c r="D6355" t="s">
        <v>469</v>
      </c>
      <c r="F6355" s="56"/>
    </row>
    <row r="6356" spans="1:6" ht="15">
      <c r="A6356" s="51">
        <v>294512</v>
      </c>
      <c r="B6356" t="s">
        <v>865</v>
      </c>
      <c r="C6356" s="39" t="s">
        <v>3705</v>
      </c>
      <c r="D6356">
        <v>7</v>
      </c>
      <c r="F6356" s="56"/>
    </row>
    <row r="6357" spans="1:6" ht="15">
      <c r="A6357" s="51">
        <v>294513</v>
      </c>
      <c r="B6357" t="s">
        <v>3707</v>
      </c>
      <c r="C6357" s="39" t="s">
        <v>3705</v>
      </c>
      <c r="D6357">
        <v>9</v>
      </c>
      <c r="F6357" s="56"/>
    </row>
    <row r="6358" spans="1:6" ht="15">
      <c r="A6358" s="51">
        <v>294514</v>
      </c>
      <c r="B6358" t="s">
        <v>1666</v>
      </c>
      <c r="C6358" s="39" t="s">
        <v>3708</v>
      </c>
      <c r="D6358">
        <v>8</v>
      </c>
      <c r="F6358" s="56"/>
    </row>
    <row r="6359" spans="1:6" ht="15">
      <c r="A6359" s="51">
        <v>294515</v>
      </c>
      <c r="B6359" t="s">
        <v>2024</v>
      </c>
      <c r="C6359" s="39" t="s">
        <v>3708</v>
      </c>
      <c r="D6359">
        <v>8</v>
      </c>
      <c r="F6359" s="56"/>
    </row>
    <row r="6360" spans="1:6" ht="15">
      <c r="A6360" s="51">
        <v>294516</v>
      </c>
      <c r="B6360" t="s">
        <v>2474</v>
      </c>
      <c r="C6360" s="39" t="s">
        <v>3709</v>
      </c>
      <c r="D6360" t="s">
        <v>1596</v>
      </c>
      <c r="F6360" s="56"/>
    </row>
    <row r="6361" spans="1:6" ht="15">
      <c r="A6361" s="51">
        <v>294518</v>
      </c>
      <c r="B6361" t="s">
        <v>199</v>
      </c>
      <c r="C6361" s="39" t="s">
        <v>200</v>
      </c>
      <c r="D6361">
        <v>7</v>
      </c>
      <c r="F6361" s="56"/>
    </row>
    <row r="6362" spans="1:6" ht="15">
      <c r="A6362" s="51">
        <v>294519</v>
      </c>
      <c r="B6362" t="s">
        <v>201</v>
      </c>
      <c r="C6362" s="39" t="s">
        <v>200</v>
      </c>
      <c r="D6362">
        <v>7</v>
      </c>
      <c r="F6362" s="56"/>
    </row>
    <row r="6363" spans="1:6" ht="15">
      <c r="A6363" s="51">
        <v>294520</v>
      </c>
      <c r="B6363" t="s">
        <v>872</v>
      </c>
      <c r="C6363" s="39" t="s">
        <v>3710</v>
      </c>
      <c r="D6363" t="s">
        <v>4243</v>
      </c>
      <c r="F6363" s="56"/>
    </row>
    <row r="6364" spans="1:6" ht="15">
      <c r="A6364" s="51">
        <v>294521</v>
      </c>
      <c r="B6364" t="s">
        <v>1225</v>
      </c>
      <c r="C6364" s="39" t="s">
        <v>3711</v>
      </c>
      <c r="D6364" t="s">
        <v>4243</v>
      </c>
      <c r="F6364" s="56"/>
    </row>
    <row r="6365" spans="1:6" ht="15">
      <c r="A6365" s="51">
        <v>294522</v>
      </c>
      <c r="B6365" t="s">
        <v>406</v>
      </c>
      <c r="C6365" s="39" t="s">
        <v>405</v>
      </c>
      <c r="D6365">
        <v>7</v>
      </c>
      <c r="F6365" s="56"/>
    </row>
    <row r="6366" spans="1:6" ht="15">
      <c r="A6366" s="51">
        <v>294523</v>
      </c>
      <c r="B6366" t="s">
        <v>2864</v>
      </c>
      <c r="C6366" s="39" t="s">
        <v>405</v>
      </c>
      <c r="D6366">
        <v>8</v>
      </c>
      <c r="F6366" s="56"/>
    </row>
    <row r="6367" spans="1:6" ht="15">
      <c r="A6367" s="51">
        <v>294524</v>
      </c>
      <c r="B6367" t="s">
        <v>3712</v>
      </c>
      <c r="C6367" s="39" t="s">
        <v>410</v>
      </c>
      <c r="D6367" t="s">
        <v>4246</v>
      </c>
      <c r="F6367" s="56"/>
    </row>
    <row r="6368" spans="1:6" ht="15">
      <c r="A6368" s="51">
        <v>294525</v>
      </c>
      <c r="B6368" t="s">
        <v>3713</v>
      </c>
      <c r="C6368" s="39" t="s">
        <v>410</v>
      </c>
      <c r="D6368" t="s">
        <v>4243</v>
      </c>
      <c r="F6368" s="56"/>
    </row>
    <row r="6369" spans="1:6" ht="15">
      <c r="A6369" s="51">
        <v>294526</v>
      </c>
      <c r="B6369" t="s">
        <v>3714</v>
      </c>
      <c r="C6369" s="39" t="s">
        <v>410</v>
      </c>
      <c r="D6369" t="s">
        <v>4243</v>
      </c>
      <c r="F6369" s="56"/>
    </row>
    <row r="6370" spans="1:6" ht="15">
      <c r="A6370" s="51">
        <v>294527</v>
      </c>
      <c r="B6370" t="s">
        <v>2867</v>
      </c>
      <c r="C6370" s="39" t="s">
        <v>410</v>
      </c>
      <c r="D6370">
        <v>7</v>
      </c>
      <c r="F6370" s="56"/>
    </row>
    <row r="6371" spans="1:6" ht="15">
      <c r="A6371" s="51">
        <v>294528</v>
      </c>
      <c r="B6371" t="s">
        <v>3715</v>
      </c>
      <c r="C6371" s="39" t="s">
        <v>410</v>
      </c>
      <c r="D6371">
        <v>8</v>
      </c>
      <c r="F6371" s="56"/>
    </row>
    <row r="6372" spans="1:6" ht="15">
      <c r="A6372" s="51">
        <v>294529</v>
      </c>
      <c r="B6372" t="s">
        <v>2222</v>
      </c>
      <c r="C6372" s="39" t="s">
        <v>3716</v>
      </c>
      <c r="D6372" t="s">
        <v>4247</v>
      </c>
      <c r="F6372" s="56"/>
    </row>
    <row r="6373" spans="1:6" ht="15">
      <c r="A6373" s="51">
        <v>294530</v>
      </c>
      <c r="B6373" t="s">
        <v>2743</v>
      </c>
      <c r="C6373" s="39" t="s">
        <v>3716</v>
      </c>
      <c r="D6373" t="s">
        <v>4243</v>
      </c>
      <c r="F6373" s="56"/>
    </row>
    <row r="6374" spans="1:6" ht="15">
      <c r="A6374" s="51">
        <v>294531</v>
      </c>
      <c r="B6374" t="s">
        <v>3717</v>
      </c>
      <c r="C6374" s="39" t="s">
        <v>3716</v>
      </c>
      <c r="D6374" t="s">
        <v>4243</v>
      </c>
      <c r="F6374" s="56"/>
    </row>
    <row r="6375" spans="1:6" ht="15">
      <c r="A6375" s="51">
        <v>294532</v>
      </c>
      <c r="B6375" t="s">
        <v>2744</v>
      </c>
      <c r="C6375" s="39" t="s">
        <v>3716</v>
      </c>
      <c r="D6375">
        <v>7</v>
      </c>
      <c r="F6375" s="56"/>
    </row>
    <row r="6376" spans="1:6" ht="15">
      <c r="A6376" s="51">
        <v>294533</v>
      </c>
      <c r="B6376" t="s">
        <v>1079</v>
      </c>
      <c r="C6376" s="39" t="s">
        <v>3718</v>
      </c>
      <c r="D6376" t="s">
        <v>4244</v>
      </c>
      <c r="F6376" s="56"/>
    </row>
    <row r="6377" spans="1:6" ht="15">
      <c r="A6377" s="51">
        <v>294534</v>
      </c>
      <c r="B6377" t="s">
        <v>1081</v>
      </c>
      <c r="C6377" s="39" t="s">
        <v>3718</v>
      </c>
      <c r="D6377" t="s">
        <v>4244</v>
      </c>
      <c r="F6377" s="56"/>
    </row>
    <row r="6378" spans="1:6" ht="15">
      <c r="A6378" s="51">
        <v>294535</v>
      </c>
      <c r="B6378" t="s">
        <v>3719</v>
      </c>
      <c r="C6378" s="39" t="s">
        <v>3718</v>
      </c>
      <c r="D6378" t="s">
        <v>4243</v>
      </c>
      <c r="F6378" s="56"/>
    </row>
    <row r="6379" spans="1:6" ht="15">
      <c r="A6379" s="51">
        <v>294537</v>
      </c>
      <c r="B6379" t="s">
        <v>2485</v>
      </c>
      <c r="C6379" s="39" t="s">
        <v>417</v>
      </c>
      <c r="D6379" t="s">
        <v>4243</v>
      </c>
      <c r="F6379" s="56"/>
    </row>
    <row r="6380" spans="1:6" ht="15">
      <c r="A6380" s="51">
        <v>294538</v>
      </c>
      <c r="B6380" t="s">
        <v>2547</v>
      </c>
      <c r="C6380" s="39" t="s">
        <v>417</v>
      </c>
      <c r="D6380">
        <v>8</v>
      </c>
      <c r="F6380" s="56"/>
    </row>
    <row r="6381" spans="1:6" ht="15">
      <c r="A6381" s="51">
        <v>294539</v>
      </c>
      <c r="B6381" t="s">
        <v>3720</v>
      </c>
      <c r="C6381" s="39" t="s">
        <v>417</v>
      </c>
      <c r="D6381">
        <v>8</v>
      </c>
      <c r="F6381" s="56"/>
    </row>
    <row r="6382" spans="1:6" ht="15">
      <c r="A6382" s="51">
        <v>294540</v>
      </c>
      <c r="B6382" t="s">
        <v>1228</v>
      </c>
      <c r="C6382" s="39" t="s">
        <v>1107</v>
      </c>
      <c r="D6382" t="s">
        <v>4245</v>
      </c>
      <c r="F6382" s="56"/>
    </row>
    <row r="6383" spans="1:6" ht="15">
      <c r="A6383" s="51">
        <v>294541</v>
      </c>
      <c r="B6383" t="s">
        <v>2047</v>
      </c>
      <c r="C6383" s="39" t="s">
        <v>1107</v>
      </c>
      <c r="D6383" t="s">
        <v>4245</v>
      </c>
      <c r="F6383" s="56"/>
    </row>
    <row r="6384" spans="1:6" ht="15">
      <c r="A6384" s="51">
        <v>294543</v>
      </c>
      <c r="B6384" t="s">
        <v>1199</v>
      </c>
      <c r="C6384" s="39" t="s">
        <v>233</v>
      </c>
      <c r="D6384" t="s">
        <v>4244</v>
      </c>
      <c r="F6384" s="56"/>
    </row>
    <row r="6385" spans="1:6" ht="15">
      <c r="A6385" s="51">
        <v>294544</v>
      </c>
      <c r="B6385" t="s">
        <v>242</v>
      </c>
      <c r="C6385" s="39" t="s">
        <v>243</v>
      </c>
      <c r="D6385" t="s">
        <v>4245</v>
      </c>
      <c r="F6385" s="56"/>
    </row>
    <row r="6386" spans="1:6" ht="15">
      <c r="A6386" s="51">
        <v>294545</v>
      </c>
      <c r="B6386" t="s">
        <v>1202</v>
      </c>
      <c r="C6386" s="39" t="s">
        <v>3721</v>
      </c>
      <c r="D6386" t="s">
        <v>4246</v>
      </c>
      <c r="F6386" s="56"/>
    </row>
    <row r="6387" spans="1:6" ht="15">
      <c r="A6387" s="51">
        <v>294546</v>
      </c>
      <c r="B6387" t="s">
        <v>1115</v>
      </c>
      <c r="C6387" s="39" t="s">
        <v>3721</v>
      </c>
      <c r="D6387" t="s">
        <v>4247</v>
      </c>
      <c r="F6387" s="56"/>
    </row>
    <row r="6388" spans="1:6" ht="15">
      <c r="A6388" s="51">
        <v>294547</v>
      </c>
      <c r="B6388" t="s">
        <v>3722</v>
      </c>
      <c r="C6388" s="39" t="s">
        <v>3721</v>
      </c>
      <c r="D6388" t="s">
        <v>4247</v>
      </c>
      <c r="F6388" s="56"/>
    </row>
    <row r="6389" spans="1:6" ht="15">
      <c r="A6389" s="51">
        <v>294548</v>
      </c>
      <c r="B6389" t="s">
        <v>3723</v>
      </c>
      <c r="C6389" s="39" t="s">
        <v>3721</v>
      </c>
      <c r="D6389" t="s">
        <v>4244</v>
      </c>
      <c r="F6389" s="56"/>
    </row>
    <row r="6390" spans="1:6" ht="15">
      <c r="A6390" s="51">
        <v>294549</v>
      </c>
      <c r="B6390" t="s">
        <v>3724</v>
      </c>
      <c r="C6390" s="39" t="s">
        <v>3721</v>
      </c>
      <c r="D6390">
        <v>7</v>
      </c>
      <c r="F6390" s="56"/>
    </row>
    <row r="6391" spans="1:6" ht="15">
      <c r="A6391" s="51">
        <v>294550</v>
      </c>
      <c r="B6391" t="s">
        <v>1128</v>
      </c>
      <c r="C6391" s="39" t="s">
        <v>1114</v>
      </c>
      <c r="D6391">
        <v>9</v>
      </c>
      <c r="F6391" s="56"/>
    </row>
    <row r="6392" spans="1:6" ht="15">
      <c r="A6392" s="51">
        <v>294551</v>
      </c>
      <c r="B6392" t="s">
        <v>2261</v>
      </c>
      <c r="C6392" s="39" t="s">
        <v>3725</v>
      </c>
      <c r="D6392" t="s">
        <v>4243</v>
      </c>
      <c r="F6392" s="56"/>
    </row>
    <row r="6393" spans="1:6" ht="15">
      <c r="A6393" s="51">
        <v>294552</v>
      </c>
      <c r="B6393" t="s">
        <v>3726</v>
      </c>
      <c r="C6393" s="39" t="s">
        <v>3725</v>
      </c>
      <c r="D6393">
        <v>8</v>
      </c>
      <c r="F6393" s="56"/>
    </row>
    <row r="6394" spans="1:6" ht="15">
      <c r="A6394" s="51">
        <v>294553</v>
      </c>
      <c r="B6394" t="s">
        <v>2264</v>
      </c>
      <c r="C6394" s="39" t="s">
        <v>1690</v>
      </c>
      <c r="D6394" t="s">
        <v>4246</v>
      </c>
      <c r="F6394" s="56"/>
    </row>
    <row r="6395" spans="1:6" ht="15">
      <c r="A6395" s="51">
        <v>294554</v>
      </c>
      <c r="B6395" t="s">
        <v>3727</v>
      </c>
      <c r="C6395" s="39" t="s">
        <v>1690</v>
      </c>
      <c r="D6395" t="s">
        <v>4244</v>
      </c>
      <c r="F6395" s="56"/>
    </row>
    <row r="6396" spans="1:6" ht="15">
      <c r="A6396" s="51">
        <v>294555</v>
      </c>
      <c r="B6396" t="s">
        <v>3728</v>
      </c>
      <c r="C6396" s="39" t="s">
        <v>1690</v>
      </c>
      <c r="D6396" t="s">
        <v>4246</v>
      </c>
      <c r="F6396" s="56"/>
    </row>
    <row r="6397" spans="1:6" ht="15">
      <c r="A6397" s="51">
        <v>294556</v>
      </c>
      <c r="B6397" t="s">
        <v>3729</v>
      </c>
      <c r="C6397" s="39" t="s">
        <v>1690</v>
      </c>
      <c r="D6397" t="s">
        <v>4244</v>
      </c>
      <c r="F6397" s="56"/>
    </row>
    <row r="6398" spans="1:6" ht="15">
      <c r="A6398" s="51">
        <v>294557</v>
      </c>
      <c r="B6398" t="s">
        <v>3730</v>
      </c>
      <c r="C6398" s="39" t="s">
        <v>1690</v>
      </c>
      <c r="D6398" t="s">
        <v>4244</v>
      </c>
      <c r="F6398" s="56"/>
    </row>
    <row r="6399" spans="1:6" ht="15">
      <c r="A6399" s="51">
        <v>294558</v>
      </c>
      <c r="B6399" t="s">
        <v>3731</v>
      </c>
      <c r="C6399" s="39" t="s">
        <v>1690</v>
      </c>
      <c r="D6399" t="s">
        <v>4243</v>
      </c>
      <c r="F6399" s="56"/>
    </row>
    <row r="6400" spans="1:6" ht="15">
      <c r="A6400" s="51">
        <v>294559</v>
      </c>
      <c r="B6400" t="s">
        <v>250</v>
      </c>
      <c r="C6400" s="39" t="s">
        <v>1690</v>
      </c>
      <c r="D6400" t="s">
        <v>4244</v>
      </c>
      <c r="F6400" s="56"/>
    </row>
    <row r="6401" spans="1:6" ht="15">
      <c r="A6401" s="51">
        <v>294560</v>
      </c>
      <c r="B6401" t="s">
        <v>251</v>
      </c>
      <c r="C6401" s="39" t="s">
        <v>1690</v>
      </c>
      <c r="D6401">
        <v>8</v>
      </c>
      <c r="F6401" s="56"/>
    </row>
    <row r="6402" spans="1:6" ht="15">
      <c r="A6402" s="51">
        <v>294561</v>
      </c>
      <c r="B6402" t="s">
        <v>3732</v>
      </c>
      <c r="C6402" s="39" t="s">
        <v>1690</v>
      </c>
      <c r="D6402">
        <v>9</v>
      </c>
      <c r="F6402" s="56"/>
    </row>
    <row r="6403" spans="1:6" ht="15">
      <c r="A6403" s="51">
        <v>294562</v>
      </c>
      <c r="B6403" t="s">
        <v>2554</v>
      </c>
      <c r="C6403" s="39" t="s">
        <v>255</v>
      </c>
      <c r="D6403" t="s">
        <v>4247</v>
      </c>
      <c r="F6403" s="56"/>
    </row>
    <row r="6404" spans="1:6" ht="15">
      <c r="A6404" s="51">
        <v>294563</v>
      </c>
      <c r="B6404" t="s">
        <v>3733</v>
      </c>
      <c r="C6404" s="39" t="s">
        <v>274</v>
      </c>
      <c r="D6404" t="s">
        <v>4243</v>
      </c>
      <c r="F6404" s="56"/>
    </row>
    <row r="6405" spans="1:6" ht="15">
      <c r="A6405" s="51">
        <v>294564</v>
      </c>
      <c r="B6405" t="s">
        <v>263</v>
      </c>
      <c r="C6405" s="39" t="s">
        <v>274</v>
      </c>
      <c r="D6405" t="s">
        <v>4243</v>
      </c>
      <c r="F6405" s="56"/>
    </row>
    <row r="6406" spans="1:6" ht="15">
      <c r="A6406" s="51">
        <v>294565</v>
      </c>
      <c r="B6406" t="s">
        <v>1212</v>
      </c>
      <c r="C6406" s="39" t="s">
        <v>274</v>
      </c>
      <c r="D6406">
        <v>7</v>
      </c>
      <c r="F6406" s="56"/>
    </row>
    <row r="6407" spans="1:6" ht="15">
      <c r="A6407" s="51">
        <v>294566</v>
      </c>
      <c r="B6407" t="s">
        <v>3734</v>
      </c>
      <c r="C6407" s="39" t="s">
        <v>3735</v>
      </c>
      <c r="D6407">
        <v>8</v>
      </c>
      <c r="F6407" s="56"/>
    </row>
    <row r="6408" spans="1:6" ht="15">
      <c r="A6408" s="51">
        <v>294567</v>
      </c>
      <c r="B6408" t="s">
        <v>455</v>
      </c>
      <c r="C6408" s="39" t="s">
        <v>283</v>
      </c>
      <c r="D6408">
        <v>8</v>
      </c>
      <c r="F6408" s="56"/>
    </row>
    <row r="6409" spans="1:6" ht="15">
      <c r="A6409" s="51">
        <v>294570</v>
      </c>
      <c r="B6409" t="s">
        <v>87</v>
      </c>
      <c r="C6409" s="39" t="s">
        <v>88</v>
      </c>
      <c r="D6409">
        <v>8</v>
      </c>
      <c r="F6409" s="56"/>
    </row>
    <row r="6410" spans="1:6" ht="15">
      <c r="A6410" s="51">
        <v>294571</v>
      </c>
      <c r="B6410" t="s">
        <v>319</v>
      </c>
      <c r="C6410" s="39" t="s">
        <v>320</v>
      </c>
      <c r="D6410" t="s">
        <v>4243</v>
      </c>
      <c r="F6410" s="56"/>
    </row>
    <row r="6411" spans="1:6" ht="15">
      <c r="A6411" s="51">
        <v>294572</v>
      </c>
      <c r="B6411" t="s">
        <v>321</v>
      </c>
      <c r="C6411" s="39" t="s">
        <v>320</v>
      </c>
      <c r="D6411" t="s">
        <v>4243</v>
      </c>
      <c r="F6411" s="56"/>
    </row>
    <row r="6412" spans="1:6" ht="15">
      <c r="A6412" s="51">
        <v>294573</v>
      </c>
      <c r="B6412" t="s">
        <v>322</v>
      </c>
      <c r="C6412" s="39" t="s">
        <v>320</v>
      </c>
      <c r="D6412">
        <v>7</v>
      </c>
      <c r="F6412" s="56"/>
    </row>
    <row r="6413" spans="1:6" ht="15">
      <c r="A6413" s="51">
        <v>294574</v>
      </c>
      <c r="B6413" t="s">
        <v>1788</v>
      </c>
      <c r="C6413" s="39" t="s">
        <v>1352</v>
      </c>
      <c r="D6413" t="s">
        <v>469</v>
      </c>
      <c r="F6413" s="56"/>
    </row>
    <row r="6414" spans="1:6" ht="15">
      <c r="A6414" s="51">
        <v>294575</v>
      </c>
      <c r="B6414" t="s">
        <v>1789</v>
      </c>
      <c r="C6414" s="39" t="s">
        <v>1352</v>
      </c>
      <c r="D6414" t="s">
        <v>469</v>
      </c>
      <c r="F6414" s="56"/>
    </row>
    <row r="6415" spans="1:6" ht="15">
      <c r="A6415" s="51">
        <v>294576</v>
      </c>
      <c r="B6415" t="s">
        <v>3736</v>
      </c>
      <c r="C6415" s="39" t="s">
        <v>3737</v>
      </c>
      <c r="D6415" t="s">
        <v>4249</v>
      </c>
      <c r="F6415" s="56"/>
    </row>
    <row r="6416" spans="1:6" ht="15">
      <c r="A6416" s="51">
        <v>294577</v>
      </c>
      <c r="B6416" t="s">
        <v>975</v>
      </c>
      <c r="C6416" s="39" t="s">
        <v>324</v>
      </c>
      <c r="D6416" t="s">
        <v>4243</v>
      </c>
      <c r="F6416" s="56"/>
    </row>
    <row r="6417" spans="1:6" ht="15">
      <c r="A6417" s="51">
        <v>294578</v>
      </c>
      <c r="B6417" t="s">
        <v>323</v>
      </c>
      <c r="C6417" s="39" t="s">
        <v>324</v>
      </c>
      <c r="D6417">
        <v>7</v>
      </c>
      <c r="F6417" s="56"/>
    </row>
    <row r="6418" spans="1:6" ht="15">
      <c r="A6418" s="51">
        <v>294579</v>
      </c>
      <c r="B6418" t="s">
        <v>89</v>
      </c>
      <c r="C6418" s="39" t="s">
        <v>890</v>
      </c>
      <c r="D6418">
        <v>7</v>
      </c>
      <c r="F6418" s="56"/>
    </row>
    <row r="6419" spans="1:6" ht="15">
      <c r="A6419" s="51">
        <v>294580</v>
      </c>
      <c r="B6419" t="s">
        <v>2457</v>
      </c>
      <c r="C6419" s="39" t="s">
        <v>983</v>
      </c>
      <c r="D6419" t="s">
        <v>1596</v>
      </c>
      <c r="F6419" s="56"/>
    </row>
    <row r="6420" spans="1:6" ht="15">
      <c r="A6420" s="51">
        <v>294581</v>
      </c>
      <c r="B6420" t="s">
        <v>979</v>
      </c>
      <c r="C6420" s="39" t="s">
        <v>983</v>
      </c>
      <c r="D6420" t="s">
        <v>471</v>
      </c>
      <c r="F6420" s="56"/>
    </row>
    <row r="6421" spans="1:6" ht="15">
      <c r="A6421" s="51">
        <v>294582</v>
      </c>
      <c r="B6421" t="s">
        <v>980</v>
      </c>
      <c r="C6421" s="39" t="s">
        <v>983</v>
      </c>
      <c r="D6421">
        <v>7</v>
      </c>
      <c r="F6421" s="56"/>
    </row>
    <row r="6422" spans="1:6" ht="15">
      <c r="A6422" s="51">
        <v>294583</v>
      </c>
      <c r="B6422" t="s">
        <v>1233</v>
      </c>
      <c r="C6422" s="39" t="s">
        <v>92</v>
      </c>
      <c r="D6422" t="s">
        <v>4246</v>
      </c>
      <c r="F6422" s="56"/>
    </row>
    <row r="6423" spans="1:6" ht="15">
      <c r="A6423" s="51">
        <v>294584</v>
      </c>
      <c r="B6423" t="s">
        <v>1234</v>
      </c>
      <c r="C6423" s="39" t="s">
        <v>92</v>
      </c>
      <c r="D6423" t="s">
        <v>4244</v>
      </c>
      <c r="F6423" s="56"/>
    </row>
    <row r="6424" spans="1:6" ht="15">
      <c r="A6424" s="51">
        <v>294585</v>
      </c>
      <c r="B6424" t="s">
        <v>1235</v>
      </c>
      <c r="C6424" s="39" t="s">
        <v>92</v>
      </c>
      <c r="D6424" t="s">
        <v>4243</v>
      </c>
      <c r="F6424" s="56"/>
    </row>
    <row r="6425" spans="1:6" ht="15">
      <c r="A6425" s="51">
        <v>294586</v>
      </c>
      <c r="B6425" t="s">
        <v>3645</v>
      </c>
      <c r="C6425" s="39" t="s">
        <v>92</v>
      </c>
      <c r="D6425">
        <v>8</v>
      </c>
      <c r="F6425" s="56"/>
    </row>
    <row r="6426" spans="1:6" ht="15">
      <c r="A6426" s="51">
        <v>294587</v>
      </c>
      <c r="B6426" t="s">
        <v>332</v>
      </c>
      <c r="C6426" s="39" t="s">
        <v>331</v>
      </c>
      <c r="D6426" t="s">
        <v>4244</v>
      </c>
      <c r="F6426" s="56"/>
    </row>
    <row r="6427" spans="1:6" ht="15">
      <c r="A6427" s="51">
        <v>294588</v>
      </c>
      <c r="B6427" t="s">
        <v>333</v>
      </c>
      <c r="C6427" s="39" t="s">
        <v>331</v>
      </c>
      <c r="D6427">
        <v>7</v>
      </c>
      <c r="F6427" s="56"/>
    </row>
    <row r="6428" spans="1:6" ht="15">
      <c r="A6428" s="51">
        <v>294589</v>
      </c>
      <c r="B6428" t="s">
        <v>3594</v>
      </c>
      <c r="C6428" s="39" t="s">
        <v>331</v>
      </c>
      <c r="D6428">
        <v>8</v>
      </c>
      <c r="F6428" s="56"/>
    </row>
    <row r="6429" spans="1:6" ht="15">
      <c r="A6429" s="51">
        <v>294590</v>
      </c>
      <c r="B6429" t="s">
        <v>338</v>
      </c>
      <c r="C6429" s="39" t="s">
        <v>99</v>
      </c>
      <c r="D6429">
        <v>7</v>
      </c>
      <c r="F6429" s="56"/>
    </row>
    <row r="6430" spans="1:6" ht="15">
      <c r="A6430" s="51">
        <v>294591</v>
      </c>
      <c r="B6430" t="s">
        <v>100</v>
      </c>
      <c r="C6430" s="39" t="s">
        <v>104</v>
      </c>
      <c r="D6430" t="s">
        <v>4243</v>
      </c>
      <c r="F6430" s="56"/>
    </row>
    <row r="6431" spans="1:6" ht="15">
      <c r="A6431" s="51">
        <v>294592</v>
      </c>
      <c r="B6431" t="s">
        <v>103</v>
      </c>
      <c r="C6431" s="39" t="s">
        <v>106</v>
      </c>
      <c r="D6431" t="s">
        <v>4245</v>
      </c>
      <c r="F6431" s="56"/>
    </row>
    <row r="6432" spans="1:6" ht="15">
      <c r="A6432" s="51">
        <v>294593</v>
      </c>
      <c r="B6432" t="s">
        <v>109</v>
      </c>
      <c r="C6432" s="39" t="s">
        <v>108</v>
      </c>
      <c r="D6432" t="s">
        <v>4245</v>
      </c>
      <c r="F6432" s="56"/>
    </row>
    <row r="6433" spans="1:6" ht="15">
      <c r="A6433" s="51">
        <v>294594</v>
      </c>
      <c r="B6433" t="s">
        <v>1157</v>
      </c>
      <c r="C6433" s="39" t="s">
        <v>108</v>
      </c>
      <c r="D6433" t="s">
        <v>4245</v>
      </c>
      <c r="F6433" s="56"/>
    </row>
    <row r="6434" spans="1:6" ht="15">
      <c r="A6434" s="51">
        <v>294595</v>
      </c>
      <c r="B6434" t="s">
        <v>110</v>
      </c>
      <c r="C6434" s="39" t="s">
        <v>108</v>
      </c>
      <c r="D6434" t="s">
        <v>4245</v>
      </c>
      <c r="F6434" s="56"/>
    </row>
    <row r="6435" spans="1:6" ht="15">
      <c r="A6435" s="51">
        <v>294596</v>
      </c>
      <c r="B6435" t="s">
        <v>350</v>
      </c>
      <c r="C6435" s="39" t="s">
        <v>108</v>
      </c>
      <c r="D6435" t="s">
        <v>4245</v>
      </c>
      <c r="F6435" s="56"/>
    </row>
    <row r="6436" spans="1:6" ht="15">
      <c r="A6436" s="51">
        <v>294597</v>
      </c>
      <c r="B6436" t="s">
        <v>116</v>
      </c>
      <c r="C6436" s="39" t="s">
        <v>651</v>
      </c>
      <c r="D6436">
        <v>7</v>
      </c>
      <c r="F6436" s="56"/>
    </row>
    <row r="6437" spans="1:6" ht="15">
      <c r="A6437" s="51">
        <v>294598</v>
      </c>
      <c r="B6437" t="s">
        <v>1802</v>
      </c>
      <c r="C6437" s="39" t="s">
        <v>542</v>
      </c>
      <c r="D6437" t="s">
        <v>4245</v>
      </c>
      <c r="F6437" s="56"/>
    </row>
    <row r="6438" spans="1:6" ht="15">
      <c r="A6438" s="51">
        <v>294599</v>
      </c>
      <c r="B6438" t="s">
        <v>1705</v>
      </c>
      <c r="C6438" s="39" t="s">
        <v>542</v>
      </c>
      <c r="D6438" t="s">
        <v>4246</v>
      </c>
      <c r="F6438" s="56"/>
    </row>
    <row r="6439" spans="1:6" ht="15">
      <c r="A6439" s="51">
        <v>294600</v>
      </c>
      <c r="B6439" t="s">
        <v>1009</v>
      </c>
      <c r="C6439" s="39" t="s">
        <v>120</v>
      </c>
      <c r="D6439" t="s">
        <v>4245</v>
      </c>
      <c r="F6439" s="56"/>
    </row>
    <row r="6440" spans="1:6" ht="15">
      <c r="A6440" s="51">
        <v>294601</v>
      </c>
      <c r="B6440" t="s">
        <v>119</v>
      </c>
      <c r="C6440" s="39" t="s">
        <v>120</v>
      </c>
      <c r="D6440" t="s">
        <v>4246</v>
      </c>
      <c r="F6440" s="56"/>
    </row>
    <row r="6441" spans="1:6" ht="15">
      <c r="A6441" s="51">
        <v>294602</v>
      </c>
      <c r="B6441" t="s">
        <v>121</v>
      </c>
      <c r="C6441" s="39" t="s">
        <v>120</v>
      </c>
      <c r="D6441" t="s">
        <v>4244</v>
      </c>
      <c r="F6441" s="56"/>
    </row>
    <row r="6442" spans="1:6" ht="15">
      <c r="A6442" s="51">
        <v>294603</v>
      </c>
      <c r="B6442" t="s">
        <v>3738</v>
      </c>
      <c r="C6442" s="39" t="s">
        <v>781</v>
      </c>
      <c r="D6442" t="s">
        <v>4245</v>
      </c>
      <c r="F6442" s="56"/>
    </row>
    <row r="6443" spans="1:6" ht="15">
      <c r="A6443" s="51">
        <v>294604</v>
      </c>
      <c r="B6443" t="s">
        <v>3739</v>
      </c>
      <c r="C6443" s="39" t="s">
        <v>781</v>
      </c>
      <c r="D6443" t="s">
        <v>4244</v>
      </c>
      <c r="F6443" s="56"/>
    </row>
    <row r="6444" spans="1:6" ht="15">
      <c r="A6444" s="51">
        <v>294605</v>
      </c>
      <c r="B6444" t="s">
        <v>3740</v>
      </c>
      <c r="C6444" s="39" t="s">
        <v>3741</v>
      </c>
      <c r="D6444">
        <v>8</v>
      </c>
      <c r="F6444" s="56"/>
    </row>
    <row r="6445" spans="1:6" ht="15">
      <c r="A6445" s="51">
        <v>294606</v>
      </c>
      <c r="B6445" t="s">
        <v>1018</v>
      </c>
      <c r="C6445" s="39" t="s">
        <v>626</v>
      </c>
      <c r="D6445" t="s">
        <v>4243</v>
      </c>
      <c r="F6445" s="56"/>
    </row>
    <row r="6446" spans="1:6" ht="15">
      <c r="A6446" s="51">
        <v>294607</v>
      </c>
      <c r="B6446" t="s">
        <v>1019</v>
      </c>
      <c r="C6446" s="39" t="s">
        <v>626</v>
      </c>
      <c r="D6446" t="s">
        <v>4243</v>
      </c>
      <c r="F6446" s="56"/>
    </row>
    <row r="6447" spans="1:6" ht="15">
      <c r="A6447" s="51">
        <v>294608</v>
      </c>
      <c r="B6447" t="s">
        <v>1169</v>
      </c>
      <c r="C6447" s="39" t="s">
        <v>626</v>
      </c>
      <c r="D6447">
        <v>7</v>
      </c>
      <c r="F6447" s="56"/>
    </row>
    <row r="6448" spans="1:6" ht="15">
      <c r="A6448" s="51">
        <v>294609</v>
      </c>
      <c r="B6448" t="s">
        <v>3742</v>
      </c>
      <c r="C6448" s="39" t="s">
        <v>138</v>
      </c>
      <c r="D6448">
        <v>9</v>
      </c>
      <c r="F6448" s="56"/>
    </row>
    <row r="6449" spans="1:6" ht="15">
      <c r="A6449" s="51">
        <v>294610</v>
      </c>
      <c r="B6449" t="s">
        <v>2463</v>
      </c>
      <c r="C6449" s="39" t="s">
        <v>664</v>
      </c>
      <c r="D6449" t="s">
        <v>4243</v>
      </c>
      <c r="F6449" s="56"/>
    </row>
    <row r="6450" spans="1:6" ht="15">
      <c r="A6450" s="51">
        <v>294611</v>
      </c>
      <c r="B6450" t="s">
        <v>364</v>
      </c>
      <c r="C6450" s="39" t="s">
        <v>664</v>
      </c>
      <c r="D6450" t="s">
        <v>4243</v>
      </c>
      <c r="F6450" s="56"/>
    </row>
    <row r="6451" spans="1:6" ht="15">
      <c r="A6451" s="51">
        <v>294612</v>
      </c>
      <c r="B6451" t="s">
        <v>365</v>
      </c>
      <c r="C6451" s="39" t="s">
        <v>664</v>
      </c>
      <c r="D6451">
        <v>7</v>
      </c>
      <c r="F6451" s="56"/>
    </row>
    <row r="6452" spans="1:6" ht="15">
      <c r="A6452" s="51">
        <v>294613</v>
      </c>
      <c r="B6452" t="s">
        <v>372</v>
      </c>
      <c r="C6452" s="39" t="s">
        <v>896</v>
      </c>
      <c r="D6452">
        <v>8</v>
      </c>
      <c r="F6452" s="56"/>
    </row>
    <row r="6453" spans="1:6" ht="15">
      <c r="A6453" s="51">
        <v>294614</v>
      </c>
      <c r="B6453" t="s">
        <v>150</v>
      </c>
      <c r="C6453" s="39" t="s">
        <v>375</v>
      </c>
      <c r="D6453" t="s">
        <v>4243</v>
      </c>
      <c r="F6453" s="56"/>
    </row>
    <row r="6454" spans="1:6" ht="15">
      <c r="A6454" s="51">
        <v>294615</v>
      </c>
      <c r="B6454" t="s">
        <v>152</v>
      </c>
      <c r="C6454" s="39" t="s">
        <v>375</v>
      </c>
      <c r="D6454">
        <v>7</v>
      </c>
      <c r="F6454" s="56"/>
    </row>
    <row r="6455" spans="1:6" ht="15">
      <c r="A6455" s="51">
        <v>294616</v>
      </c>
      <c r="B6455" t="s">
        <v>153</v>
      </c>
      <c r="C6455" s="39" t="s">
        <v>375</v>
      </c>
      <c r="D6455">
        <v>8</v>
      </c>
      <c r="F6455" s="56"/>
    </row>
    <row r="6456" spans="1:6" ht="15">
      <c r="A6456" s="51">
        <v>294617</v>
      </c>
      <c r="B6456" t="s">
        <v>1181</v>
      </c>
      <c r="C6456" s="39" t="s">
        <v>157</v>
      </c>
      <c r="D6456" t="s">
        <v>4245</v>
      </c>
      <c r="F6456" s="56"/>
    </row>
    <row r="6457" spans="1:6" ht="15">
      <c r="A6457" s="51">
        <v>294618</v>
      </c>
      <c r="B6457" t="s">
        <v>156</v>
      </c>
      <c r="C6457" s="39" t="s">
        <v>157</v>
      </c>
      <c r="D6457" t="s">
        <v>4245</v>
      </c>
      <c r="F6457" s="56"/>
    </row>
    <row r="6458" spans="1:6" ht="15">
      <c r="A6458" s="51">
        <v>294619</v>
      </c>
      <c r="B6458" t="s">
        <v>158</v>
      </c>
      <c r="C6458" s="39" t="s">
        <v>157</v>
      </c>
      <c r="D6458" t="s">
        <v>4244</v>
      </c>
      <c r="F6458" s="56"/>
    </row>
    <row r="6459" spans="1:6" ht="15">
      <c r="A6459" s="51">
        <v>294620</v>
      </c>
      <c r="B6459" t="s">
        <v>3743</v>
      </c>
      <c r="C6459" s="39" t="s">
        <v>157</v>
      </c>
      <c r="D6459" t="s">
        <v>4244</v>
      </c>
      <c r="F6459" s="56"/>
    </row>
    <row r="6460" spans="1:6" ht="15">
      <c r="A6460" s="51">
        <v>294621</v>
      </c>
      <c r="B6460" t="s">
        <v>3744</v>
      </c>
      <c r="C6460" s="39" t="s">
        <v>157</v>
      </c>
      <c r="D6460" t="s">
        <v>4243</v>
      </c>
      <c r="F6460" s="56"/>
    </row>
    <row r="6461" spans="1:6" ht="15">
      <c r="A6461" s="51">
        <v>294622</v>
      </c>
      <c r="B6461" t="s">
        <v>3745</v>
      </c>
      <c r="C6461" s="39" t="s">
        <v>157</v>
      </c>
      <c r="D6461">
        <v>8</v>
      </c>
      <c r="F6461" s="56"/>
    </row>
    <row r="6462" spans="1:6" ht="15">
      <c r="A6462" s="51">
        <v>294623</v>
      </c>
      <c r="B6462" t="s">
        <v>379</v>
      </c>
      <c r="C6462" s="39" t="s">
        <v>380</v>
      </c>
      <c r="D6462" t="s">
        <v>4246</v>
      </c>
      <c r="F6462" s="56"/>
    </row>
    <row r="6463" spans="1:6" ht="15">
      <c r="A6463" s="51">
        <v>294624</v>
      </c>
      <c r="B6463" t="s">
        <v>381</v>
      </c>
      <c r="C6463" s="39" t="s">
        <v>380</v>
      </c>
      <c r="D6463" t="s">
        <v>4243</v>
      </c>
      <c r="F6463" s="56"/>
    </row>
    <row r="6464" spans="1:6" ht="15">
      <c r="A6464" s="51">
        <v>294625</v>
      </c>
      <c r="B6464" t="s">
        <v>1063</v>
      </c>
      <c r="C6464" s="39" t="s">
        <v>166</v>
      </c>
      <c r="D6464" t="s">
        <v>4245</v>
      </c>
      <c r="F6464" s="56"/>
    </row>
    <row r="6465" spans="1:6" ht="15">
      <c r="A6465" s="51">
        <v>294626</v>
      </c>
      <c r="B6465" t="s">
        <v>1185</v>
      </c>
      <c r="C6465" s="39" t="s">
        <v>166</v>
      </c>
      <c r="D6465" t="s">
        <v>4244</v>
      </c>
      <c r="F6465" s="56"/>
    </row>
    <row r="6466" spans="1:6" ht="15">
      <c r="A6466" s="51">
        <v>294627</v>
      </c>
      <c r="B6466" t="s">
        <v>1223</v>
      </c>
      <c r="C6466" s="39" t="s">
        <v>166</v>
      </c>
      <c r="D6466" t="s">
        <v>4243</v>
      </c>
      <c r="F6466" s="56"/>
    </row>
    <row r="6467" spans="1:6" ht="15">
      <c r="A6467" s="51">
        <v>294628</v>
      </c>
      <c r="B6467" t="s">
        <v>179</v>
      </c>
      <c r="C6467" s="39" t="s">
        <v>390</v>
      </c>
      <c r="D6467" t="s">
        <v>4247</v>
      </c>
      <c r="F6467" s="56"/>
    </row>
    <row r="6468" spans="1:6" ht="15">
      <c r="A6468" s="51">
        <v>294629</v>
      </c>
      <c r="B6468" t="s">
        <v>391</v>
      </c>
      <c r="C6468" s="39" t="s">
        <v>390</v>
      </c>
      <c r="D6468" t="s">
        <v>4243</v>
      </c>
      <c r="F6468" s="56"/>
    </row>
    <row r="6469" spans="1:6" ht="15">
      <c r="A6469" s="51">
        <v>294630</v>
      </c>
      <c r="B6469" t="s">
        <v>392</v>
      </c>
      <c r="C6469" s="39" t="s">
        <v>390</v>
      </c>
      <c r="D6469">
        <v>7</v>
      </c>
      <c r="F6469" s="56"/>
    </row>
    <row r="6470" spans="1:6" ht="15">
      <c r="A6470" s="51">
        <v>294631</v>
      </c>
      <c r="B6470" t="s">
        <v>3746</v>
      </c>
      <c r="C6470" s="39" t="s">
        <v>180</v>
      </c>
      <c r="D6470">
        <v>8</v>
      </c>
      <c r="F6470" s="56"/>
    </row>
    <row r="6471" spans="1:6" ht="15">
      <c r="A6471" s="51">
        <v>294632</v>
      </c>
      <c r="B6471" t="s">
        <v>3747</v>
      </c>
      <c r="C6471" s="39" t="s">
        <v>180</v>
      </c>
      <c r="D6471">
        <v>9</v>
      </c>
      <c r="F6471" s="56"/>
    </row>
    <row r="6472" spans="1:6" ht="15">
      <c r="A6472" s="51">
        <v>294633</v>
      </c>
      <c r="B6472" t="s">
        <v>393</v>
      </c>
      <c r="C6472" s="39" t="s">
        <v>394</v>
      </c>
      <c r="D6472">
        <v>7</v>
      </c>
      <c r="F6472" s="56"/>
    </row>
    <row r="6473" spans="1:6" ht="15">
      <c r="A6473" s="51">
        <v>294634</v>
      </c>
      <c r="B6473" t="s">
        <v>403</v>
      </c>
      <c r="C6473" s="39" t="s">
        <v>192</v>
      </c>
      <c r="D6473" t="s">
        <v>4247</v>
      </c>
      <c r="F6473" s="56"/>
    </row>
    <row r="6474" spans="1:6" ht="15">
      <c r="A6474" s="51">
        <v>294635</v>
      </c>
      <c r="B6474" t="s">
        <v>1668</v>
      </c>
      <c r="C6474" s="39" t="s">
        <v>192</v>
      </c>
      <c r="D6474" t="s">
        <v>4243</v>
      </c>
      <c r="F6474" s="56"/>
    </row>
    <row r="6475" spans="1:6" ht="15">
      <c r="A6475" s="51">
        <v>294636</v>
      </c>
      <c r="B6475" t="s">
        <v>3679</v>
      </c>
      <c r="C6475" s="39" t="s">
        <v>192</v>
      </c>
      <c r="D6475">
        <v>7</v>
      </c>
      <c r="F6475" s="56"/>
    </row>
    <row r="6476" spans="1:6" ht="15">
      <c r="A6476" s="51">
        <v>294637</v>
      </c>
      <c r="B6476" t="s">
        <v>3748</v>
      </c>
      <c r="C6476" s="39" t="s">
        <v>3749</v>
      </c>
      <c r="D6476">
        <v>9</v>
      </c>
      <c r="F6476" s="56"/>
    </row>
    <row r="6477" spans="1:6" ht="15">
      <c r="A6477" s="51">
        <v>294638</v>
      </c>
      <c r="B6477" t="s">
        <v>1079</v>
      </c>
      <c r="C6477" s="39" t="s">
        <v>1080</v>
      </c>
      <c r="D6477" t="s">
        <v>4244</v>
      </c>
      <c r="F6477" s="56"/>
    </row>
    <row r="6478" spans="1:6" ht="15">
      <c r="A6478" s="51">
        <v>294639</v>
      </c>
      <c r="B6478" t="s">
        <v>1081</v>
      </c>
      <c r="C6478" s="39" t="s">
        <v>1080</v>
      </c>
      <c r="D6478" t="s">
        <v>4244</v>
      </c>
      <c r="F6478" s="56"/>
    </row>
    <row r="6479" spans="1:6" ht="15">
      <c r="A6479" s="51">
        <v>294640</v>
      </c>
      <c r="B6479" t="s">
        <v>223</v>
      </c>
      <c r="C6479" s="39" t="s">
        <v>224</v>
      </c>
      <c r="D6479" t="s">
        <v>4243</v>
      </c>
      <c r="F6479" s="56"/>
    </row>
    <row r="6480" spans="1:6" ht="15">
      <c r="A6480" s="51">
        <v>294641</v>
      </c>
      <c r="B6480" t="s">
        <v>1470</v>
      </c>
      <c r="C6480" s="39" t="s">
        <v>889</v>
      </c>
      <c r="D6480" t="s">
        <v>4245</v>
      </c>
      <c r="F6480" s="56"/>
    </row>
    <row r="6481" spans="1:6" ht="15">
      <c r="A6481" s="51">
        <v>294642</v>
      </c>
      <c r="B6481" t="s">
        <v>227</v>
      </c>
      <c r="C6481" s="39" t="s">
        <v>228</v>
      </c>
      <c r="D6481">
        <v>9</v>
      </c>
      <c r="F6481" s="56"/>
    </row>
    <row r="6482" spans="1:6" ht="15">
      <c r="A6482" s="51">
        <v>294643</v>
      </c>
      <c r="B6482" t="s">
        <v>1199</v>
      </c>
      <c r="C6482" s="39" t="s">
        <v>233</v>
      </c>
      <c r="D6482" t="s">
        <v>4244</v>
      </c>
      <c r="F6482" s="56"/>
    </row>
    <row r="6483" spans="1:6" ht="15">
      <c r="A6483" s="51">
        <v>294644</v>
      </c>
      <c r="B6483" t="s">
        <v>1200</v>
      </c>
      <c r="C6483" s="39" t="s">
        <v>235</v>
      </c>
      <c r="D6483" t="s">
        <v>4244</v>
      </c>
      <c r="F6483" s="56"/>
    </row>
    <row r="6484" spans="1:6" ht="15">
      <c r="A6484" s="51">
        <v>294645</v>
      </c>
      <c r="B6484" t="s">
        <v>3750</v>
      </c>
      <c r="C6484" s="39" t="s">
        <v>235</v>
      </c>
      <c r="D6484" t="s">
        <v>4244</v>
      </c>
      <c r="F6484" s="56"/>
    </row>
    <row r="6485" spans="1:6" ht="15">
      <c r="A6485" s="51">
        <v>294646</v>
      </c>
      <c r="B6485" t="s">
        <v>3487</v>
      </c>
      <c r="C6485" s="39" t="s">
        <v>507</v>
      </c>
      <c r="D6485">
        <v>9</v>
      </c>
      <c r="F6485" s="56"/>
    </row>
    <row r="6486" spans="1:6" ht="15">
      <c r="A6486" s="51">
        <v>294647</v>
      </c>
      <c r="B6486" t="s">
        <v>3751</v>
      </c>
      <c r="C6486" s="39" t="s">
        <v>1114</v>
      </c>
      <c r="D6486" t="s">
        <v>4244</v>
      </c>
      <c r="F6486" s="56"/>
    </row>
    <row r="6487" spans="1:6" ht="15">
      <c r="A6487" s="51">
        <v>294648</v>
      </c>
      <c r="B6487" t="s">
        <v>3752</v>
      </c>
      <c r="C6487" s="39" t="s">
        <v>1114</v>
      </c>
      <c r="D6487">
        <v>7</v>
      </c>
      <c r="F6487" s="56"/>
    </row>
    <row r="6488" spans="1:6" ht="15">
      <c r="A6488" s="51">
        <v>294649</v>
      </c>
      <c r="B6488" t="s">
        <v>3753</v>
      </c>
      <c r="C6488" s="39" t="s">
        <v>1114</v>
      </c>
      <c r="D6488">
        <v>8</v>
      </c>
      <c r="F6488" s="56"/>
    </row>
    <row r="6489" spans="1:6" ht="15">
      <c r="A6489" s="51">
        <v>294650</v>
      </c>
      <c r="B6489" t="s">
        <v>2505</v>
      </c>
      <c r="C6489" s="39" t="s">
        <v>1114</v>
      </c>
      <c r="D6489">
        <v>7</v>
      </c>
      <c r="F6489" s="56"/>
    </row>
    <row r="6490" spans="1:6" ht="15">
      <c r="A6490" s="51">
        <v>294651</v>
      </c>
      <c r="B6490" t="s">
        <v>2506</v>
      </c>
      <c r="C6490" s="39" t="s">
        <v>1114</v>
      </c>
      <c r="D6490">
        <v>8</v>
      </c>
      <c r="F6490" s="56"/>
    </row>
    <row r="6491" spans="1:6" ht="15">
      <c r="A6491" s="51">
        <v>294652</v>
      </c>
      <c r="B6491" t="s">
        <v>3754</v>
      </c>
      <c r="C6491" s="39" t="s">
        <v>603</v>
      </c>
      <c r="D6491" t="s">
        <v>4243</v>
      </c>
      <c r="F6491" s="56"/>
    </row>
    <row r="6492" spans="1:6" ht="15">
      <c r="A6492" s="51">
        <v>294653</v>
      </c>
      <c r="B6492" t="s">
        <v>3755</v>
      </c>
      <c r="C6492" s="39" t="s">
        <v>603</v>
      </c>
      <c r="D6492">
        <v>7</v>
      </c>
      <c r="F6492" s="56"/>
    </row>
    <row r="6493" spans="1:6" ht="15">
      <c r="A6493" s="51">
        <v>294654</v>
      </c>
      <c r="B6493" t="s">
        <v>3756</v>
      </c>
      <c r="C6493" s="39" t="s">
        <v>603</v>
      </c>
      <c r="D6493">
        <v>8</v>
      </c>
      <c r="F6493" s="56"/>
    </row>
    <row r="6494" spans="1:6" ht="15">
      <c r="A6494" s="51">
        <v>294655</v>
      </c>
      <c r="B6494" t="s">
        <v>432</v>
      </c>
      <c r="C6494" s="39" t="s">
        <v>433</v>
      </c>
      <c r="D6494" t="s">
        <v>4245</v>
      </c>
      <c r="F6494" s="56"/>
    </row>
    <row r="6495" spans="1:6" ht="15">
      <c r="A6495" s="51">
        <v>294656</v>
      </c>
      <c r="B6495" t="s">
        <v>438</v>
      </c>
      <c r="C6495" s="39" t="s">
        <v>884</v>
      </c>
      <c r="D6495">
        <v>7</v>
      </c>
      <c r="F6495" s="56"/>
    </row>
    <row r="6496" spans="1:6" ht="15">
      <c r="A6496" s="51">
        <v>294657</v>
      </c>
      <c r="B6496" t="s">
        <v>2082</v>
      </c>
      <c r="C6496" s="39" t="s">
        <v>884</v>
      </c>
      <c r="D6496">
        <v>8</v>
      </c>
      <c r="F6496" s="56"/>
    </row>
    <row r="6497" spans="1:6" ht="15">
      <c r="A6497" s="51">
        <v>294658</v>
      </c>
      <c r="B6497" t="s">
        <v>2508</v>
      </c>
      <c r="C6497" s="39" t="s">
        <v>258</v>
      </c>
      <c r="D6497">
        <v>9</v>
      </c>
      <c r="F6497" s="56"/>
    </row>
    <row r="6498" spans="1:6" ht="15">
      <c r="A6498" s="51">
        <v>294659</v>
      </c>
      <c r="B6498" t="s">
        <v>265</v>
      </c>
      <c r="C6498" s="39" t="s">
        <v>264</v>
      </c>
      <c r="D6498" t="s">
        <v>4245</v>
      </c>
      <c r="F6498" s="56"/>
    </row>
    <row r="6499" spans="1:6" ht="15">
      <c r="A6499" s="51">
        <v>294660</v>
      </c>
      <c r="B6499" t="s">
        <v>72</v>
      </c>
      <c r="C6499" s="39" t="s">
        <v>264</v>
      </c>
      <c r="D6499" t="s">
        <v>4244</v>
      </c>
      <c r="F6499" s="56"/>
    </row>
    <row r="6500" spans="1:6" ht="15">
      <c r="A6500" s="51">
        <v>294661</v>
      </c>
      <c r="B6500" t="s">
        <v>266</v>
      </c>
      <c r="C6500" s="39" t="s">
        <v>264</v>
      </c>
      <c r="D6500" t="s">
        <v>4243</v>
      </c>
      <c r="F6500" s="56"/>
    </row>
    <row r="6501" spans="1:6" ht="15">
      <c r="A6501" s="51">
        <v>294662</v>
      </c>
      <c r="B6501" t="s">
        <v>3757</v>
      </c>
      <c r="C6501" s="39" t="s">
        <v>264</v>
      </c>
      <c r="D6501">
        <v>8</v>
      </c>
      <c r="F6501" s="56"/>
    </row>
    <row r="6502" spans="1:6" ht="15">
      <c r="A6502" s="51">
        <v>294663</v>
      </c>
      <c r="B6502" t="s">
        <v>3758</v>
      </c>
      <c r="C6502" s="39" t="s">
        <v>1603</v>
      </c>
      <c r="D6502">
        <v>9</v>
      </c>
      <c r="F6502" s="56"/>
    </row>
    <row r="6503" spans="1:6" ht="15">
      <c r="A6503" s="51">
        <v>294664</v>
      </c>
      <c r="B6503" t="s">
        <v>273</v>
      </c>
      <c r="C6503" s="39" t="s">
        <v>274</v>
      </c>
      <c r="D6503" t="s">
        <v>4243</v>
      </c>
      <c r="F6503" s="56"/>
    </row>
    <row r="6504" spans="1:6" ht="15">
      <c r="A6504" s="51">
        <v>294665</v>
      </c>
      <c r="B6504" t="s">
        <v>74</v>
      </c>
      <c r="C6504" s="39" t="s">
        <v>274</v>
      </c>
      <c r="D6504" t="s">
        <v>4243</v>
      </c>
      <c r="F6504" s="56"/>
    </row>
    <row r="6505" spans="1:6" ht="15">
      <c r="A6505" s="51">
        <v>294666</v>
      </c>
      <c r="B6505" t="s">
        <v>75</v>
      </c>
      <c r="C6505" s="39" t="s">
        <v>274</v>
      </c>
      <c r="D6505">
        <v>7</v>
      </c>
      <c r="F6505" s="56"/>
    </row>
    <row r="6506" spans="1:6" ht="15">
      <c r="A6506" s="51">
        <v>294667</v>
      </c>
      <c r="B6506" t="s">
        <v>886</v>
      </c>
      <c r="C6506" s="39" t="s">
        <v>274</v>
      </c>
      <c r="D6506">
        <v>8</v>
      </c>
      <c r="F6506" s="56"/>
    </row>
    <row r="6507" spans="1:6" ht="15">
      <c r="A6507" s="51">
        <v>294670</v>
      </c>
      <c r="B6507" t="s">
        <v>2510</v>
      </c>
      <c r="C6507" s="39" t="s">
        <v>2907</v>
      </c>
      <c r="D6507">
        <v>8</v>
      </c>
      <c r="F6507" s="56"/>
    </row>
    <row r="6508" spans="1:6" ht="15">
      <c r="A6508" s="51">
        <v>294671</v>
      </c>
      <c r="B6508" t="s">
        <v>1213</v>
      </c>
      <c r="C6508" s="39" t="s">
        <v>283</v>
      </c>
      <c r="D6508">
        <v>8</v>
      </c>
      <c r="F6508" s="56"/>
    </row>
    <row r="6509" spans="1:6" ht="15">
      <c r="A6509" s="51">
        <v>294672</v>
      </c>
      <c r="B6509" t="s">
        <v>968</v>
      </c>
      <c r="C6509" s="39" t="s">
        <v>88</v>
      </c>
      <c r="D6509">
        <v>8</v>
      </c>
      <c r="F6509" s="56"/>
    </row>
    <row r="6510" spans="1:6" ht="15">
      <c r="A6510" s="51">
        <v>294673</v>
      </c>
      <c r="B6510" t="s">
        <v>87</v>
      </c>
      <c r="C6510" s="39" t="s">
        <v>88</v>
      </c>
      <c r="D6510">
        <v>8</v>
      </c>
      <c r="F6510" s="56"/>
    </row>
    <row r="6511" spans="1:6" ht="15">
      <c r="A6511" s="51">
        <v>294674</v>
      </c>
      <c r="B6511" t="s">
        <v>969</v>
      </c>
      <c r="C6511" s="39" t="s">
        <v>835</v>
      </c>
      <c r="D6511">
        <v>9</v>
      </c>
      <c r="F6511" s="56"/>
    </row>
    <row r="6512" spans="1:6" ht="15">
      <c r="A6512" s="51">
        <v>294675</v>
      </c>
      <c r="B6512" t="s">
        <v>319</v>
      </c>
      <c r="C6512" s="39" t="s">
        <v>320</v>
      </c>
      <c r="D6512" t="s">
        <v>4243</v>
      </c>
      <c r="F6512" s="56"/>
    </row>
    <row r="6513" spans="1:6" ht="15">
      <c r="A6513" s="51">
        <v>294676</v>
      </c>
      <c r="B6513" t="s">
        <v>321</v>
      </c>
      <c r="C6513" s="39" t="s">
        <v>320</v>
      </c>
      <c r="D6513" t="s">
        <v>4243</v>
      </c>
      <c r="F6513" s="56"/>
    </row>
    <row r="6514" spans="1:6" ht="15">
      <c r="A6514" s="51">
        <v>294677</v>
      </c>
      <c r="B6514" t="s">
        <v>1786</v>
      </c>
      <c r="C6514" s="39" t="s">
        <v>1352</v>
      </c>
      <c r="D6514" t="s">
        <v>469</v>
      </c>
      <c r="F6514" s="56"/>
    </row>
    <row r="6515" spans="1:6" ht="15">
      <c r="A6515" s="51">
        <v>294678</v>
      </c>
      <c r="B6515" t="s">
        <v>1787</v>
      </c>
      <c r="C6515" s="39" t="s">
        <v>1352</v>
      </c>
      <c r="D6515" t="s">
        <v>469</v>
      </c>
      <c r="F6515" s="56"/>
    </row>
    <row r="6516" spans="1:6" ht="15">
      <c r="A6516" s="51">
        <v>294679</v>
      </c>
      <c r="B6516" t="s">
        <v>1788</v>
      </c>
      <c r="C6516" s="39" t="s">
        <v>1352</v>
      </c>
      <c r="D6516" t="s">
        <v>469</v>
      </c>
      <c r="F6516" s="56"/>
    </row>
    <row r="6517" spans="1:6" ht="15">
      <c r="A6517" s="51">
        <v>294680</v>
      </c>
      <c r="B6517" t="s">
        <v>1789</v>
      </c>
      <c r="C6517" s="39" t="s">
        <v>1352</v>
      </c>
      <c r="D6517" t="s">
        <v>469</v>
      </c>
      <c r="F6517" s="56"/>
    </row>
    <row r="6518" spans="1:6" ht="15">
      <c r="A6518" s="51">
        <v>294681</v>
      </c>
      <c r="B6518" t="s">
        <v>975</v>
      </c>
      <c r="C6518" s="39" t="s">
        <v>536</v>
      </c>
      <c r="D6518" t="s">
        <v>4246</v>
      </c>
      <c r="F6518" s="56"/>
    </row>
    <row r="6519" spans="1:6" ht="15">
      <c r="A6519" s="51">
        <v>294682</v>
      </c>
      <c r="B6519" t="s">
        <v>323</v>
      </c>
      <c r="C6519" s="39" t="s">
        <v>536</v>
      </c>
      <c r="D6519" t="s">
        <v>4247</v>
      </c>
      <c r="F6519" s="56"/>
    </row>
    <row r="6520" spans="1:6" ht="15">
      <c r="A6520" s="51">
        <v>294683</v>
      </c>
      <c r="B6520" t="s">
        <v>836</v>
      </c>
      <c r="C6520" s="39" t="s">
        <v>536</v>
      </c>
      <c r="D6520" t="s">
        <v>4243</v>
      </c>
      <c r="F6520" s="56"/>
    </row>
    <row r="6521" spans="1:6" ht="15">
      <c r="A6521" s="51">
        <v>294684</v>
      </c>
      <c r="B6521" t="s">
        <v>980</v>
      </c>
      <c r="C6521" s="39" t="s">
        <v>324</v>
      </c>
      <c r="D6521">
        <v>8</v>
      </c>
      <c r="F6521" s="56"/>
    </row>
    <row r="6522" spans="1:6" ht="15">
      <c r="A6522" s="51">
        <v>294685</v>
      </c>
      <c r="B6522" t="s">
        <v>982</v>
      </c>
      <c r="C6522" s="39" t="s">
        <v>983</v>
      </c>
      <c r="D6522" t="s">
        <v>1596</v>
      </c>
      <c r="F6522" s="56"/>
    </row>
    <row r="6523" spans="1:6" ht="15">
      <c r="A6523" s="51">
        <v>294686</v>
      </c>
      <c r="B6523" t="s">
        <v>984</v>
      </c>
      <c r="C6523" s="39" t="s">
        <v>983</v>
      </c>
      <c r="D6523" t="s">
        <v>471</v>
      </c>
      <c r="F6523" s="56"/>
    </row>
    <row r="6524" spans="1:6" ht="15">
      <c r="A6524" s="51">
        <v>294687</v>
      </c>
      <c r="B6524" t="s">
        <v>2517</v>
      </c>
      <c r="C6524" s="39" t="s">
        <v>983</v>
      </c>
      <c r="D6524">
        <v>7</v>
      </c>
      <c r="F6524" s="56"/>
    </row>
    <row r="6525" spans="1:6" ht="15">
      <c r="A6525" s="51">
        <v>294688</v>
      </c>
      <c r="B6525" t="s">
        <v>992</v>
      </c>
      <c r="C6525" s="39" t="s">
        <v>990</v>
      </c>
      <c r="D6525">
        <v>9</v>
      </c>
      <c r="F6525" s="56"/>
    </row>
    <row r="6526" spans="1:6" ht="15">
      <c r="A6526" s="51">
        <v>294690</v>
      </c>
      <c r="B6526" t="s">
        <v>338</v>
      </c>
      <c r="C6526" s="39" t="s">
        <v>99</v>
      </c>
      <c r="D6526">
        <v>7</v>
      </c>
      <c r="F6526" s="56"/>
    </row>
    <row r="6527" spans="1:6" ht="15">
      <c r="A6527" s="51">
        <v>294691</v>
      </c>
      <c r="B6527" t="s">
        <v>340</v>
      </c>
      <c r="C6527" s="39" t="s">
        <v>999</v>
      </c>
      <c r="D6527" t="s">
        <v>468</v>
      </c>
      <c r="F6527" s="56"/>
    </row>
    <row r="6528" spans="1:6" ht="15">
      <c r="A6528" s="51">
        <v>294692</v>
      </c>
      <c r="B6528" t="s">
        <v>3759</v>
      </c>
      <c r="C6528" s="39" t="s">
        <v>999</v>
      </c>
      <c r="D6528" t="s">
        <v>468</v>
      </c>
      <c r="F6528" s="56"/>
    </row>
    <row r="6529" spans="1:6" ht="15">
      <c r="A6529" s="51">
        <v>294693</v>
      </c>
      <c r="B6529" t="s">
        <v>1000</v>
      </c>
      <c r="C6529" s="39" t="s">
        <v>999</v>
      </c>
      <c r="D6529" t="s">
        <v>469</v>
      </c>
      <c r="F6529" s="56"/>
    </row>
    <row r="6530" spans="1:6" ht="15">
      <c r="A6530" s="51">
        <v>294694</v>
      </c>
      <c r="B6530" t="s">
        <v>1001</v>
      </c>
      <c r="C6530" s="39" t="s">
        <v>999</v>
      </c>
      <c r="D6530" t="s">
        <v>471</v>
      </c>
      <c r="F6530" s="56"/>
    </row>
    <row r="6531" spans="1:6" ht="15">
      <c r="A6531" s="51">
        <v>294695</v>
      </c>
      <c r="B6531" t="s">
        <v>113</v>
      </c>
      <c r="C6531" s="39" t="s">
        <v>999</v>
      </c>
      <c r="D6531" t="s">
        <v>471</v>
      </c>
      <c r="F6531" s="56"/>
    </row>
    <row r="6532" spans="1:6" ht="15">
      <c r="A6532" s="51">
        <v>294696</v>
      </c>
      <c r="B6532" t="s">
        <v>844</v>
      </c>
      <c r="C6532" s="39" t="s">
        <v>999</v>
      </c>
      <c r="D6532">
        <v>8</v>
      </c>
      <c r="F6532" s="56"/>
    </row>
    <row r="6533" spans="1:6" ht="15">
      <c r="A6533" s="51">
        <v>294698</v>
      </c>
      <c r="B6533" t="s">
        <v>1242</v>
      </c>
      <c r="C6533" s="39" t="s">
        <v>346</v>
      </c>
      <c r="D6533" t="s">
        <v>4246</v>
      </c>
      <c r="F6533" s="56"/>
    </row>
    <row r="6534" spans="1:6" ht="15">
      <c r="A6534" s="51">
        <v>294699</v>
      </c>
      <c r="B6534" t="s">
        <v>344</v>
      </c>
      <c r="C6534" s="39" t="s">
        <v>346</v>
      </c>
      <c r="D6534" t="s">
        <v>4246</v>
      </c>
      <c r="F6534" s="56"/>
    </row>
    <row r="6535" spans="1:6" ht="15">
      <c r="A6535" s="51">
        <v>294700</v>
      </c>
      <c r="B6535" t="s">
        <v>345</v>
      </c>
      <c r="C6535" s="39" t="s">
        <v>542</v>
      </c>
      <c r="D6535" t="s">
        <v>4245</v>
      </c>
      <c r="F6535" s="56"/>
    </row>
    <row r="6536" spans="1:6" ht="15">
      <c r="A6536" s="51">
        <v>294701</v>
      </c>
      <c r="B6536" t="s">
        <v>347</v>
      </c>
      <c r="C6536" s="39" t="s">
        <v>542</v>
      </c>
      <c r="D6536" t="s">
        <v>4246</v>
      </c>
      <c r="F6536" s="56"/>
    </row>
    <row r="6537" spans="1:6" ht="15">
      <c r="A6537" s="51">
        <v>294697</v>
      </c>
      <c r="B6537" t="s">
        <v>1371</v>
      </c>
      <c r="C6537" s="39" t="s">
        <v>542</v>
      </c>
      <c r="D6537" t="s">
        <v>4247</v>
      </c>
      <c r="F6537" s="56"/>
    </row>
    <row r="6538" spans="1:6" ht="15">
      <c r="A6538" s="51">
        <v>294702</v>
      </c>
      <c r="B6538" t="s">
        <v>348</v>
      </c>
      <c r="C6538" s="39" t="s">
        <v>542</v>
      </c>
      <c r="D6538" t="s">
        <v>4246</v>
      </c>
      <c r="F6538" s="56"/>
    </row>
    <row r="6539" spans="1:6" ht="15">
      <c r="A6539" s="51">
        <v>294703</v>
      </c>
      <c r="B6539" t="s">
        <v>350</v>
      </c>
      <c r="C6539" s="39" t="s">
        <v>542</v>
      </c>
      <c r="D6539" t="s">
        <v>4247</v>
      </c>
      <c r="F6539" s="56"/>
    </row>
    <row r="6540" spans="1:6" ht="15">
      <c r="A6540" s="51">
        <v>294704</v>
      </c>
      <c r="B6540" t="s">
        <v>1009</v>
      </c>
      <c r="C6540" s="39" t="s">
        <v>120</v>
      </c>
      <c r="D6540" t="s">
        <v>4245</v>
      </c>
      <c r="F6540" s="56"/>
    </row>
    <row r="6541" spans="1:6" ht="15">
      <c r="A6541" s="51">
        <v>294705</v>
      </c>
      <c r="B6541" t="s">
        <v>119</v>
      </c>
      <c r="C6541" s="39" t="s">
        <v>120</v>
      </c>
      <c r="D6541" t="s">
        <v>4246</v>
      </c>
      <c r="F6541" s="56"/>
    </row>
    <row r="6542" spans="1:6" ht="15">
      <c r="A6542" s="51">
        <v>294706</v>
      </c>
      <c r="B6542" t="s">
        <v>2611</v>
      </c>
      <c r="C6542" s="39" t="s">
        <v>355</v>
      </c>
      <c r="D6542" t="s">
        <v>4247</v>
      </c>
      <c r="F6542" s="56"/>
    </row>
    <row r="6543" spans="1:6" ht="15">
      <c r="A6543" s="51">
        <v>294708</v>
      </c>
      <c r="B6543" t="s">
        <v>1165</v>
      </c>
      <c r="C6543" s="39" t="s">
        <v>914</v>
      </c>
      <c r="D6543" t="s">
        <v>4244</v>
      </c>
      <c r="F6543" s="56"/>
    </row>
    <row r="6544" spans="1:6" ht="15">
      <c r="A6544" s="51">
        <v>294709</v>
      </c>
      <c r="B6544" t="s">
        <v>1810</v>
      </c>
      <c r="C6544" s="39" t="s">
        <v>3760</v>
      </c>
      <c r="D6544" t="s">
        <v>4244</v>
      </c>
      <c r="F6544" s="56"/>
    </row>
    <row r="6545" spans="1:6" ht="15">
      <c r="A6545" s="51">
        <v>294710</v>
      </c>
      <c r="B6545" t="s">
        <v>1010</v>
      </c>
      <c r="C6545" s="39" t="s">
        <v>781</v>
      </c>
      <c r="D6545" t="s">
        <v>4245</v>
      </c>
      <c r="F6545" s="56"/>
    </row>
    <row r="6546" spans="1:6" ht="15">
      <c r="A6546" s="51">
        <v>294711</v>
      </c>
      <c r="B6546" t="s">
        <v>1011</v>
      </c>
      <c r="C6546" s="39" t="s">
        <v>781</v>
      </c>
      <c r="D6546" t="s">
        <v>4244</v>
      </c>
      <c r="F6546" s="56"/>
    </row>
    <row r="6547" spans="1:6" ht="15">
      <c r="A6547" s="51">
        <v>294712</v>
      </c>
      <c r="B6547" t="s">
        <v>1721</v>
      </c>
      <c r="C6547" s="39" t="s">
        <v>781</v>
      </c>
      <c r="D6547" t="s">
        <v>4243</v>
      </c>
      <c r="F6547" s="56"/>
    </row>
    <row r="6548" spans="1:6" ht="15">
      <c r="A6548" s="51">
        <v>294713</v>
      </c>
      <c r="B6548" t="s">
        <v>1722</v>
      </c>
      <c r="C6548" s="39" t="s">
        <v>781</v>
      </c>
      <c r="D6548" t="s">
        <v>4246</v>
      </c>
      <c r="F6548" s="56"/>
    </row>
    <row r="6549" spans="1:6" ht="15">
      <c r="A6549" s="51">
        <v>294714</v>
      </c>
      <c r="B6549" t="s">
        <v>129</v>
      </c>
      <c r="C6549" s="39" t="s">
        <v>130</v>
      </c>
      <c r="D6549" t="s">
        <v>4243</v>
      </c>
      <c r="F6549" s="56"/>
    </row>
    <row r="6550" spans="1:6" ht="15">
      <c r="A6550" s="51">
        <v>294715</v>
      </c>
      <c r="B6550" t="s">
        <v>1014</v>
      </c>
      <c r="C6550" s="39" t="s">
        <v>433</v>
      </c>
      <c r="D6550" t="s">
        <v>4245</v>
      </c>
      <c r="F6550" s="56"/>
    </row>
    <row r="6551" spans="1:6" ht="15">
      <c r="A6551" s="51">
        <v>294716</v>
      </c>
      <c r="B6551" t="s">
        <v>358</v>
      </c>
      <c r="C6551" s="39" t="s">
        <v>362</v>
      </c>
      <c r="D6551" t="s">
        <v>4247</v>
      </c>
      <c r="F6551" s="56"/>
    </row>
    <row r="6552" spans="1:6" ht="15">
      <c r="A6552" s="51">
        <v>294717</v>
      </c>
      <c r="B6552" t="s">
        <v>360</v>
      </c>
      <c r="C6552" s="39" t="s">
        <v>362</v>
      </c>
      <c r="D6552" t="s">
        <v>4247</v>
      </c>
      <c r="F6552" s="56"/>
    </row>
    <row r="6553" spans="1:6" ht="15">
      <c r="A6553" s="51">
        <v>294718</v>
      </c>
      <c r="B6553" t="s">
        <v>1018</v>
      </c>
      <c r="C6553" s="39" t="s">
        <v>626</v>
      </c>
      <c r="D6553" t="s">
        <v>4243</v>
      </c>
      <c r="F6553" s="56"/>
    </row>
    <row r="6554" spans="1:6" ht="15">
      <c r="A6554" s="51">
        <v>294719</v>
      </c>
      <c r="B6554" t="s">
        <v>1019</v>
      </c>
      <c r="C6554" s="39" t="s">
        <v>626</v>
      </c>
      <c r="D6554" t="s">
        <v>4243</v>
      </c>
      <c r="F6554" s="56"/>
    </row>
    <row r="6555" spans="1:6" ht="15">
      <c r="A6555" s="51">
        <v>294720</v>
      </c>
      <c r="B6555" t="s">
        <v>1020</v>
      </c>
      <c r="C6555" s="39" t="s">
        <v>626</v>
      </c>
      <c r="D6555">
        <v>7</v>
      </c>
      <c r="F6555" s="56"/>
    </row>
    <row r="6556" spans="1:6" ht="15">
      <c r="A6556" s="51">
        <v>294721</v>
      </c>
      <c r="B6556" t="s">
        <v>1021</v>
      </c>
      <c r="C6556" s="39" t="s">
        <v>626</v>
      </c>
      <c r="D6556">
        <v>7</v>
      </c>
      <c r="F6556" s="56"/>
    </row>
    <row r="6557" spans="1:6" ht="15">
      <c r="A6557" s="51">
        <v>294722</v>
      </c>
      <c r="B6557" t="s">
        <v>1402</v>
      </c>
      <c r="C6557" s="39" t="s">
        <v>140</v>
      </c>
      <c r="D6557">
        <v>7</v>
      </c>
      <c r="F6557" s="56"/>
    </row>
    <row r="6558" spans="1:6" ht="15">
      <c r="A6558" s="51">
        <v>294723</v>
      </c>
      <c r="B6558" t="s">
        <v>1025</v>
      </c>
      <c r="C6558" s="39" t="s">
        <v>1026</v>
      </c>
      <c r="D6558" t="s">
        <v>4249</v>
      </c>
      <c r="F6558" s="56"/>
    </row>
    <row r="6559" spans="1:6" ht="15">
      <c r="A6559" s="51">
        <v>294725</v>
      </c>
      <c r="B6559" t="s">
        <v>150</v>
      </c>
      <c r="C6559" s="39" t="s">
        <v>151</v>
      </c>
      <c r="D6559" t="s">
        <v>1595</v>
      </c>
      <c r="F6559" s="56"/>
    </row>
    <row r="6560" spans="1:6" ht="15">
      <c r="A6560" s="51">
        <v>294726</v>
      </c>
      <c r="B6560" t="s">
        <v>152</v>
      </c>
      <c r="C6560" s="39" t="s">
        <v>151</v>
      </c>
      <c r="D6560" t="s">
        <v>469</v>
      </c>
      <c r="F6560" s="56"/>
    </row>
    <row r="6561" spans="1:6" ht="15">
      <c r="A6561" s="51">
        <v>294727</v>
      </c>
      <c r="B6561" t="s">
        <v>153</v>
      </c>
      <c r="C6561" s="39" t="s">
        <v>151</v>
      </c>
      <c r="D6561" t="s">
        <v>471</v>
      </c>
      <c r="F6561" s="56"/>
    </row>
    <row r="6562" spans="1:6" ht="15">
      <c r="A6562" s="51">
        <v>294728</v>
      </c>
      <c r="B6562" t="s">
        <v>154</v>
      </c>
      <c r="C6562" s="39" t="s">
        <v>3761</v>
      </c>
      <c r="D6562">
        <v>9</v>
      </c>
      <c r="F6562" s="56"/>
    </row>
    <row r="6563" spans="1:6" ht="15">
      <c r="A6563" s="51">
        <v>294729</v>
      </c>
      <c r="B6563" t="s">
        <v>1038</v>
      </c>
      <c r="C6563" s="39" t="s">
        <v>157</v>
      </c>
      <c r="D6563" t="s">
        <v>4245</v>
      </c>
      <c r="F6563" s="56"/>
    </row>
    <row r="6564" spans="1:6" ht="15">
      <c r="A6564" s="51">
        <v>294730</v>
      </c>
      <c r="B6564" t="s">
        <v>1040</v>
      </c>
      <c r="C6564" s="39" t="s">
        <v>157</v>
      </c>
      <c r="D6564" t="s">
        <v>4244</v>
      </c>
      <c r="F6564" s="56"/>
    </row>
    <row r="6565" spans="1:6" ht="15">
      <c r="A6565" s="51">
        <v>294731</v>
      </c>
      <c r="B6565" t="s">
        <v>2628</v>
      </c>
      <c r="C6565" s="39" t="s">
        <v>385</v>
      </c>
      <c r="D6565">
        <v>7</v>
      </c>
      <c r="F6565" s="56"/>
    </row>
    <row r="6566" spans="1:6" ht="15">
      <c r="A6566" s="51">
        <v>294732</v>
      </c>
      <c r="B6566" t="s">
        <v>2214</v>
      </c>
      <c r="C6566" s="39" t="s">
        <v>1052</v>
      </c>
      <c r="D6566" t="s">
        <v>4243</v>
      </c>
      <c r="F6566" s="56"/>
    </row>
    <row r="6567" spans="1:6" ht="15">
      <c r="A6567" s="51">
        <v>294734</v>
      </c>
      <c r="B6567" t="s">
        <v>1054</v>
      </c>
      <c r="C6567" s="39" t="s">
        <v>955</v>
      </c>
      <c r="D6567">
        <v>7</v>
      </c>
      <c r="F6567" s="56"/>
    </row>
    <row r="6568" spans="1:6" ht="15">
      <c r="A6568" s="51">
        <v>294735</v>
      </c>
      <c r="B6568" t="s">
        <v>1055</v>
      </c>
      <c r="C6568" s="39" t="s">
        <v>924</v>
      </c>
      <c r="D6568" t="s">
        <v>4246</v>
      </c>
      <c r="F6568" s="56"/>
    </row>
    <row r="6569" spans="1:6" ht="15">
      <c r="A6569" s="51">
        <v>294736</v>
      </c>
      <c r="B6569" t="s">
        <v>1056</v>
      </c>
      <c r="C6569" s="39" t="s">
        <v>924</v>
      </c>
      <c r="D6569" t="s">
        <v>4243</v>
      </c>
      <c r="F6569" s="56"/>
    </row>
    <row r="6570" spans="1:6" ht="15">
      <c r="A6570" s="51">
        <v>294737</v>
      </c>
      <c r="B6570" t="s">
        <v>3762</v>
      </c>
      <c r="C6570" s="39" t="s">
        <v>924</v>
      </c>
      <c r="D6570" t="s">
        <v>4243</v>
      </c>
      <c r="F6570" s="56"/>
    </row>
    <row r="6571" spans="1:6" ht="15">
      <c r="A6571" s="51">
        <v>294738</v>
      </c>
      <c r="B6571" t="s">
        <v>1058</v>
      </c>
      <c r="C6571" s="39" t="s">
        <v>924</v>
      </c>
      <c r="D6571">
        <v>7</v>
      </c>
      <c r="F6571" s="56"/>
    </row>
    <row r="6572" spans="1:6" ht="15">
      <c r="A6572" s="51">
        <v>294739</v>
      </c>
      <c r="B6572" t="s">
        <v>1063</v>
      </c>
      <c r="C6572" s="39" t="s">
        <v>924</v>
      </c>
      <c r="D6572" t="s">
        <v>4247</v>
      </c>
      <c r="F6572" s="56"/>
    </row>
    <row r="6573" spans="1:6" ht="15">
      <c r="A6573" s="51">
        <v>294740</v>
      </c>
      <c r="B6573" t="s">
        <v>1185</v>
      </c>
      <c r="C6573" s="39" t="s">
        <v>924</v>
      </c>
      <c r="D6573" t="s">
        <v>4243</v>
      </c>
      <c r="F6573" s="56"/>
    </row>
    <row r="6574" spans="1:6" ht="15">
      <c r="A6574" s="51">
        <v>294741</v>
      </c>
      <c r="B6574" t="s">
        <v>1064</v>
      </c>
      <c r="C6574" s="39" t="s">
        <v>166</v>
      </c>
      <c r="D6574" t="s">
        <v>4245</v>
      </c>
      <c r="F6574" s="56"/>
    </row>
    <row r="6575" spans="1:6" ht="15">
      <c r="A6575" s="51">
        <v>294742</v>
      </c>
      <c r="B6575" t="s">
        <v>1065</v>
      </c>
      <c r="C6575" s="39" t="s">
        <v>166</v>
      </c>
      <c r="D6575" t="s">
        <v>4244</v>
      </c>
      <c r="F6575" s="56"/>
    </row>
    <row r="6576" spans="1:6" ht="15">
      <c r="A6576" s="51">
        <v>294744</v>
      </c>
      <c r="B6576" t="s">
        <v>3044</v>
      </c>
      <c r="C6576" s="39" t="s">
        <v>166</v>
      </c>
      <c r="D6576" t="s">
        <v>4243</v>
      </c>
      <c r="F6576" s="56"/>
    </row>
    <row r="6577" spans="1:6" ht="15">
      <c r="A6577" s="51">
        <v>294745</v>
      </c>
      <c r="B6577" t="s">
        <v>1066</v>
      </c>
      <c r="C6577" s="39" t="s">
        <v>177</v>
      </c>
      <c r="D6577" t="s">
        <v>1595</v>
      </c>
      <c r="F6577" s="56"/>
    </row>
    <row r="6578" spans="1:6" ht="15">
      <c r="A6578" s="51">
        <v>294746</v>
      </c>
      <c r="B6578" t="s">
        <v>1067</v>
      </c>
      <c r="C6578" s="39" t="s">
        <v>177</v>
      </c>
      <c r="D6578" t="s">
        <v>468</v>
      </c>
      <c r="F6578" s="56"/>
    </row>
    <row r="6579" spans="1:6" ht="15">
      <c r="A6579" s="51">
        <v>294747</v>
      </c>
      <c r="B6579" t="s">
        <v>182</v>
      </c>
      <c r="C6579" s="39" t="s">
        <v>183</v>
      </c>
      <c r="D6579">
        <v>7</v>
      </c>
      <c r="F6579" s="56"/>
    </row>
    <row r="6580" spans="1:6" ht="15">
      <c r="A6580" s="51">
        <v>294748</v>
      </c>
      <c r="B6580" t="s">
        <v>393</v>
      </c>
      <c r="C6580" s="39" t="s">
        <v>3763</v>
      </c>
      <c r="D6580" t="s">
        <v>4243</v>
      </c>
      <c r="F6580" s="56"/>
    </row>
    <row r="6581" spans="1:6" ht="15">
      <c r="A6581" s="51">
        <v>294749</v>
      </c>
      <c r="B6581" t="s">
        <v>1072</v>
      </c>
      <c r="C6581" s="39" t="s">
        <v>862</v>
      </c>
      <c r="D6581">
        <v>9</v>
      </c>
      <c r="F6581" s="56"/>
    </row>
    <row r="6582" spans="1:6" ht="15">
      <c r="A6582" s="51">
        <v>294750</v>
      </c>
      <c r="B6582" t="s">
        <v>1073</v>
      </c>
      <c r="C6582" s="39" t="s">
        <v>1074</v>
      </c>
      <c r="D6582" t="s">
        <v>4243</v>
      </c>
      <c r="F6582" s="56"/>
    </row>
    <row r="6583" spans="1:6" ht="15">
      <c r="A6583" s="51">
        <v>294751</v>
      </c>
      <c r="B6583" t="s">
        <v>872</v>
      </c>
      <c r="C6583" s="39" t="s">
        <v>1075</v>
      </c>
      <c r="D6583" t="s">
        <v>4243</v>
      </c>
      <c r="F6583" s="56"/>
    </row>
    <row r="6584" spans="1:6" ht="15">
      <c r="A6584" s="51">
        <v>294752</v>
      </c>
      <c r="B6584" t="s">
        <v>1838</v>
      </c>
      <c r="C6584" s="39" t="s">
        <v>561</v>
      </c>
      <c r="D6584" t="s">
        <v>4247</v>
      </c>
      <c r="F6584" s="56"/>
    </row>
    <row r="6585" spans="1:6" ht="15">
      <c r="A6585" s="51">
        <v>294753</v>
      </c>
      <c r="B6585" t="s">
        <v>1079</v>
      </c>
      <c r="C6585" s="39" t="s">
        <v>1080</v>
      </c>
      <c r="D6585" t="s">
        <v>4244</v>
      </c>
      <c r="F6585" s="56"/>
    </row>
    <row r="6586" spans="1:6" ht="15">
      <c r="A6586" s="51">
        <v>294754</v>
      </c>
      <c r="B6586" t="s">
        <v>1081</v>
      </c>
      <c r="C6586" s="39" t="s">
        <v>1080</v>
      </c>
      <c r="D6586" t="s">
        <v>4244</v>
      </c>
      <c r="F6586" s="56"/>
    </row>
    <row r="6587" spans="1:6" ht="15">
      <c r="A6587" s="51">
        <v>294755</v>
      </c>
      <c r="B6587" t="s">
        <v>1082</v>
      </c>
      <c r="C6587" s="39" t="s">
        <v>1083</v>
      </c>
      <c r="D6587" t="s">
        <v>1595</v>
      </c>
      <c r="F6587" s="56"/>
    </row>
    <row r="6588" spans="1:6" ht="15">
      <c r="A6588" s="51">
        <v>294756</v>
      </c>
      <c r="B6588" t="s">
        <v>3764</v>
      </c>
      <c r="C6588" s="39" t="s">
        <v>1083</v>
      </c>
      <c r="D6588" t="s">
        <v>469</v>
      </c>
      <c r="F6588" s="56"/>
    </row>
    <row r="6589" spans="1:6" ht="15">
      <c r="A6589" s="51">
        <v>294757</v>
      </c>
      <c r="B6589" t="s">
        <v>1085</v>
      </c>
      <c r="C6589" s="39" t="s">
        <v>1083</v>
      </c>
      <c r="D6589" t="s">
        <v>1595</v>
      </c>
      <c r="F6589" s="56"/>
    </row>
    <row r="6590" spans="1:6" ht="15">
      <c r="A6590" s="51">
        <v>294758</v>
      </c>
      <c r="B6590" t="s">
        <v>1086</v>
      </c>
      <c r="C6590" s="39" t="s">
        <v>1083</v>
      </c>
      <c r="D6590" t="s">
        <v>469</v>
      </c>
      <c r="F6590" s="56"/>
    </row>
    <row r="6591" spans="1:6" ht="15">
      <c r="A6591" s="51">
        <v>294760</v>
      </c>
      <c r="B6591" t="s">
        <v>3083</v>
      </c>
      <c r="C6591" s="39" t="s">
        <v>1083</v>
      </c>
      <c r="D6591" t="s">
        <v>471</v>
      </c>
      <c r="F6591" s="56"/>
    </row>
    <row r="6592" spans="1:6" ht="15">
      <c r="A6592" s="51">
        <v>294761</v>
      </c>
      <c r="B6592" t="s">
        <v>217</v>
      </c>
      <c r="C6592" s="39" t="s">
        <v>3765</v>
      </c>
      <c r="D6592" t="s">
        <v>1596</v>
      </c>
      <c r="F6592" s="56"/>
    </row>
    <row r="6593" spans="1:6" ht="15">
      <c r="A6593" s="51">
        <v>294762</v>
      </c>
      <c r="B6593" t="s">
        <v>1094</v>
      </c>
      <c r="C6593" s="39" t="s">
        <v>1095</v>
      </c>
      <c r="D6593" t="s">
        <v>469</v>
      </c>
      <c r="F6593" s="56"/>
    </row>
    <row r="6594" spans="1:6" ht="15">
      <c r="A6594" s="51">
        <v>294763</v>
      </c>
      <c r="B6594" t="s">
        <v>1096</v>
      </c>
      <c r="C6594" s="39" t="s">
        <v>1095</v>
      </c>
      <c r="D6594" t="s">
        <v>469</v>
      </c>
      <c r="F6594" s="56"/>
    </row>
    <row r="6595" spans="1:6" ht="15">
      <c r="A6595" s="51">
        <v>294764</v>
      </c>
      <c r="B6595" t="s">
        <v>1100</v>
      </c>
      <c r="C6595" s="39" t="s">
        <v>1098</v>
      </c>
      <c r="D6595" t="s">
        <v>1595</v>
      </c>
      <c r="F6595" s="56"/>
    </row>
    <row r="6596" spans="1:6" ht="15">
      <c r="A6596" s="51">
        <v>294765</v>
      </c>
      <c r="B6596" t="s">
        <v>1102</v>
      </c>
      <c r="C6596" s="39" t="s">
        <v>1098</v>
      </c>
      <c r="D6596" t="s">
        <v>469</v>
      </c>
      <c r="F6596" s="56"/>
    </row>
    <row r="6597" spans="1:6" ht="15">
      <c r="A6597" s="51">
        <v>294766</v>
      </c>
      <c r="B6597" t="s">
        <v>2888</v>
      </c>
      <c r="C6597" s="39" t="s">
        <v>2637</v>
      </c>
      <c r="D6597" t="s">
        <v>471</v>
      </c>
      <c r="F6597" s="56"/>
    </row>
    <row r="6598" spans="1:6" ht="15">
      <c r="A6598" s="51">
        <v>294767</v>
      </c>
      <c r="B6598" t="s">
        <v>3766</v>
      </c>
      <c r="C6598" s="39" t="s">
        <v>2637</v>
      </c>
      <c r="D6598">
        <v>8</v>
      </c>
      <c r="F6598" s="56"/>
    </row>
    <row r="6599" spans="1:6" ht="15">
      <c r="A6599" s="51">
        <v>294769</v>
      </c>
      <c r="B6599" t="s">
        <v>1111</v>
      </c>
      <c r="C6599" s="39" t="s">
        <v>1112</v>
      </c>
      <c r="D6599" t="s">
        <v>4243</v>
      </c>
      <c r="F6599" s="56"/>
    </row>
    <row r="6600" spans="1:6" ht="15">
      <c r="A6600" s="51">
        <v>294771</v>
      </c>
      <c r="B6600" t="s">
        <v>1113</v>
      </c>
      <c r="C6600" s="39" t="s">
        <v>1114</v>
      </c>
      <c r="D6600" t="s">
        <v>4246</v>
      </c>
      <c r="F6600" s="56"/>
    </row>
    <row r="6601" spans="1:6" ht="15">
      <c r="A6601" s="51">
        <v>294772</v>
      </c>
      <c r="B6601" t="s">
        <v>3767</v>
      </c>
      <c r="C6601" s="39" t="s">
        <v>1114</v>
      </c>
      <c r="D6601" t="s">
        <v>4246</v>
      </c>
      <c r="F6601" s="56"/>
    </row>
    <row r="6602" spans="1:6" ht="15">
      <c r="A6602" s="51">
        <v>294773</v>
      </c>
      <c r="B6602" t="s">
        <v>1202</v>
      </c>
      <c r="C6602" s="39" t="s">
        <v>1114</v>
      </c>
      <c r="D6602" t="s">
        <v>4246</v>
      </c>
      <c r="F6602" s="56"/>
    </row>
    <row r="6603" spans="1:6" ht="15">
      <c r="A6603" s="51">
        <v>294774</v>
      </c>
      <c r="B6603" t="s">
        <v>2505</v>
      </c>
      <c r="C6603" s="39" t="s">
        <v>1114</v>
      </c>
      <c r="D6603" t="s">
        <v>4244</v>
      </c>
      <c r="F6603" s="56"/>
    </row>
    <row r="6604" spans="1:6" ht="15">
      <c r="A6604" s="51">
        <v>294775</v>
      </c>
      <c r="B6604" t="s">
        <v>2506</v>
      </c>
      <c r="C6604" s="39" t="s">
        <v>1114</v>
      </c>
      <c r="D6604">
        <v>7</v>
      </c>
      <c r="F6604" s="56"/>
    </row>
    <row r="6605" spans="1:6" ht="15">
      <c r="A6605" s="51">
        <v>294776</v>
      </c>
      <c r="B6605" t="s">
        <v>1120</v>
      </c>
      <c r="C6605" s="39" t="s">
        <v>1121</v>
      </c>
      <c r="D6605">
        <v>8</v>
      </c>
      <c r="F6605" s="56"/>
    </row>
    <row r="6606" spans="1:6" ht="15">
      <c r="A6606" s="51">
        <v>294777</v>
      </c>
      <c r="B6606" t="s">
        <v>3768</v>
      </c>
      <c r="C6606" s="39" t="s">
        <v>428</v>
      </c>
      <c r="D6606" t="s">
        <v>4244</v>
      </c>
      <c r="F6606" s="56"/>
    </row>
    <row r="6607" spans="1:6" ht="15">
      <c r="A6607" s="51">
        <v>294778</v>
      </c>
      <c r="B6607" t="s">
        <v>3769</v>
      </c>
      <c r="C6607" s="39" t="s">
        <v>1132</v>
      </c>
      <c r="D6607">
        <v>7</v>
      </c>
      <c r="F6607" s="56"/>
    </row>
    <row r="6608" spans="1:6" ht="15">
      <c r="A6608" s="51">
        <v>294780</v>
      </c>
      <c r="B6608" t="s">
        <v>2510</v>
      </c>
      <c r="C6608" s="39" t="s">
        <v>2907</v>
      </c>
      <c r="D6608">
        <v>8</v>
      </c>
      <c r="F6608" s="56"/>
    </row>
    <row r="6609" spans="1:6" ht="15">
      <c r="A6609" s="51">
        <v>289221</v>
      </c>
      <c r="B6609" t="s">
        <v>1963</v>
      </c>
      <c r="C6609" s="39" t="s">
        <v>521</v>
      </c>
      <c r="D6609" t="s">
        <v>4248</v>
      </c>
      <c r="F6609" s="56"/>
    </row>
    <row r="6610" spans="1:6" ht="15">
      <c r="A6610" s="51">
        <v>289222</v>
      </c>
      <c r="B6610" t="s">
        <v>1964</v>
      </c>
      <c r="C6610" s="39" t="s">
        <v>521</v>
      </c>
      <c r="D6610" t="s">
        <v>4245</v>
      </c>
      <c r="F6610" s="56"/>
    </row>
    <row r="6611" spans="1:6" ht="15">
      <c r="A6611" s="51">
        <v>289223</v>
      </c>
      <c r="B6611" t="s">
        <v>1142</v>
      </c>
      <c r="C6611" s="39" t="s">
        <v>521</v>
      </c>
      <c r="D6611" t="s">
        <v>4245</v>
      </c>
      <c r="F6611" s="56"/>
    </row>
    <row r="6612" spans="1:6" ht="15">
      <c r="A6612" s="51">
        <v>289224</v>
      </c>
      <c r="B6612" t="s">
        <v>1143</v>
      </c>
      <c r="C6612" s="39" t="s">
        <v>521</v>
      </c>
      <c r="D6612" t="s">
        <v>4246</v>
      </c>
      <c r="F6612" s="56"/>
    </row>
    <row r="6613" spans="1:6" ht="15">
      <c r="A6613" s="51">
        <v>289226</v>
      </c>
      <c r="B6613" t="s">
        <v>970</v>
      </c>
      <c r="C6613" s="39" t="s">
        <v>971</v>
      </c>
      <c r="D6613" t="s">
        <v>4246</v>
      </c>
      <c r="F6613" s="56"/>
    </row>
    <row r="6614" spans="1:6" ht="15">
      <c r="A6614" s="51">
        <v>289227</v>
      </c>
      <c r="B6614" t="s">
        <v>972</v>
      </c>
      <c r="C6614" s="39" t="s">
        <v>971</v>
      </c>
      <c r="D6614" t="s">
        <v>4246</v>
      </c>
      <c r="F6614" s="56"/>
    </row>
    <row r="6615" spans="1:6" ht="15">
      <c r="A6615" s="51">
        <v>289228</v>
      </c>
      <c r="B6615" t="s">
        <v>1785</v>
      </c>
      <c r="C6615" s="39" t="s">
        <v>971</v>
      </c>
      <c r="D6615" t="s">
        <v>4244</v>
      </c>
      <c r="F6615" s="56"/>
    </row>
    <row r="6616" spans="1:6" ht="15">
      <c r="A6616" s="51">
        <v>289229</v>
      </c>
      <c r="B6616" t="s">
        <v>1786</v>
      </c>
      <c r="C6616" s="39" t="s">
        <v>320</v>
      </c>
      <c r="D6616" t="s">
        <v>4243</v>
      </c>
      <c r="F6616" s="56"/>
    </row>
    <row r="6617" spans="1:6" ht="15">
      <c r="A6617" s="51">
        <v>289230</v>
      </c>
      <c r="B6617" t="s">
        <v>323</v>
      </c>
      <c r="C6617" s="39" t="s">
        <v>536</v>
      </c>
      <c r="D6617" t="s">
        <v>4244</v>
      </c>
      <c r="F6617" s="56"/>
    </row>
    <row r="6618" spans="1:6" ht="15">
      <c r="A6618" s="51">
        <v>289231</v>
      </c>
      <c r="B6618" t="s">
        <v>1790</v>
      </c>
      <c r="C6618" s="39" t="s">
        <v>536</v>
      </c>
      <c r="D6618">
        <v>8</v>
      </c>
      <c r="F6618" s="56"/>
    </row>
    <row r="6619" spans="1:6" ht="15">
      <c r="A6619" s="51">
        <v>289232</v>
      </c>
      <c r="B6619" t="s">
        <v>1791</v>
      </c>
      <c r="C6619" s="39" t="s">
        <v>1792</v>
      </c>
      <c r="D6619">
        <v>9</v>
      </c>
      <c r="F6619" s="56"/>
    </row>
    <row r="6620" spans="1:6" ht="15">
      <c r="A6620" s="51">
        <v>289233</v>
      </c>
      <c r="B6620" t="s">
        <v>995</v>
      </c>
      <c r="C6620" s="39" t="s">
        <v>1528</v>
      </c>
      <c r="D6620" t="s">
        <v>4246</v>
      </c>
      <c r="F6620" s="56"/>
    </row>
    <row r="6621" spans="1:6" ht="15">
      <c r="A6621" s="51">
        <v>289234</v>
      </c>
      <c r="B6621" t="s">
        <v>1146</v>
      </c>
      <c r="C6621" s="39" t="s">
        <v>936</v>
      </c>
      <c r="D6621">
        <v>7</v>
      </c>
      <c r="F6621" s="56"/>
    </row>
    <row r="6622" spans="1:6" ht="15">
      <c r="A6622" s="51">
        <v>289235</v>
      </c>
      <c r="B6622" t="s">
        <v>1361</v>
      </c>
      <c r="C6622" s="39" t="s">
        <v>936</v>
      </c>
      <c r="D6622">
        <v>8</v>
      </c>
      <c r="F6622" s="56"/>
    </row>
    <row r="6623" spans="1:6" ht="15">
      <c r="A6623" s="51">
        <v>289236</v>
      </c>
      <c r="B6623" t="s">
        <v>2607</v>
      </c>
      <c r="C6623" s="39" t="s">
        <v>936</v>
      </c>
      <c r="D6623">
        <v>8</v>
      </c>
      <c r="F6623" s="56"/>
    </row>
    <row r="6624" spans="1:6" ht="15">
      <c r="A6624" s="51">
        <v>289237</v>
      </c>
      <c r="B6624" t="s">
        <v>338</v>
      </c>
      <c r="C6624" s="39" t="s">
        <v>556</v>
      </c>
      <c r="D6624" t="s">
        <v>4243</v>
      </c>
      <c r="F6624" s="56"/>
    </row>
    <row r="6625" spans="1:6" ht="15">
      <c r="A6625" s="51">
        <v>289238</v>
      </c>
      <c r="B6625" t="s">
        <v>98</v>
      </c>
      <c r="C6625" s="39" t="s">
        <v>556</v>
      </c>
      <c r="D6625" t="s">
        <v>4243</v>
      </c>
      <c r="F6625" s="56"/>
    </row>
    <row r="6626" spans="1:6" ht="15">
      <c r="A6626" s="51">
        <v>289239</v>
      </c>
      <c r="B6626" t="s">
        <v>100</v>
      </c>
      <c r="C6626" s="39" t="s">
        <v>99</v>
      </c>
      <c r="D6626">
        <v>7</v>
      </c>
      <c r="F6626" s="56"/>
    </row>
    <row r="6627" spans="1:6" ht="15">
      <c r="A6627" s="51">
        <v>289240</v>
      </c>
      <c r="B6627" t="s">
        <v>101</v>
      </c>
      <c r="C6627" s="39" t="s">
        <v>99</v>
      </c>
      <c r="D6627">
        <v>7</v>
      </c>
      <c r="F6627" s="56"/>
    </row>
    <row r="6628" spans="1:6" ht="15">
      <c r="A6628" s="51">
        <v>289241</v>
      </c>
      <c r="B6628" t="s">
        <v>103</v>
      </c>
      <c r="C6628" s="39" t="s">
        <v>99</v>
      </c>
      <c r="D6628">
        <v>7</v>
      </c>
      <c r="F6628" s="56"/>
    </row>
    <row r="6629" spans="1:6" ht="15">
      <c r="A6629" s="51">
        <v>289242</v>
      </c>
      <c r="B6629" t="s">
        <v>105</v>
      </c>
      <c r="C6629" s="39" t="s">
        <v>3770</v>
      </c>
      <c r="D6629" t="s">
        <v>4244</v>
      </c>
      <c r="F6629" s="56"/>
    </row>
    <row r="6630" spans="1:6" ht="15">
      <c r="A6630" s="51">
        <v>289243</v>
      </c>
      <c r="B6630" t="s">
        <v>107</v>
      </c>
      <c r="C6630" s="39" t="s">
        <v>3770</v>
      </c>
      <c r="D6630" t="s">
        <v>4244</v>
      </c>
      <c r="F6630" s="56"/>
    </row>
    <row r="6631" spans="1:6" ht="15">
      <c r="A6631" s="51">
        <v>289244</v>
      </c>
      <c r="B6631" t="s">
        <v>1366</v>
      </c>
      <c r="C6631" s="39" t="s">
        <v>106</v>
      </c>
      <c r="D6631" t="s">
        <v>4245</v>
      </c>
      <c r="F6631" s="56"/>
    </row>
    <row r="6632" spans="1:6" ht="15">
      <c r="A6632" s="51">
        <v>289245</v>
      </c>
      <c r="B6632" t="s">
        <v>1798</v>
      </c>
      <c r="C6632" s="39" t="s">
        <v>108</v>
      </c>
      <c r="D6632" t="s">
        <v>4245</v>
      </c>
      <c r="F6632" s="56"/>
    </row>
    <row r="6633" spans="1:6" ht="15">
      <c r="A6633" s="51">
        <v>289246</v>
      </c>
      <c r="B6633" t="s">
        <v>1242</v>
      </c>
      <c r="C6633" s="39" t="s">
        <v>108</v>
      </c>
      <c r="D6633" t="s">
        <v>4245</v>
      </c>
      <c r="F6633" s="56"/>
    </row>
    <row r="6634" spans="1:6" ht="15">
      <c r="A6634" s="51">
        <v>289247</v>
      </c>
      <c r="B6634" t="s">
        <v>344</v>
      </c>
      <c r="C6634" s="39" t="s">
        <v>108</v>
      </c>
      <c r="D6634" t="s">
        <v>4245</v>
      </c>
      <c r="F6634" s="56"/>
    </row>
    <row r="6635" spans="1:6" ht="15">
      <c r="A6635" s="51">
        <v>289248</v>
      </c>
      <c r="B6635" t="s">
        <v>1155</v>
      </c>
      <c r="C6635" s="39" t="s">
        <v>108</v>
      </c>
      <c r="D6635" t="s">
        <v>4244</v>
      </c>
      <c r="F6635" s="56"/>
    </row>
    <row r="6636" spans="1:6" ht="15">
      <c r="A6636" s="51">
        <v>289249</v>
      </c>
      <c r="B6636" t="s">
        <v>1156</v>
      </c>
      <c r="C6636" s="39" t="s">
        <v>108</v>
      </c>
      <c r="D6636" t="s">
        <v>4243</v>
      </c>
      <c r="F6636" s="56"/>
    </row>
    <row r="6637" spans="1:6" ht="15">
      <c r="A6637" s="51">
        <v>289250</v>
      </c>
      <c r="B6637" t="s">
        <v>2696</v>
      </c>
      <c r="C6637" s="39" t="s">
        <v>108</v>
      </c>
      <c r="D6637">
        <v>8</v>
      </c>
      <c r="F6637" s="56"/>
    </row>
    <row r="6638" spans="1:6" ht="15">
      <c r="A6638" s="51">
        <v>289251</v>
      </c>
      <c r="B6638" t="s">
        <v>345</v>
      </c>
      <c r="C6638" s="39" t="s">
        <v>108</v>
      </c>
      <c r="D6638" t="s">
        <v>4245</v>
      </c>
      <c r="F6638" s="56"/>
    </row>
    <row r="6639" spans="1:6" ht="15">
      <c r="A6639" s="51">
        <v>289252</v>
      </c>
      <c r="B6639" t="s">
        <v>347</v>
      </c>
      <c r="C6639" s="39" t="s">
        <v>108</v>
      </c>
      <c r="D6639" t="s">
        <v>4245</v>
      </c>
      <c r="F6639" s="56"/>
    </row>
    <row r="6640" spans="1:6" ht="15">
      <c r="A6640" s="51">
        <v>289253</v>
      </c>
      <c r="B6640" t="s">
        <v>1244</v>
      </c>
      <c r="C6640" s="39" t="s">
        <v>651</v>
      </c>
      <c r="D6640">
        <v>7</v>
      </c>
      <c r="F6640" s="56"/>
    </row>
    <row r="6641" spans="1:6" ht="15">
      <c r="A6641" s="51">
        <v>289254</v>
      </c>
      <c r="B6641" t="s">
        <v>348</v>
      </c>
      <c r="C6641" s="39" t="s">
        <v>547</v>
      </c>
      <c r="D6641" t="s">
        <v>4244</v>
      </c>
      <c r="F6641" s="56"/>
    </row>
    <row r="6642" spans="1:6" ht="15">
      <c r="A6642" s="51">
        <v>289255</v>
      </c>
      <c r="B6642" t="s">
        <v>350</v>
      </c>
      <c r="C6642" s="39" t="s">
        <v>547</v>
      </c>
      <c r="D6642" t="s">
        <v>4244</v>
      </c>
      <c r="F6642" s="56"/>
    </row>
    <row r="6643" spans="1:6" ht="15">
      <c r="A6643" s="51">
        <v>289256</v>
      </c>
      <c r="B6643" t="s">
        <v>119</v>
      </c>
      <c r="C6643" s="39" t="s">
        <v>542</v>
      </c>
      <c r="D6643" t="s">
        <v>4246</v>
      </c>
      <c r="F6643" s="56"/>
    </row>
    <row r="6644" spans="1:6" ht="15">
      <c r="A6644" s="51">
        <v>289257</v>
      </c>
      <c r="B6644" t="s">
        <v>121</v>
      </c>
      <c r="C6644" s="39" t="s">
        <v>542</v>
      </c>
      <c r="D6644" t="s">
        <v>4244</v>
      </c>
      <c r="F6644" s="56"/>
    </row>
    <row r="6645" spans="1:6" ht="15">
      <c r="A6645" s="51">
        <v>289258</v>
      </c>
      <c r="B6645" t="s">
        <v>1710</v>
      </c>
      <c r="C6645" s="39" t="s">
        <v>542</v>
      </c>
      <c r="D6645" t="s">
        <v>4246</v>
      </c>
      <c r="F6645" s="56"/>
    </row>
    <row r="6646" spans="1:6" ht="15">
      <c r="A6646" s="51">
        <v>289259</v>
      </c>
      <c r="B6646" t="s">
        <v>846</v>
      </c>
      <c r="C6646" s="39" t="s">
        <v>349</v>
      </c>
      <c r="D6646" t="s">
        <v>4247</v>
      </c>
      <c r="F6646" s="56"/>
    </row>
    <row r="6647" spans="1:6" ht="15">
      <c r="A6647" s="51">
        <v>289260</v>
      </c>
      <c r="B6647" t="s">
        <v>847</v>
      </c>
      <c r="C6647" s="39" t="s">
        <v>349</v>
      </c>
      <c r="D6647" t="s">
        <v>4243</v>
      </c>
      <c r="F6647" s="56"/>
    </row>
    <row r="6648" spans="1:6" ht="15">
      <c r="A6648" s="51">
        <v>289261</v>
      </c>
      <c r="B6648" t="s">
        <v>850</v>
      </c>
      <c r="C6648" s="39" t="s">
        <v>355</v>
      </c>
      <c r="D6648" t="s">
        <v>4247</v>
      </c>
      <c r="F6648" s="56"/>
    </row>
    <row r="6649" spans="1:6" ht="15">
      <c r="A6649" s="51">
        <v>289262</v>
      </c>
      <c r="B6649" t="s">
        <v>1808</v>
      </c>
      <c r="C6649" s="39" t="s">
        <v>1809</v>
      </c>
      <c r="D6649" t="s">
        <v>4244</v>
      </c>
      <c r="F6649" s="56"/>
    </row>
    <row r="6650" spans="1:6" ht="15">
      <c r="A6650" s="51">
        <v>289263</v>
      </c>
      <c r="B6650" t="s">
        <v>1810</v>
      </c>
      <c r="C6650" s="39" t="s">
        <v>1809</v>
      </c>
      <c r="D6650" t="s">
        <v>4244</v>
      </c>
      <c r="F6650" s="56"/>
    </row>
    <row r="6651" spans="1:6" ht="15">
      <c r="A6651" s="51">
        <v>289264</v>
      </c>
      <c r="B6651" t="s">
        <v>1811</v>
      </c>
      <c r="C6651" s="39" t="s">
        <v>1809</v>
      </c>
      <c r="D6651">
        <v>7</v>
      </c>
      <c r="F6651" s="56"/>
    </row>
    <row r="6652" spans="1:6" ht="15">
      <c r="A6652" s="51">
        <v>289265</v>
      </c>
      <c r="B6652" t="s">
        <v>358</v>
      </c>
      <c r="C6652" s="39" t="s">
        <v>362</v>
      </c>
      <c r="D6652" t="s">
        <v>4247</v>
      </c>
      <c r="F6652" s="56"/>
    </row>
    <row r="6653" spans="1:6" ht="15">
      <c r="A6653" s="51">
        <v>289266</v>
      </c>
      <c r="B6653" t="s">
        <v>360</v>
      </c>
      <c r="C6653" s="39" t="s">
        <v>362</v>
      </c>
      <c r="D6653" t="s">
        <v>4247</v>
      </c>
      <c r="F6653" s="56"/>
    </row>
    <row r="6654" spans="1:6" ht="15">
      <c r="A6654" s="51">
        <v>289267</v>
      </c>
      <c r="B6654" t="s">
        <v>1019</v>
      </c>
      <c r="C6654" s="39" t="s">
        <v>3771</v>
      </c>
      <c r="D6654" t="s">
        <v>4247</v>
      </c>
      <c r="F6654" s="56"/>
    </row>
    <row r="6655" spans="1:6" ht="15">
      <c r="A6655" s="51">
        <v>289268</v>
      </c>
      <c r="B6655" t="s">
        <v>1169</v>
      </c>
      <c r="C6655" s="39" t="s">
        <v>3771</v>
      </c>
      <c r="D6655" t="s">
        <v>4244</v>
      </c>
      <c r="F6655" s="56"/>
    </row>
    <row r="6656" spans="1:6" ht="15">
      <c r="A6656" s="51">
        <v>289269</v>
      </c>
      <c r="B6656" t="s">
        <v>3772</v>
      </c>
      <c r="C6656" s="39" t="s">
        <v>3771</v>
      </c>
      <c r="D6656" t="s">
        <v>4243</v>
      </c>
      <c r="F6656" s="56"/>
    </row>
    <row r="6657" spans="1:6" ht="15">
      <c r="A6657" s="51">
        <v>289270</v>
      </c>
      <c r="B6657" t="s">
        <v>1816</v>
      </c>
      <c r="C6657" s="39" t="s">
        <v>1815</v>
      </c>
      <c r="D6657" t="s">
        <v>4246</v>
      </c>
      <c r="F6657" s="56"/>
    </row>
    <row r="6658" spans="1:6" ht="15">
      <c r="A6658" s="51">
        <v>289271</v>
      </c>
      <c r="B6658" t="s">
        <v>1818</v>
      </c>
      <c r="C6658" s="39" t="s">
        <v>138</v>
      </c>
      <c r="D6658">
        <v>9</v>
      </c>
      <c r="F6658" s="56"/>
    </row>
    <row r="6659" spans="1:6" ht="15">
      <c r="A6659" s="51">
        <v>289272</v>
      </c>
      <c r="B6659" t="s">
        <v>3773</v>
      </c>
      <c r="C6659" s="39" t="s">
        <v>664</v>
      </c>
      <c r="D6659" t="s">
        <v>4243</v>
      </c>
      <c r="F6659" s="56"/>
    </row>
    <row r="6660" spans="1:6" ht="15">
      <c r="A6660" s="51">
        <v>289273</v>
      </c>
      <c r="B6660" t="s">
        <v>1027</v>
      </c>
      <c r="C6660" s="39" t="s">
        <v>1028</v>
      </c>
      <c r="D6660" t="s">
        <v>4245</v>
      </c>
      <c r="F6660" s="56"/>
    </row>
    <row r="6661" spans="1:6" ht="15">
      <c r="A6661" s="51">
        <v>289274</v>
      </c>
      <c r="B6661" t="s">
        <v>1029</v>
      </c>
      <c r="C6661" s="39" t="s">
        <v>1028</v>
      </c>
      <c r="D6661" t="s">
        <v>4246</v>
      </c>
      <c r="F6661" s="56"/>
    </row>
    <row r="6662" spans="1:6" ht="15">
      <c r="A6662" s="51">
        <v>289275</v>
      </c>
      <c r="B6662" t="s">
        <v>314</v>
      </c>
      <c r="C6662" s="39" t="s">
        <v>3774</v>
      </c>
      <c r="D6662" t="s">
        <v>4247</v>
      </c>
      <c r="F6662" s="56"/>
    </row>
    <row r="6663" spans="1:6" ht="15">
      <c r="A6663" s="51">
        <v>289276</v>
      </c>
      <c r="B6663" t="s">
        <v>316</v>
      </c>
      <c r="C6663" s="39" t="s">
        <v>3774</v>
      </c>
      <c r="D6663" t="s">
        <v>4243</v>
      </c>
      <c r="F6663" s="56"/>
    </row>
    <row r="6664" spans="1:6" ht="15">
      <c r="A6664" s="51">
        <v>289277</v>
      </c>
      <c r="B6664" t="s">
        <v>3598</v>
      </c>
      <c r="C6664" s="39" t="s">
        <v>3774</v>
      </c>
      <c r="D6664">
        <v>7</v>
      </c>
      <c r="F6664" s="56"/>
    </row>
    <row r="6665" spans="1:6" ht="15">
      <c r="A6665" s="51">
        <v>289278</v>
      </c>
      <c r="B6665" t="s">
        <v>3775</v>
      </c>
      <c r="C6665" s="39" t="s">
        <v>309</v>
      </c>
      <c r="D6665">
        <v>8</v>
      </c>
      <c r="F6665" s="56"/>
    </row>
    <row r="6666" spans="1:6" ht="15">
      <c r="A6666" s="51">
        <v>289279</v>
      </c>
      <c r="B6666" t="s">
        <v>3776</v>
      </c>
      <c r="C6666" s="39" t="s">
        <v>309</v>
      </c>
      <c r="D6666">
        <v>9</v>
      </c>
      <c r="F6666" s="56"/>
    </row>
    <row r="6667" spans="1:6" ht="15">
      <c r="A6667" s="51">
        <v>289280</v>
      </c>
      <c r="B6667" t="s">
        <v>372</v>
      </c>
      <c r="C6667" s="39" t="s">
        <v>896</v>
      </c>
      <c r="D6667">
        <v>8</v>
      </c>
      <c r="F6667" s="56"/>
    </row>
    <row r="6668" spans="1:6" ht="15">
      <c r="A6668" s="51">
        <v>289281</v>
      </c>
      <c r="B6668" t="s">
        <v>1820</v>
      </c>
      <c r="C6668" s="39" t="s">
        <v>1821</v>
      </c>
      <c r="D6668">
        <v>9</v>
      </c>
      <c r="F6668" s="56"/>
    </row>
    <row r="6669" spans="1:6" ht="15">
      <c r="A6669" s="51">
        <v>289282</v>
      </c>
      <c r="B6669" t="s">
        <v>379</v>
      </c>
      <c r="C6669" s="39" t="s">
        <v>380</v>
      </c>
      <c r="D6669" t="s">
        <v>4246</v>
      </c>
      <c r="F6669" s="56"/>
    </row>
    <row r="6670" spans="1:6" ht="15">
      <c r="A6670" s="51">
        <v>289283</v>
      </c>
      <c r="B6670" t="s">
        <v>1546</v>
      </c>
      <c r="C6670" s="39" t="s">
        <v>380</v>
      </c>
      <c r="D6670">
        <v>9</v>
      </c>
      <c r="F6670" s="56"/>
    </row>
    <row r="6671" spans="1:6" ht="15">
      <c r="A6671" s="51">
        <v>289284</v>
      </c>
      <c r="B6671" t="s">
        <v>1051</v>
      </c>
      <c r="C6671" s="39" t="s">
        <v>955</v>
      </c>
      <c r="D6671">
        <v>7</v>
      </c>
      <c r="F6671" s="56"/>
    </row>
    <row r="6672" spans="1:6" ht="15">
      <c r="A6672" s="51">
        <v>289285</v>
      </c>
      <c r="B6672" t="s">
        <v>1430</v>
      </c>
      <c r="C6672" s="39" t="s">
        <v>955</v>
      </c>
      <c r="D6672">
        <v>7</v>
      </c>
      <c r="F6672" s="56"/>
    </row>
    <row r="6673" spans="1:6" ht="15">
      <c r="A6673" s="51">
        <v>289286</v>
      </c>
      <c r="B6673" t="s">
        <v>391</v>
      </c>
      <c r="C6673" s="39" t="s">
        <v>390</v>
      </c>
      <c r="D6673" t="s">
        <v>4243</v>
      </c>
      <c r="F6673" s="56"/>
    </row>
    <row r="6674" spans="1:6" ht="15">
      <c r="A6674" s="51">
        <v>289287</v>
      </c>
      <c r="B6674" t="s">
        <v>1224</v>
      </c>
      <c r="C6674" s="39" t="s">
        <v>390</v>
      </c>
      <c r="D6674">
        <v>9</v>
      </c>
      <c r="F6674" s="56"/>
    </row>
    <row r="6675" spans="1:6" ht="15">
      <c r="A6675" s="51">
        <v>289288</v>
      </c>
      <c r="B6675" t="s">
        <v>182</v>
      </c>
      <c r="C6675" s="39" t="s">
        <v>183</v>
      </c>
      <c r="D6675">
        <v>7</v>
      </c>
      <c r="F6675" s="56"/>
    </row>
    <row r="6676" spans="1:6" ht="15">
      <c r="A6676" s="51">
        <v>289289</v>
      </c>
      <c r="B6676" t="s">
        <v>184</v>
      </c>
      <c r="C6676" s="39" t="s">
        <v>189</v>
      </c>
      <c r="D6676" t="s">
        <v>4247</v>
      </c>
      <c r="F6676" s="56"/>
    </row>
    <row r="6677" spans="1:6" ht="15">
      <c r="A6677" s="51">
        <v>289290</v>
      </c>
      <c r="B6677" t="s">
        <v>186</v>
      </c>
      <c r="C6677" s="39" t="s">
        <v>189</v>
      </c>
      <c r="D6677" t="s">
        <v>4247</v>
      </c>
      <c r="F6677" s="56"/>
    </row>
    <row r="6678" spans="1:6" ht="15">
      <c r="A6678" s="51">
        <v>289291</v>
      </c>
      <c r="B6678" t="s">
        <v>1250</v>
      </c>
      <c r="C6678" s="39" t="s">
        <v>189</v>
      </c>
      <c r="D6678">
        <v>7</v>
      </c>
      <c r="F6678" s="56"/>
    </row>
    <row r="6679" spans="1:6" ht="15">
      <c r="A6679" s="51">
        <v>289292</v>
      </c>
      <c r="B6679" t="s">
        <v>398</v>
      </c>
      <c r="C6679" s="39" t="s">
        <v>189</v>
      </c>
      <c r="D6679">
        <v>8</v>
      </c>
      <c r="F6679" s="56"/>
    </row>
    <row r="6680" spans="1:6" ht="15">
      <c r="A6680" s="51">
        <v>289293</v>
      </c>
      <c r="B6680" t="s">
        <v>1827</v>
      </c>
      <c r="C6680" s="39" t="s">
        <v>189</v>
      </c>
      <c r="D6680">
        <v>9</v>
      </c>
      <c r="F6680" s="56"/>
    </row>
    <row r="6681" spans="1:6" ht="15">
      <c r="A6681" s="51">
        <v>289294</v>
      </c>
      <c r="B6681" t="s">
        <v>1186</v>
      </c>
      <c r="C6681" s="39" t="s">
        <v>192</v>
      </c>
      <c r="D6681" t="s">
        <v>4247</v>
      </c>
      <c r="F6681" s="56"/>
    </row>
    <row r="6682" spans="1:6" ht="15">
      <c r="A6682" s="51">
        <v>289295</v>
      </c>
      <c r="B6682" t="s">
        <v>1187</v>
      </c>
      <c r="C6682" s="39" t="s">
        <v>192</v>
      </c>
      <c r="D6682" t="s">
        <v>4243</v>
      </c>
      <c r="F6682" s="56"/>
    </row>
    <row r="6683" spans="1:6" ht="15">
      <c r="A6683" s="51">
        <v>289296</v>
      </c>
      <c r="B6683" t="s">
        <v>1188</v>
      </c>
      <c r="C6683" s="39" t="s">
        <v>192</v>
      </c>
      <c r="D6683">
        <v>7</v>
      </c>
      <c r="F6683" s="56"/>
    </row>
    <row r="6684" spans="1:6" ht="15">
      <c r="A6684" s="51">
        <v>289297</v>
      </c>
      <c r="B6684" t="s">
        <v>1440</v>
      </c>
      <c r="C6684" s="39" t="s">
        <v>1831</v>
      </c>
      <c r="D6684" t="s">
        <v>4247</v>
      </c>
      <c r="F6684" s="56"/>
    </row>
    <row r="6685" spans="1:6" ht="15">
      <c r="A6685" s="51">
        <v>289298</v>
      </c>
      <c r="B6685" t="s">
        <v>1832</v>
      </c>
      <c r="C6685" s="39" t="s">
        <v>1831</v>
      </c>
      <c r="D6685" t="s">
        <v>4243</v>
      </c>
      <c r="F6685" s="56"/>
    </row>
    <row r="6686" spans="1:6" ht="15">
      <c r="A6686" s="51">
        <v>289299</v>
      </c>
      <c r="B6686" t="s">
        <v>1833</v>
      </c>
      <c r="C6686" s="39" t="s">
        <v>402</v>
      </c>
      <c r="D6686" t="s">
        <v>4245</v>
      </c>
      <c r="F6686" s="56"/>
    </row>
    <row r="6687" spans="1:6" ht="15">
      <c r="A6687" s="51">
        <v>289300</v>
      </c>
      <c r="B6687" t="s">
        <v>399</v>
      </c>
      <c r="C6687" s="39" t="s">
        <v>908</v>
      </c>
      <c r="D6687" t="s">
        <v>4244</v>
      </c>
      <c r="F6687" s="56"/>
    </row>
    <row r="6688" spans="1:6" ht="15">
      <c r="A6688" s="51">
        <v>289301</v>
      </c>
      <c r="B6688" t="s">
        <v>1836</v>
      </c>
      <c r="C6688" s="39" t="s">
        <v>561</v>
      </c>
      <c r="D6688" t="s">
        <v>4247</v>
      </c>
      <c r="F6688" s="56"/>
    </row>
    <row r="6689" spans="1:6" ht="15">
      <c r="A6689" s="51">
        <v>289302</v>
      </c>
      <c r="B6689" t="s">
        <v>1837</v>
      </c>
      <c r="C6689" s="39" t="s">
        <v>561</v>
      </c>
      <c r="D6689" t="s">
        <v>4247</v>
      </c>
      <c r="F6689" s="56"/>
    </row>
    <row r="6690" spans="1:6" ht="15">
      <c r="A6690" s="51">
        <v>289303</v>
      </c>
      <c r="B6690" t="s">
        <v>1839</v>
      </c>
      <c r="C6690" s="39" t="s">
        <v>561</v>
      </c>
      <c r="D6690" t="s">
        <v>4247</v>
      </c>
      <c r="F6690" s="56"/>
    </row>
    <row r="6691" spans="1:6" ht="15">
      <c r="A6691" s="51">
        <v>289304</v>
      </c>
      <c r="B6691" t="s">
        <v>1088</v>
      </c>
      <c r="C6691" s="39" t="s">
        <v>647</v>
      </c>
      <c r="D6691" t="s">
        <v>4243</v>
      </c>
      <c r="F6691" s="56"/>
    </row>
    <row r="6692" spans="1:6" ht="15">
      <c r="A6692" s="51">
        <v>289305</v>
      </c>
      <c r="B6692" t="s">
        <v>1089</v>
      </c>
      <c r="C6692" s="39" t="s">
        <v>647</v>
      </c>
      <c r="D6692" t="s">
        <v>4243</v>
      </c>
      <c r="F6692" s="56"/>
    </row>
    <row r="6693" spans="1:6" ht="15">
      <c r="A6693" s="51">
        <v>289306</v>
      </c>
      <c r="B6693" t="s">
        <v>1090</v>
      </c>
      <c r="C6693" s="39" t="s">
        <v>647</v>
      </c>
      <c r="D6693">
        <v>7</v>
      </c>
      <c r="F6693" s="56"/>
    </row>
    <row r="6694" spans="1:6" ht="15">
      <c r="A6694" s="51">
        <v>289307</v>
      </c>
      <c r="B6694" t="s">
        <v>223</v>
      </c>
      <c r="C6694" s="39" t="s">
        <v>224</v>
      </c>
      <c r="D6694" t="s">
        <v>4243</v>
      </c>
      <c r="F6694" s="56"/>
    </row>
    <row r="6695" spans="1:6" ht="15">
      <c r="A6695" s="51">
        <v>289308</v>
      </c>
      <c r="B6695" t="s">
        <v>1679</v>
      </c>
      <c r="C6695" s="39" t="s">
        <v>226</v>
      </c>
      <c r="D6695">
        <v>7</v>
      </c>
      <c r="F6695" s="56"/>
    </row>
    <row r="6696" spans="1:6" ht="15">
      <c r="A6696" s="51">
        <v>289309</v>
      </c>
      <c r="B6696" t="s">
        <v>1228</v>
      </c>
      <c r="C6696" s="39" t="s">
        <v>1107</v>
      </c>
      <c r="D6696" t="s">
        <v>4245</v>
      </c>
      <c r="F6696" s="56"/>
    </row>
    <row r="6697" spans="1:6" ht="15">
      <c r="A6697" s="51">
        <v>289310</v>
      </c>
      <c r="B6697" t="s">
        <v>227</v>
      </c>
      <c r="C6697" s="39" t="s">
        <v>228</v>
      </c>
      <c r="D6697">
        <v>9</v>
      </c>
      <c r="F6697" s="56"/>
    </row>
    <row r="6698" spans="1:6" ht="15">
      <c r="A6698" s="51">
        <v>289311</v>
      </c>
      <c r="B6698" t="s">
        <v>229</v>
      </c>
      <c r="C6698" s="39" t="s">
        <v>228</v>
      </c>
      <c r="D6698">
        <v>9</v>
      </c>
      <c r="F6698" s="56"/>
    </row>
    <row r="6699" spans="1:6" ht="15">
      <c r="A6699" s="51">
        <v>289312</v>
      </c>
      <c r="B6699" t="s">
        <v>1197</v>
      </c>
      <c r="C6699" s="39" t="s">
        <v>826</v>
      </c>
      <c r="D6699" t="s">
        <v>4246</v>
      </c>
      <c r="F6699" s="56"/>
    </row>
    <row r="6700" spans="1:6" ht="15">
      <c r="A6700" s="51">
        <v>289313</v>
      </c>
      <c r="B6700" t="s">
        <v>2062</v>
      </c>
      <c r="C6700" s="39" t="s">
        <v>826</v>
      </c>
      <c r="D6700" t="s">
        <v>4247</v>
      </c>
      <c r="F6700" s="56"/>
    </row>
    <row r="6701" spans="1:6" ht="15">
      <c r="A6701" s="51">
        <v>289314</v>
      </c>
      <c r="B6701" t="s">
        <v>2063</v>
      </c>
      <c r="C6701" s="39" t="s">
        <v>826</v>
      </c>
      <c r="D6701" t="s">
        <v>4243</v>
      </c>
      <c r="F6701" s="56"/>
    </row>
    <row r="6702" spans="1:6" ht="15">
      <c r="A6702" s="51">
        <v>289315</v>
      </c>
      <c r="B6702" t="s">
        <v>3777</v>
      </c>
      <c r="C6702" s="39" t="s">
        <v>826</v>
      </c>
      <c r="D6702">
        <v>8</v>
      </c>
      <c r="F6702" s="56"/>
    </row>
    <row r="6703" spans="1:6" ht="15">
      <c r="A6703" s="51">
        <v>289316</v>
      </c>
      <c r="B6703" t="s">
        <v>2064</v>
      </c>
      <c r="C6703" s="39" t="s">
        <v>826</v>
      </c>
      <c r="D6703">
        <v>9</v>
      </c>
      <c r="F6703" s="56"/>
    </row>
    <row r="6704" spans="1:6" ht="15">
      <c r="A6704" s="51">
        <v>289317</v>
      </c>
      <c r="B6704" t="s">
        <v>3778</v>
      </c>
      <c r="C6704" s="39" t="s">
        <v>826</v>
      </c>
      <c r="D6704">
        <v>9</v>
      </c>
      <c r="F6704" s="56"/>
    </row>
    <row r="6705" spans="1:6" ht="15">
      <c r="A6705" s="51">
        <v>289318</v>
      </c>
      <c r="B6705" t="s">
        <v>3779</v>
      </c>
      <c r="C6705" s="39" t="s">
        <v>826</v>
      </c>
      <c r="D6705">
        <v>9</v>
      </c>
      <c r="F6705" s="56"/>
    </row>
    <row r="6706" spans="1:6" ht="15">
      <c r="A6706" s="51">
        <v>289319</v>
      </c>
      <c r="B6706" t="s">
        <v>3780</v>
      </c>
      <c r="C6706" s="39" t="s">
        <v>826</v>
      </c>
      <c r="D6706">
        <v>9</v>
      </c>
      <c r="F6706" s="56"/>
    </row>
    <row r="6707" spans="1:6" ht="15">
      <c r="A6707" s="51">
        <v>289320</v>
      </c>
      <c r="B6707" t="s">
        <v>3781</v>
      </c>
      <c r="C6707" s="39" t="s">
        <v>826</v>
      </c>
      <c r="D6707">
        <v>9</v>
      </c>
      <c r="F6707" s="56"/>
    </row>
    <row r="6708" spans="1:6" ht="15">
      <c r="A6708" s="51">
        <v>289321</v>
      </c>
      <c r="B6708" t="s">
        <v>3782</v>
      </c>
      <c r="C6708" s="39" t="s">
        <v>231</v>
      </c>
      <c r="D6708" t="s">
        <v>4244</v>
      </c>
      <c r="F6708" s="56"/>
    </row>
    <row r="6709" spans="1:6" ht="15">
      <c r="A6709" s="51">
        <v>289322</v>
      </c>
      <c r="B6709" t="s">
        <v>2239</v>
      </c>
      <c r="C6709" s="39" t="s">
        <v>231</v>
      </c>
      <c r="D6709" t="s">
        <v>4244</v>
      </c>
      <c r="F6709" s="56"/>
    </row>
    <row r="6710" spans="1:6" ht="15">
      <c r="A6710" s="51">
        <v>289323</v>
      </c>
      <c r="B6710" t="s">
        <v>232</v>
      </c>
      <c r="C6710" s="39" t="s">
        <v>233</v>
      </c>
      <c r="D6710" t="s">
        <v>4244</v>
      </c>
      <c r="F6710" s="56"/>
    </row>
    <row r="6711" spans="1:6" ht="15">
      <c r="A6711" s="51">
        <v>289324</v>
      </c>
      <c r="B6711" t="s">
        <v>1851</v>
      </c>
      <c r="C6711" s="39" t="s">
        <v>235</v>
      </c>
      <c r="D6711" t="s">
        <v>4244</v>
      </c>
      <c r="F6711" s="56"/>
    </row>
    <row r="6712" spans="1:6" ht="15">
      <c r="A6712" s="51">
        <v>289325</v>
      </c>
      <c r="B6712" t="s">
        <v>422</v>
      </c>
      <c r="C6712" s="39" t="s">
        <v>235</v>
      </c>
      <c r="D6712" t="s">
        <v>4244</v>
      </c>
      <c r="F6712" s="56"/>
    </row>
    <row r="6713" spans="1:6" ht="15">
      <c r="A6713" s="51">
        <v>289326</v>
      </c>
      <c r="B6713" t="s">
        <v>245</v>
      </c>
      <c r="C6713" s="39" t="s">
        <v>603</v>
      </c>
      <c r="D6713" t="s">
        <v>4247</v>
      </c>
      <c r="F6713" s="56"/>
    </row>
    <row r="6714" spans="1:6" ht="15">
      <c r="A6714" s="51">
        <v>289327</v>
      </c>
      <c r="B6714" t="s">
        <v>1859</v>
      </c>
      <c r="C6714" s="39" t="s">
        <v>603</v>
      </c>
      <c r="D6714">
        <v>7</v>
      </c>
      <c r="F6714" s="56"/>
    </row>
    <row r="6715" spans="1:6" ht="15">
      <c r="A6715" s="51">
        <v>289328</v>
      </c>
      <c r="B6715" t="s">
        <v>1861</v>
      </c>
      <c r="C6715" s="39" t="s">
        <v>243</v>
      </c>
      <c r="D6715" t="s">
        <v>4245</v>
      </c>
      <c r="F6715" s="56"/>
    </row>
    <row r="6716" spans="1:6" ht="15">
      <c r="A6716" s="51">
        <v>289329</v>
      </c>
      <c r="B6716" t="s">
        <v>436</v>
      </c>
      <c r="C6716" s="39" t="s">
        <v>437</v>
      </c>
      <c r="D6716" t="s">
        <v>4248</v>
      </c>
      <c r="F6716" s="56"/>
    </row>
    <row r="6717" spans="1:6" ht="15">
      <c r="A6717" s="51">
        <v>289330</v>
      </c>
      <c r="B6717" t="s">
        <v>2767</v>
      </c>
      <c r="C6717" s="39" t="s">
        <v>261</v>
      </c>
      <c r="D6717" t="s">
        <v>4248</v>
      </c>
      <c r="F6717" s="56"/>
    </row>
    <row r="6718" spans="1:6" ht="15">
      <c r="A6718" s="51">
        <v>289331</v>
      </c>
      <c r="B6718" t="s">
        <v>265</v>
      </c>
      <c r="C6718" s="39" t="s">
        <v>264</v>
      </c>
      <c r="D6718" t="s">
        <v>4245</v>
      </c>
      <c r="F6718" s="56"/>
    </row>
    <row r="6719" spans="1:6" ht="15">
      <c r="A6719" s="51">
        <v>289332</v>
      </c>
      <c r="B6719" t="s">
        <v>1891</v>
      </c>
      <c r="C6719" s="39" t="s">
        <v>274</v>
      </c>
      <c r="D6719" t="s">
        <v>4243</v>
      </c>
      <c r="F6719" s="56"/>
    </row>
    <row r="6720" spans="1:6" ht="15">
      <c r="A6720" s="51">
        <v>289333</v>
      </c>
      <c r="B6720" t="s">
        <v>1265</v>
      </c>
      <c r="C6720" s="39" t="s">
        <v>274</v>
      </c>
      <c r="D6720" t="s">
        <v>4243</v>
      </c>
      <c r="F6720" s="56"/>
    </row>
    <row r="6721" spans="1:6" ht="15">
      <c r="A6721" s="51">
        <v>289334</v>
      </c>
      <c r="B6721" t="s">
        <v>2565</v>
      </c>
      <c r="C6721" s="39" t="s">
        <v>274</v>
      </c>
      <c r="D6721">
        <v>7</v>
      </c>
      <c r="F6721" s="56"/>
    </row>
    <row r="6722" spans="1:6" ht="15">
      <c r="A6722" s="51">
        <v>289336</v>
      </c>
      <c r="B6722" t="s">
        <v>455</v>
      </c>
      <c r="C6722" s="39" t="s">
        <v>550</v>
      </c>
      <c r="D6722" t="s">
        <v>4244</v>
      </c>
      <c r="F6722" s="56"/>
    </row>
    <row r="6723" spans="1:6" ht="15">
      <c r="A6723" s="51">
        <v>289337</v>
      </c>
      <c r="B6723" t="s">
        <v>887</v>
      </c>
      <c r="C6723" s="39" t="s">
        <v>283</v>
      </c>
      <c r="D6723">
        <v>8</v>
      </c>
      <c r="F6723" s="56"/>
    </row>
    <row r="6724" spans="1:6" ht="15">
      <c r="A6724" s="51">
        <v>289338</v>
      </c>
      <c r="B6724" t="s">
        <v>1698</v>
      </c>
      <c r="C6724" s="39" t="s">
        <v>3783</v>
      </c>
      <c r="D6724" t="s">
        <v>4243</v>
      </c>
      <c r="F6724" s="56"/>
    </row>
    <row r="6725" spans="1:6" ht="15">
      <c r="A6725" s="51">
        <v>289339</v>
      </c>
      <c r="B6725" t="s">
        <v>1699</v>
      </c>
      <c r="C6725" s="39" t="s">
        <v>3783</v>
      </c>
      <c r="D6725">
        <v>8</v>
      </c>
      <c r="F6725" s="56"/>
    </row>
    <row r="6726" spans="1:6" ht="15">
      <c r="A6726" s="51">
        <v>289340</v>
      </c>
      <c r="B6726" t="s">
        <v>1140</v>
      </c>
      <c r="C6726" s="39" t="s">
        <v>898</v>
      </c>
      <c r="D6726" t="s">
        <v>4247</v>
      </c>
      <c r="F6726" s="56"/>
    </row>
    <row r="6727" spans="1:6" ht="15">
      <c r="B6727" t="s">
        <v>1963</v>
      </c>
      <c r="C6727" s="39" t="s">
        <v>521</v>
      </c>
      <c r="D6727" t="s">
        <v>4248</v>
      </c>
      <c r="F6727" s="56"/>
    </row>
    <row r="6728" spans="1:6" ht="15">
      <c r="B6728" t="s">
        <v>1964</v>
      </c>
      <c r="C6728" s="39" t="s">
        <v>521</v>
      </c>
      <c r="D6728" t="s">
        <v>4245</v>
      </c>
      <c r="F6728" s="56"/>
    </row>
    <row r="6729" spans="1:6" ht="15">
      <c r="B6729" t="s">
        <v>1142</v>
      </c>
      <c r="C6729" s="39" t="s">
        <v>521</v>
      </c>
      <c r="D6729" t="s">
        <v>4245</v>
      </c>
      <c r="F6729" s="56"/>
    </row>
    <row r="6730" spans="1:6" ht="15">
      <c r="B6730" t="s">
        <v>1143</v>
      </c>
      <c r="C6730" s="39" t="s">
        <v>521</v>
      </c>
      <c r="D6730" t="s">
        <v>4246</v>
      </c>
      <c r="F6730" s="56"/>
    </row>
    <row r="6731" spans="1:6" ht="15">
      <c r="B6731" t="s">
        <v>970</v>
      </c>
      <c r="C6731" s="39" t="s">
        <v>971</v>
      </c>
      <c r="D6731" t="s">
        <v>4246</v>
      </c>
      <c r="F6731" s="56"/>
    </row>
    <row r="6732" spans="1:6" ht="15">
      <c r="B6732" t="s">
        <v>972</v>
      </c>
      <c r="C6732" s="39" t="s">
        <v>971</v>
      </c>
      <c r="D6732" t="s">
        <v>4246</v>
      </c>
      <c r="F6732" s="56"/>
    </row>
    <row r="6733" spans="1:6" ht="15">
      <c r="B6733" t="s">
        <v>1785</v>
      </c>
      <c r="C6733" s="39" t="s">
        <v>971</v>
      </c>
      <c r="D6733" t="s">
        <v>4244</v>
      </c>
      <c r="F6733" s="56"/>
    </row>
    <row r="6734" spans="1:6" ht="15">
      <c r="B6734" t="s">
        <v>1786</v>
      </c>
      <c r="C6734" s="39" t="s">
        <v>320</v>
      </c>
      <c r="D6734" t="s">
        <v>4243</v>
      </c>
      <c r="F6734" s="56"/>
    </row>
    <row r="6735" spans="1:6" ht="15">
      <c r="B6735" t="s">
        <v>323</v>
      </c>
      <c r="C6735" s="39" t="s">
        <v>536</v>
      </c>
      <c r="D6735" t="s">
        <v>4244</v>
      </c>
      <c r="F6735" s="56"/>
    </row>
    <row r="6736" spans="1:6" ht="15">
      <c r="B6736" t="s">
        <v>1790</v>
      </c>
      <c r="C6736" s="39" t="s">
        <v>536</v>
      </c>
      <c r="D6736">
        <v>8</v>
      </c>
      <c r="F6736" s="56"/>
    </row>
    <row r="6737" spans="2:6" ht="15">
      <c r="B6737" t="s">
        <v>1791</v>
      </c>
      <c r="C6737" s="39" t="s">
        <v>1792</v>
      </c>
      <c r="D6737">
        <v>9</v>
      </c>
      <c r="F6737" s="56"/>
    </row>
    <row r="6738" spans="2:6" ht="15">
      <c r="B6738" t="s">
        <v>995</v>
      </c>
      <c r="C6738" s="39" t="s">
        <v>1528</v>
      </c>
      <c r="D6738" t="s">
        <v>4246</v>
      </c>
      <c r="F6738" s="56"/>
    </row>
    <row r="6739" spans="2:6" ht="15">
      <c r="B6739" t="s">
        <v>1146</v>
      </c>
      <c r="C6739" s="39" t="s">
        <v>936</v>
      </c>
      <c r="D6739">
        <v>7</v>
      </c>
      <c r="F6739" s="56"/>
    </row>
    <row r="6740" spans="2:6" ht="15">
      <c r="B6740" t="s">
        <v>1361</v>
      </c>
      <c r="C6740" s="39" t="s">
        <v>936</v>
      </c>
      <c r="D6740">
        <v>8</v>
      </c>
      <c r="F6740" s="56"/>
    </row>
    <row r="6741" spans="2:6" ht="15">
      <c r="B6741" t="s">
        <v>2607</v>
      </c>
      <c r="C6741" s="39" t="s">
        <v>936</v>
      </c>
      <c r="D6741">
        <v>8</v>
      </c>
      <c r="F6741" s="56"/>
    </row>
    <row r="6742" spans="2:6" ht="15">
      <c r="B6742" t="s">
        <v>338</v>
      </c>
      <c r="C6742" s="39" t="s">
        <v>556</v>
      </c>
      <c r="D6742" t="s">
        <v>4243</v>
      </c>
      <c r="F6742" s="56"/>
    </row>
    <row r="6743" spans="2:6" ht="15">
      <c r="B6743" t="s">
        <v>98</v>
      </c>
      <c r="C6743" s="39" t="s">
        <v>556</v>
      </c>
      <c r="D6743" t="s">
        <v>4243</v>
      </c>
      <c r="F6743" s="56"/>
    </row>
    <row r="6744" spans="2:6" ht="15">
      <c r="B6744" t="s">
        <v>100</v>
      </c>
      <c r="C6744" s="39" t="s">
        <v>99</v>
      </c>
      <c r="D6744">
        <v>7</v>
      </c>
      <c r="F6744" s="56"/>
    </row>
    <row r="6745" spans="2:6" ht="15">
      <c r="B6745" t="s">
        <v>101</v>
      </c>
      <c r="C6745" s="39" t="s">
        <v>99</v>
      </c>
      <c r="D6745">
        <v>7</v>
      </c>
      <c r="F6745" s="56"/>
    </row>
    <row r="6746" spans="2:6" ht="15">
      <c r="B6746" t="s">
        <v>103</v>
      </c>
      <c r="C6746" s="39" t="s">
        <v>99</v>
      </c>
      <c r="D6746">
        <v>7</v>
      </c>
      <c r="F6746" s="56"/>
    </row>
    <row r="6747" spans="2:6" ht="15">
      <c r="B6747" t="s">
        <v>105</v>
      </c>
      <c r="C6747" s="39" t="s">
        <v>3770</v>
      </c>
      <c r="D6747" t="s">
        <v>4244</v>
      </c>
      <c r="F6747" s="56"/>
    </row>
    <row r="6748" spans="2:6" ht="15">
      <c r="B6748" t="s">
        <v>107</v>
      </c>
      <c r="C6748" s="39" t="s">
        <v>3770</v>
      </c>
      <c r="D6748" t="s">
        <v>4244</v>
      </c>
      <c r="F6748" s="56"/>
    </row>
    <row r="6749" spans="2:6" ht="15">
      <c r="B6749" t="s">
        <v>1366</v>
      </c>
      <c r="C6749" s="39" t="s">
        <v>106</v>
      </c>
      <c r="D6749" t="s">
        <v>4245</v>
      </c>
      <c r="F6749" s="56"/>
    </row>
    <row r="6750" spans="2:6" ht="15">
      <c r="B6750" t="s">
        <v>1798</v>
      </c>
      <c r="C6750" s="39" t="s">
        <v>108</v>
      </c>
      <c r="D6750" t="s">
        <v>4245</v>
      </c>
      <c r="F6750" s="56"/>
    </row>
    <row r="6751" spans="2:6" ht="15">
      <c r="B6751" t="s">
        <v>1242</v>
      </c>
      <c r="C6751" s="39" t="s">
        <v>108</v>
      </c>
      <c r="D6751" t="s">
        <v>4245</v>
      </c>
      <c r="F6751" s="56"/>
    </row>
    <row r="6752" spans="2:6" ht="15">
      <c r="B6752" t="s">
        <v>344</v>
      </c>
      <c r="C6752" s="39" t="s">
        <v>108</v>
      </c>
      <c r="D6752" t="s">
        <v>4245</v>
      </c>
      <c r="F6752" s="56"/>
    </row>
    <row r="6753" spans="2:6" ht="15">
      <c r="B6753" t="s">
        <v>1155</v>
      </c>
      <c r="C6753" s="39" t="s">
        <v>108</v>
      </c>
      <c r="D6753" t="s">
        <v>4244</v>
      </c>
      <c r="F6753" s="56"/>
    </row>
    <row r="6754" spans="2:6" ht="15">
      <c r="B6754" t="s">
        <v>1156</v>
      </c>
      <c r="C6754" s="39" t="s">
        <v>108</v>
      </c>
      <c r="D6754" t="s">
        <v>4243</v>
      </c>
      <c r="F6754" s="56"/>
    </row>
    <row r="6755" spans="2:6" ht="15">
      <c r="B6755" t="s">
        <v>2696</v>
      </c>
      <c r="C6755" s="39" t="s">
        <v>108</v>
      </c>
      <c r="D6755">
        <v>8</v>
      </c>
      <c r="F6755" s="56"/>
    </row>
    <row r="6756" spans="2:6" ht="15">
      <c r="B6756" t="s">
        <v>345</v>
      </c>
      <c r="C6756" s="39" t="s">
        <v>108</v>
      </c>
      <c r="D6756" t="s">
        <v>4245</v>
      </c>
      <c r="F6756" s="56"/>
    </row>
    <row r="6757" spans="2:6" ht="15">
      <c r="B6757" t="s">
        <v>347</v>
      </c>
      <c r="C6757" s="39" t="s">
        <v>108</v>
      </c>
      <c r="D6757" t="s">
        <v>4245</v>
      </c>
      <c r="F6757" s="56"/>
    </row>
    <row r="6758" spans="2:6" ht="15">
      <c r="B6758" t="s">
        <v>1244</v>
      </c>
      <c r="C6758" s="39" t="s">
        <v>651</v>
      </c>
      <c r="D6758">
        <v>7</v>
      </c>
      <c r="F6758" s="56"/>
    </row>
    <row r="6759" spans="2:6" ht="15">
      <c r="B6759" t="s">
        <v>348</v>
      </c>
      <c r="C6759" s="39" t="s">
        <v>547</v>
      </c>
      <c r="D6759" t="s">
        <v>4244</v>
      </c>
      <c r="F6759" s="56"/>
    </row>
    <row r="6760" spans="2:6" ht="15">
      <c r="B6760" t="s">
        <v>350</v>
      </c>
      <c r="C6760" s="39" t="s">
        <v>547</v>
      </c>
      <c r="D6760" t="s">
        <v>4244</v>
      </c>
      <c r="F6760" s="56"/>
    </row>
    <row r="6761" spans="2:6" ht="15">
      <c r="B6761" t="s">
        <v>119</v>
      </c>
      <c r="C6761" s="39" t="s">
        <v>542</v>
      </c>
      <c r="D6761" t="s">
        <v>4246</v>
      </c>
      <c r="F6761" s="56"/>
    </row>
    <row r="6762" spans="2:6" ht="15">
      <c r="B6762" t="s">
        <v>121</v>
      </c>
      <c r="C6762" s="39" t="s">
        <v>542</v>
      </c>
      <c r="D6762" t="s">
        <v>4244</v>
      </c>
      <c r="F6762" s="56"/>
    </row>
    <row r="6763" spans="2:6" ht="15">
      <c r="B6763" t="s">
        <v>1710</v>
      </c>
      <c r="C6763" s="39" t="s">
        <v>542</v>
      </c>
      <c r="D6763" t="s">
        <v>4246</v>
      </c>
      <c r="F6763" s="56"/>
    </row>
    <row r="6764" spans="2:6" ht="15">
      <c r="B6764" t="s">
        <v>846</v>
      </c>
      <c r="C6764" s="39" t="s">
        <v>349</v>
      </c>
      <c r="D6764" t="s">
        <v>4247</v>
      </c>
      <c r="F6764" s="56"/>
    </row>
    <row r="6765" spans="2:6" ht="15">
      <c r="B6765" t="s">
        <v>847</v>
      </c>
      <c r="C6765" s="39" t="s">
        <v>349</v>
      </c>
      <c r="D6765" t="s">
        <v>4243</v>
      </c>
      <c r="F6765" s="56"/>
    </row>
    <row r="6766" spans="2:6" ht="15">
      <c r="B6766" t="s">
        <v>850</v>
      </c>
      <c r="C6766" s="39" t="s">
        <v>355</v>
      </c>
      <c r="D6766" t="s">
        <v>4247</v>
      </c>
      <c r="F6766" s="56"/>
    </row>
    <row r="6767" spans="2:6" ht="15">
      <c r="B6767" t="s">
        <v>1808</v>
      </c>
      <c r="C6767" s="39" t="s">
        <v>1809</v>
      </c>
      <c r="D6767" t="s">
        <v>4244</v>
      </c>
      <c r="F6767" s="56"/>
    </row>
    <row r="6768" spans="2:6" ht="15">
      <c r="B6768" t="s">
        <v>1810</v>
      </c>
      <c r="C6768" s="39" t="s">
        <v>1809</v>
      </c>
      <c r="D6768" t="s">
        <v>4244</v>
      </c>
      <c r="F6768" s="56"/>
    </row>
    <row r="6769" spans="2:6" ht="15">
      <c r="B6769" t="s">
        <v>1811</v>
      </c>
      <c r="C6769" s="39" t="s">
        <v>1809</v>
      </c>
      <c r="D6769">
        <v>7</v>
      </c>
      <c r="F6769" s="56"/>
    </row>
    <row r="6770" spans="2:6" ht="15">
      <c r="B6770" t="s">
        <v>358</v>
      </c>
      <c r="C6770" s="39" t="s">
        <v>362</v>
      </c>
      <c r="D6770" t="s">
        <v>4247</v>
      </c>
      <c r="F6770" s="56"/>
    </row>
    <row r="6771" spans="2:6" ht="15">
      <c r="B6771" t="s">
        <v>360</v>
      </c>
      <c r="C6771" s="39" t="s">
        <v>362</v>
      </c>
      <c r="D6771" t="s">
        <v>4247</v>
      </c>
      <c r="F6771" s="56"/>
    </row>
    <row r="6772" spans="2:6" ht="15">
      <c r="B6772" t="s">
        <v>1019</v>
      </c>
      <c r="C6772" s="39" t="s">
        <v>3771</v>
      </c>
      <c r="D6772" t="s">
        <v>4247</v>
      </c>
      <c r="F6772" s="56"/>
    </row>
    <row r="6773" spans="2:6" ht="15">
      <c r="B6773" t="s">
        <v>1169</v>
      </c>
      <c r="C6773" s="39" t="s">
        <v>3771</v>
      </c>
      <c r="D6773" t="s">
        <v>4244</v>
      </c>
      <c r="F6773" s="56"/>
    </row>
    <row r="6774" spans="2:6" ht="15">
      <c r="B6774" t="s">
        <v>3772</v>
      </c>
      <c r="C6774" s="39" t="s">
        <v>3771</v>
      </c>
      <c r="D6774" t="s">
        <v>4243</v>
      </c>
      <c r="F6774" s="56"/>
    </row>
    <row r="6775" spans="2:6" ht="15">
      <c r="B6775" t="s">
        <v>1816</v>
      </c>
      <c r="C6775" s="39" t="s">
        <v>1815</v>
      </c>
      <c r="D6775" t="s">
        <v>4246</v>
      </c>
      <c r="F6775" s="56"/>
    </row>
    <row r="6776" spans="2:6" ht="15">
      <c r="B6776" t="s">
        <v>1818</v>
      </c>
      <c r="C6776" s="39" t="s">
        <v>138</v>
      </c>
      <c r="D6776">
        <v>9</v>
      </c>
      <c r="F6776" s="56"/>
    </row>
    <row r="6777" spans="2:6" ht="15">
      <c r="B6777" t="s">
        <v>3773</v>
      </c>
      <c r="C6777" s="39" t="s">
        <v>664</v>
      </c>
      <c r="D6777" t="s">
        <v>4243</v>
      </c>
      <c r="F6777" s="56"/>
    </row>
    <row r="6778" spans="2:6" ht="15">
      <c r="B6778" t="s">
        <v>1027</v>
      </c>
      <c r="C6778" s="39" t="s">
        <v>1028</v>
      </c>
      <c r="D6778" t="s">
        <v>4245</v>
      </c>
      <c r="F6778" s="56"/>
    </row>
    <row r="6779" spans="2:6" ht="15">
      <c r="B6779" t="s">
        <v>1029</v>
      </c>
      <c r="C6779" s="39" t="s">
        <v>1028</v>
      </c>
      <c r="D6779" t="s">
        <v>4246</v>
      </c>
      <c r="F6779" s="56"/>
    </row>
    <row r="6780" spans="2:6" ht="15">
      <c r="B6780" t="s">
        <v>314</v>
      </c>
      <c r="C6780" s="39" t="s">
        <v>3774</v>
      </c>
      <c r="D6780" t="s">
        <v>4247</v>
      </c>
      <c r="F6780" s="56"/>
    </row>
    <row r="6781" spans="2:6" ht="15">
      <c r="B6781" t="s">
        <v>316</v>
      </c>
      <c r="C6781" s="39" t="s">
        <v>3774</v>
      </c>
      <c r="D6781" t="s">
        <v>4243</v>
      </c>
      <c r="F6781" s="56"/>
    </row>
    <row r="6782" spans="2:6" ht="15">
      <c r="B6782" t="s">
        <v>3598</v>
      </c>
      <c r="C6782" s="39" t="s">
        <v>3774</v>
      </c>
      <c r="D6782">
        <v>7</v>
      </c>
      <c r="F6782" s="56"/>
    </row>
    <row r="6783" spans="2:6" ht="15">
      <c r="B6783" t="s">
        <v>3775</v>
      </c>
      <c r="C6783" s="39" t="s">
        <v>309</v>
      </c>
      <c r="D6783">
        <v>8</v>
      </c>
      <c r="F6783" s="56"/>
    </row>
    <row r="6784" spans="2:6" ht="15">
      <c r="B6784" t="s">
        <v>3776</v>
      </c>
      <c r="C6784" s="39" t="s">
        <v>309</v>
      </c>
      <c r="D6784">
        <v>9</v>
      </c>
      <c r="F6784" s="56"/>
    </row>
    <row r="6785" spans="2:6" ht="15">
      <c r="B6785" t="s">
        <v>372</v>
      </c>
      <c r="C6785" s="39" t="s">
        <v>896</v>
      </c>
      <c r="D6785">
        <v>8</v>
      </c>
      <c r="F6785" s="56"/>
    </row>
    <row r="6786" spans="2:6" ht="15">
      <c r="B6786" t="s">
        <v>1820</v>
      </c>
      <c r="C6786" s="39" t="s">
        <v>1821</v>
      </c>
      <c r="D6786">
        <v>9</v>
      </c>
      <c r="F6786" s="56"/>
    </row>
    <row r="6787" spans="2:6" ht="15">
      <c r="B6787" t="s">
        <v>379</v>
      </c>
      <c r="C6787" s="39" t="s">
        <v>380</v>
      </c>
      <c r="D6787" t="s">
        <v>4246</v>
      </c>
      <c r="F6787" s="56"/>
    </row>
    <row r="6788" spans="2:6" ht="15">
      <c r="B6788" t="s">
        <v>1546</v>
      </c>
      <c r="C6788" s="39" t="s">
        <v>380</v>
      </c>
      <c r="D6788">
        <v>9</v>
      </c>
      <c r="F6788" s="56"/>
    </row>
    <row r="6789" spans="2:6" ht="15">
      <c r="B6789" t="s">
        <v>1051</v>
      </c>
      <c r="C6789" s="39" t="s">
        <v>955</v>
      </c>
      <c r="D6789">
        <v>7</v>
      </c>
      <c r="F6789" s="56"/>
    </row>
    <row r="6790" spans="2:6" ht="15">
      <c r="B6790" t="s">
        <v>1430</v>
      </c>
      <c r="C6790" s="39" t="s">
        <v>955</v>
      </c>
      <c r="D6790">
        <v>7</v>
      </c>
      <c r="F6790" s="56"/>
    </row>
    <row r="6791" spans="2:6" ht="15">
      <c r="B6791" t="s">
        <v>391</v>
      </c>
      <c r="C6791" s="39" t="s">
        <v>390</v>
      </c>
      <c r="D6791" t="s">
        <v>4243</v>
      </c>
      <c r="F6791" s="56"/>
    </row>
    <row r="6792" spans="2:6" ht="15">
      <c r="B6792" t="s">
        <v>1224</v>
      </c>
      <c r="C6792" s="39" t="s">
        <v>390</v>
      </c>
      <c r="D6792">
        <v>9</v>
      </c>
      <c r="F6792" s="56"/>
    </row>
    <row r="6793" spans="2:6" ht="15">
      <c r="B6793" t="s">
        <v>182</v>
      </c>
      <c r="C6793" s="39" t="s">
        <v>183</v>
      </c>
      <c r="D6793">
        <v>7</v>
      </c>
      <c r="F6793" s="56"/>
    </row>
    <row r="6794" spans="2:6" ht="15">
      <c r="B6794" t="s">
        <v>184</v>
      </c>
      <c r="C6794" s="39" t="s">
        <v>189</v>
      </c>
      <c r="D6794" t="s">
        <v>4247</v>
      </c>
      <c r="F6794" s="56"/>
    </row>
    <row r="6795" spans="2:6" ht="15">
      <c r="B6795" t="s">
        <v>186</v>
      </c>
      <c r="C6795" s="39" t="s">
        <v>189</v>
      </c>
      <c r="D6795" t="s">
        <v>4247</v>
      </c>
      <c r="F6795" s="56"/>
    </row>
    <row r="6796" spans="2:6" ht="15">
      <c r="B6796" t="s">
        <v>1250</v>
      </c>
      <c r="C6796" s="39" t="s">
        <v>189</v>
      </c>
      <c r="D6796">
        <v>7</v>
      </c>
      <c r="F6796" s="56"/>
    </row>
    <row r="6797" spans="2:6" ht="15">
      <c r="B6797" t="s">
        <v>398</v>
      </c>
      <c r="C6797" s="39" t="s">
        <v>189</v>
      </c>
      <c r="D6797">
        <v>8</v>
      </c>
      <c r="F6797" s="56"/>
    </row>
    <row r="6798" spans="2:6" ht="15">
      <c r="B6798" t="s">
        <v>1827</v>
      </c>
      <c r="C6798" s="39" t="s">
        <v>189</v>
      </c>
      <c r="D6798">
        <v>9</v>
      </c>
      <c r="F6798" s="56"/>
    </row>
    <row r="6799" spans="2:6" ht="15">
      <c r="B6799" t="s">
        <v>1186</v>
      </c>
      <c r="C6799" s="39" t="s">
        <v>192</v>
      </c>
      <c r="D6799" t="s">
        <v>4247</v>
      </c>
      <c r="F6799" s="56"/>
    </row>
    <row r="6800" spans="2:6" ht="15">
      <c r="B6800" t="s">
        <v>1187</v>
      </c>
      <c r="C6800" s="39" t="s">
        <v>192</v>
      </c>
      <c r="D6800" t="s">
        <v>4243</v>
      </c>
      <c r="F6800" s="56"/>
    </row>
    <row r="6801" spans="2:6" ht="15">
      <c r="B6801" t="s">
        <v>1188</v>
      </c>
      <c r="C6801" s="39" t="s">
        <v>192</v>
      </c>
      <c r="D6801">
        <v>7</v>
      </c>
      <c r="F6801" s="56"/>
    </row>
    <row r="6802" spans="2:6" ht="15">
      <c r="B6802" t="s">
        <v>1440</v>
      </c>
      <c r="C6802" s="39" t="s">
        <v>1831</v>
      </c>
      <c r="D6802" t="s">
        <v>4247</v>
      </c>
      <c r="F6802" s="56"/>
    </row>
    <row r="6803" spans="2:6" ht="15">
      <c r="B6803" t="s">
        <v>1832</v>
      </c>
      <c r="C6803" s="39" t="s">
        <v>1831</v>
      </c>
      <c r="D6803" t="s">
        <v>4243</v>
      </c>
      <c r="F6803" s="56"/>
    </row>
    <row r="6804" spans="2:6" ht="15">
      <c r="B6804" t="s">
        <v>1833</v>
      </c>
      <c r="C6804" s="39" t="s">
        <v>402</v>
      </c>
      <c r="D6804" t="s">
        <v>4245</v>
      </c>
      <c r="F6804" s="56"/>
    </row>
    <row r="6805" spans="2:6" ht="15">
      <c r="B6805" t="s">
        <v>399</v>
      </c>
      <c r="C6805" s="39" t="s">
        <v>908</v>
      </c>
      <c r="D6805" t="s">
        <v>4244</v>
      </c>
      <c r="F6805" s="56"/>
    </row>
    <row r="6806" spans="2:6" ht="15">
      <c r="B6806" t="s">
        <v>1836</v>
      </c>
      <c r="C6806" s="39" t="s">
        <v>561</v>
      </c>
      <c r="D6806" t="s">
        <v>4247</v>
      </c>
      <c r="F6806" s="56"/>
    </row>
    <row r="6807" spans="2:6" ht="15">
      <c r="B6807" t="s">
        <v>1837</v>
      </c>
      <c r="C6807" s="39" t="s">
        <v>561</v>
      </c>
      <c r="D6807" t="s">
        <v>4247</v>
      </c>
      <c r="F6807" s="56"/>
    </row>
    <row r="6808" spans="2:6" ht="15">
      <c r="B6808" t="s">
        <v>1839</v>
      </c>
      <c r="C6808" s="39" t="s">
        <v>561</v>
      </c>
      <c r="D6808" t="s">
        <v>4247</v>
      </c>
      <c r="F6808" s="56"/>
    </row>
    <row r="6809" spans="2:6" ht="15">
      <c r="B6809" t="s">
        <v>1088</v>
      </c>
      <c r="C6809" s="39" t="s">
        <v>647</v>
      </c>
      <c r="D6809" t="s">
        <v>4243</v>
      </c>
      <c r="F6809" s="56"/>
    </row>
    <row r="6810" spans="2:6" ht="15">
      <c r="B6810" t="s">
        <v>1089</v>
      </c>
      <c r="C6810" s="39" t="s">
        <v>647</v>
      </c>
      <c r="D6810" t="s">
        <v>4243</v>
      </c>
      <c r="F6810" s="56"/>
    </row>
    <row r="6811" spans="2:6" ht="15">
      <c r="B6811" t="s">
        <v>1090</v>
      </c>
      <c r="C6811" s="39" t="s">
        <v>647</v>
      </c>
      <c r="D6811">
        <v>7</v>
      </c>
      <c r="F6811" s="56"/>
    </row>
    <row r="6812" spans="2:6" ht="15">
      <c r="B6812" t="s">
        <v>223</v>
      </c>
      <c r="C6812" s="39" t="s">
        <v>224</v>
      </c>
      <c r="D6812" t="s">
        <v>4243</v>
      </c>
      <c r="F6812" s="56"/>
    </row>
    <row r="6813" spans="2:6" ht="15">
      <c r="B6813" t="s">
        <v>1679</v>
      </c>
      <c r="C6813" s="39" t="s">
        <v>226</v>
      </c>
      <c r="D6813">
        <v>7</v>
      </c>
      <c r="F6813" s="56"/>
    </row>
    <row r="6814" spans="2:6" ht="15">
      <c r="B6814" t="s">
        <v>1228</v>
      </c>
      <c r="C6814" s="39" t="s">
        <v>1107</v>
      </c>
      <c r="D6814" t="s">
        <v>4245</v>
      </c>
      <c r="F6814" s="56"/>
    </row>
    <row r="6815" spans="2:6" ht="15">
      <c r="B6815" t="s">
        <v>227</v>
      </c>
      <c r="C6815" s="39" t="s">
        <v>228</v>
      </c>
      <c r="D6815">
        <v>9</v>
      </c>
      <c r="F6815" s="56"/>
    </row>
    <row r="6816" spans="2:6" ht="15">
      <c r="B6816" t="s">
        <v>229</v>
      </c>
      <c r="C6816" s="39" t="s">
        <v>228</v>
      </c>
      <c r="D6816">
        <v>9</v>
      </c>
      <c r="F6816" s="56"/>
    </row>
    <row r="6817" spans="2:6" ht="15">
      <c r="B6817" t="s">
        <v>1197</v>
      </c>
      <c r="C6817" s="39" t="s">
        <v>826</v>
      </c>
      <c r="D6817" t="s">
        <v>4246</v>
      </c>
      <c r="F6817" s="56"/>
    </row>
    <row r="6818" spans="2:6" ht="15">
      <c r="B6818" t="s">
        <v>2062</v>
      </c>
      <c r="C6818" s="39" t="s">
        <v>826</v>
      </c>
      <c r="D6818" t="s">
        <v>4247</v>
      </c>
      <c r="F6818" s="56"/>
    </row>
    <row r="6819" spans="2:6" ht="15">
      <c r="B6819" t="s">
        <v>2063</v>
      </c>
      <c r="C6819" s="39" t="s">
        <v>826</v>
      </c>
      <c r="D6819" t="s">
        <v>4243</v>
      </c>
      <c r="F6819" s="56"/>
    </row>
    <row r="6820" spans="2:6" ht="15">
      <c r="B6820" t="s">
        <v>3777</v>
      </c>
      <c r="C6820" s="39" t="s">
        <v>826</v>
      </c>
      <c r="D6820">
        <v>8</v>
      </c>
      <c r="F6820" s="56"/>
    </row>
    <row r="6821" spans="2:6" ht="15">
      <c r="B6821" t="s">
        <v>2064</v>
      </c>
      <c r="C6821" s="39" t="s">
        <v>826</v>
      </c>
      <c r="D6821">
        <v>9</v>
      </c>
      <c r="F6821" s="56"/>
    </row>
    <row r="6822" spans="2:6" ht="15">
      <c r="B6822" t="s">
        <v>3778</v>
      </c>
      <c r="C6822" s="39" t="s">
        <v>826</v>
      </c>
      <c r="D6822">
        <v>9</v>
      </c>
      <c r="F6822" s="56"/>
    </row>
    <row r="6823" spans="2:6" ht="15">
      <c r="B6823" t="s">
        <v>3779</v>
      </c>
      <c r="C6823" s="39" t="s">
        <v>826</v>
      </c>
      <c r="D6823">
        <v>9</v>
      </c>
      <c r="F6823" s="56"/>
    </row>
    <row r="6824" spans="2:6" ht="15">
      <c r="B6824" t="s">
        <v>3780</v>
      </c>
      <c r="C6824" s="39" t="s">
        <v>826</v>
      </c>
      <c r="D6824">
        <v>9</v>
      </c>
      <c r="F6824" s="56"/>
    </row>
    <row r="6825" spans="2:6" ht="15">
      <c r="B6825" t="s">
        <v>3781</v>
      </c>
      <c r="C6825" s="39" t="s">
        <v>826</v>
      </c>
      <c r="D6825">
        <v>9</v>
      </c>
      <c r="F6825" s="56"/>
    </row>
    <row r="6826" spans="2:6" ht="15">
      <c r="B6826" t="s">
        <v>3782</v>
      </c>
      <c r="C6826" s="39" t="s">
        <v>231</v>
      </c>
      <c r="D6826" t="s">
        <v>4244</v>
      </c>
      <c r="F6826" s="56"/>
    </row>
    <row r="6827" spans="2:6" ht="15">
      <c r="B6827" t="s">
        <v>2239</v>
      </c>
      <c r="C6827" s="39" t="s">
        <v>231</v>
      </c>
      <c r="D6827" t="s">
        <v>4244</v>
      </c>
      <c r="F6827" s="56"/>
    </row>
    <row r="6828" spans="2:6" ht="15">
      <c r="B6828" t="s">
        <v>232</v>
      </c>
      <c r="C6828" s="39" t="s">
        <v>233</v>
      </c>
      <c r="D6828" t="s">
        <v>4244</v>
      </c>
      <c r="F6828" s="56"/>
    </row>
    <row r="6829" spans="2:6" ht="15">
      <c r="B6829" t="s">
        <v>1851</v>
      </c>
      <c r="C6829" s="39" t="s">
        <v>235</v>
      </c>
      <c r="D6829" t="s">
        <v>4244</v>
      </c>
      <c r="F6829" s="56"/>
    </row>
    <row r="6830" spans="2:6" ht="15">
      <c r="B6830" t="s">
        <v>422</v>
      </c>
      <c r="C6830" s="39" t="s">
        <v>235</v>
      </c>
      <c r="D6830" t="s">
        <v>4244</v>
      </c>
      <c r="F6830" s="56"/>
    </row>
    <row r="6831" spans="2:6" ht="15">
      <c r="B6831" t="s">
        <v>245</v>
      </c>
      <c r="C6831" s="39" t="s">
        <v>603</v>
      </c>
      <c r="D6831" t="s">
        <v>4247</v>
      </c>
      <c r="F6831" s="56"/>
    </row>
    <row r="6832" spans="2:6" ht="15">
      <c r="B6832" t="s">
        <v>1859</v>
      </c>
      <c r="C6832" s="39" t="s">
        <v>603</v>
      </c>
      <c r="D6832">
        <v>7</v>
      </c>
      <c r="F6832" s="56"/>
    </row>
    <row r="6833" spans="1:6" ht="15">
      <c r="B6833" t="s">
        <v>1861</v>
      </c>
      <c r="C6833" s="39" t="s">
        <v>243</v>
      </c>
      <c r="D6833" t="s">
        <v>4245</v>
      </c>
      <c r="F6833" s="56"/>
    </row>
    <row r="6834" spans="1:6" ht="15">
      <c r="B6834" t="s">
        <v>436</v>
      </c>
      <c r="C6834" s="39" t="s">
        <v>437</v>
      </c>
      <c r="D6834" t="s">
        <v>4248</v>
      </c>
      <c r="F6834" s="56"/>
    </row>
    <row r="6835" spans="1:6" ht="15">
      <c r="B6835" t="s">
        <v>2767</v>
      </c>
      <c r="C6835" s="39" t="s">
        <v>261</v>
      </c>
      <c r="D6835" t="s">
        <v>4248</v>
      </c>
      <c r="F6835" s="56"/>
    </row>
    <row r="6836" spans="1:6" ht="15">
      <c r="B6836" t="s">
        <v>265</v>
      </c>
      <c r="C6836" s="39" t="s">
        <v>264</v>
      </c>
      <c r="D6836" t="s">
        <v>4245</v>
      </c>
      <c r="F6836" s="56"/>
    </row>
    <row r="6837" spans="1:6" ht="15">
      <c r="B6837" t="s">
        <v>1891</v>
      </c>
      <c r="C6837" s="39" t="s">
        <v>274</v>
      </c>
      <c r="D6837" t="s">
        <v>4243</v>
      </c>
      <c r="F6837" s="56"/>
    </row>
    <row r="6838" spans="1:6" ht="15">
      <c r="B6838" t="s">
        <v>1265</v>
      </c>
      <c r="C6838" s="39" t="s">
        <v>274</v>
      </c>
      <c r="D6838" t="s">
        <v>4243</v>
      </c>
      <c r="F6838" s="56"/>
    </row>
    <row r="6839" spans="1:6" ht="15">
      <c r="B6839" t="s">
        <v>2565</v>
      </c>
      <c r="C6839" s="39" t="s">
        <v>274</v>
      </c>
      <c r="D6839">
        <v>7</v>
      </c>
      <c r="F6839" s="56"/>
    </row>
    <row r="6840" spans="1:6" ht="15">
      <c r="B6840" t="s">
        <v>455</v>
      </c>
      <c r="C6840" s="39" t="s">
        <v>550</v>
      </c>
      <c r="D6840" t="s">
        <v>4244</v>
      </c>
      <c r="F6840" s="56"/>
    </row>
    <row r="6841" spans="1:6" ht="15">
      <c r="B6841" t="s">
        <v>887</v>
      </c>
      <c r="C6841" s="39" t="s">
        <v>283</v>
      </c>
      <c r="D6841">
        <v>8</v>
      </c>
      <c r="F6841" s="56"/>
    </row>
    <row r="6842" spans="1:6" ht="15">
      <c r="B6842" t="s">
        <v>1698</v>
      </c>
      <c r="C6842" s="39" t="s">
        <v>3783</v>
      </c>
      <c r="D6842" t="s">
        <v>4243</v>
      </c>
      <c r="F6842" s="56"/>
    </row>
    <row r="6843" spans="1:6" ht="15">
      <c r="B6843" t="s">
        <v>1699</v>
      </c>
      <c r="C6843" s="39" t="s">
        <v>3783</v>
      </c>
      <c r="D6843">
        <v>8</v>
      </c>
      <c r="F6843" s="56"/>
    </row>
    <row r="6844" spans="1:6" ht="15">
      <c r="B6844" t="s">
        <v>1140</v>
      </c>
      <c r="C6844" s="39" t="s">
        <v>898</v>
      </c>
      <c r="D6844" t="s">
        <v>4247</v>
      </c>
      <c r="F6844" s="56"/>
    </row>
    <row r="6845" spans="1:6" ht="15">
      <c r="A6845" s="51">
        <v>3118033</v>
      </c>
      <c r="B6845" t="s">
        <v>1266</v>
      </c>
      <c r="C6845" s="39" t="s">
        <v>1267</v>
      </c>
      <c r="D6845" t="s">
        <v>4249</v>
      </c>
      <c r="F6845" s="56"/>
    </row>
    <row r="6846" spans="1:6" ht="15">
      <c r="A6846" s="51">
        <v>294867</v>
      </c>
      <c r="B6846">
        <v>21</v>
      </c>
      <c r="C6846" s="39" t="s">
        <v>2100</v>
      </c>
      <c r="D6846">
        <v>9</v>
      </c>
      <c r="F6846" s="56"/>
    </row>
    <row r="6847" spans="1:6" ht="15">
      <c r="A6847" s="51">
        <v>294868</v>
      </c>
      <c r="B6847">
        <v>23</v>
      </c>
      <c r="C6847" s="39" t="s">
        <v>2567</v>
      </c>
      <c r="D6847">
        <v>7</v>
      </c>
      <c r="F6847" s="56"/>
    </row>
    <row r="6848" spans="1:6" ht="15">
      <c r="A6848" s="51">
        <v>3118034</v>
      </c>
      <c r="B6848" t="s">
        <v>1270</v>
      </c>
      <c r="C6848" s="39" t="s">
        <v>1902</v>
      </c>
      <c r="D6848">
        <v>8</v>
      </c>
      <c r="F6848" s="56"/>
    </row>
    <row r="6849" spans="1:6" ht="15">
      <c r="A6849" s="51">
        <v>3118035</v>
      </c>
      <c r="B6849" t="s">
        <v>2105</v>
      </c>
      <c r="C6849" s="39" t="s">
        <v>2106</v>
      </c>
      <c r="D6849" t="s">
        <v>4249</v>
      </c>
      <c r="F6849" s="56"/>
    </row>
    <row r="6850" spans="1:6" ht="15">
      <c r="A6850" s="51">
        <v>294869</v>
      </c>
      <c r="B6850" t="s">
        <v>1905</v>
      </c>
      <c r="C6850" s="39" t="s">
        <v>1338</v>
      </c>
      <c r="D6850" t="s">
        <v>4244</v>
      </c>
      <c r="F6850" s="56"/>
    </row>
    <row r="6851" spans="1:6" ht="15">
      <c r="A6851" s="51">
        <v>294870</v>
      </c>
      <c r="B6851" t="s">
        <v>1906</v>
      </c>
      <c r="C6851" s="39" t="s">
        <v>1338</v>
      </c>
      <c r="D6851" t="s">
        <v>4244</v>
      </c>
      <c r="F6851" s="56"/>
    </row>
    <row r="6852" spans="1:6" ht="15">
      <c r="A6852" s="51">
        <v>294871</v>
      </c>
      <c r="B6852" t="s">
        <v>1907</v>
      </c>
      <c r="C6852" s="39" t="s">
        <v>1338</v>
      </c>
      <c r="D6852">
        <v>8</v>
      </c>
      <c r="F6852" s="56"/>
    </row>
    <row r="6853" spans="1:6" ht="15">
      <c r="A6853" s="51">
        <v>294872</v>
      </c>
      <c r="B6853">
        <v>365</v>
      </c>
      <c r="C6853" s="39" t="s">
        <v>1910</v>
      </c>
      <c r="D6853" t="s">
        <v>4244</v>
      </c>
      <c r="F6853" s="56"/>
    </row>
    <row r="6854" spans="1:6" ht="15">
      <c r="A6854" s="51">
        <v>3118036</v>
      </c>
      <c r="B6854" t="s">
        <v>1911</v>
      </c>
      <c r="C6854" s="39" t="s">
        <v>1912</v>
      </c>
      <c r="D6854">
        <v>8</v>
      </c>
      <c r="F6854" s="56"/>
    </row>
    <row r="6855" spans="1:6" ht="15">
      <c r="A6855" s="51">
        <v>3118037</v>
      </c>
      <c r="B6855" t="s">
        <v>1273</v>
      </c>
      <c r="C6855" s="39" t="s">
        <v>1274</v>
      </c>
      <c r="D6855">
        <v>7</v>
      </c>
      <c r="F6855" s="56"/>
    </row>
    <row r="6856" spans="1:6" ht="15">
      <c r="A6856" s="51">
        <v>294873</v>
      </c>
      <c r="B6856" t="s">
        <v>2109</v>
      </c>
      <c r="C6856" s="39" t="s">
        <v>2110</v>
      </c>
      <c r="D6856">
        <v>7</v>
      </c>
      <c r="F6856" s="56"/>
    </row>
    <row r="6857" spans="1:6" ht="15">
      <c r="A6857" s="51">
        <v>294874</v>
      </c>
      <c r="B6857" t="s">
        <v>2111</v>
      </c>
      <c r="C6857" s="39" t="s">
        <v>2110</v>
      </c>
      <c r="D6857">
        <v>8</v>
      </c>
      <c r="F6857" s="56"/>
    </row>
    <row r="6858" spans="1:6" ht="15">
      <c r="A6858" s="51">
        <v>294875</v>
      </c>
      <c r="B6858" t="s">
        <v>2596</v>
      </c>
      <c r="C6858" s="39" t="s">
        <v>2110</v>
      </c>
      <c r="D6858">
        <v>8</v>
      </c>
      <c r="F6858" s="56"/>
    </row>
    <row r="6859" spans="1:6" ht="15">
      <c r="A6859" s="51">
        <v>294876</v>
      </c>
      <c r="B6859" t="s">
        <v>2112</v>
      </c>
      <c r="C6859" s="39" t="s">
        <v>2113</v>
      </c>
      <c r="D6859">
        <v>8</v>
      </c>
      <c r="F6859" s="56"/>
    </row>
    <row r="6860" spans="1:6" ht="15">
      <c r="A6860" s="51">
        <v>294877</v>
      </c>
      <c r="B6860" t="s">
        <v>2114</v>
      </c>
      <c r="C6860" s="39" t="s">
        <v>2113</v>
      </c>
      <c r="D6860">
        <v>8</v>
      </c>
      <c r="F6860" s="56"/>
    </row>
    <row r="6861" spans="1:6" ht="15">
      <c r="A6861" s="51">
        <v>3118038</v>
      </c>
      <c r="B6861" t="s">
        <v>1276</v>
      </c>
      <c r="C6861" s="39" t="s">
        <v>1277</v>
      </c>
      <c r="D6861">
        <v>8</v>
      </c>
      <c r="F6861" s="56"/>
    </row>
    <row r="6862" spans="1:6" ht="15">
      <c r="A6862" s="51">
        <v>294878</v>
      </c>
      <c r="B6862" t="s">
        <v>2129</v>
      </c>
      <c r="C6862" s="39" t="s">
        <v>2130</v>
      </c>
      <c r="D6862">
        <v>8</v>
      </c>
      <c r="F6862" s="56"/>
    </row>
    <row r="6863" spans="1:6" ht="15">
      <c r="A6863" s="51">
        <v>294879</v>
      </c>
      <c r="B6863" t="s">
        <v>3784</v>
      </c>
      <c r="C6863" s="39" t="s">
        <v>2130</v>
      </c>
      <c r="D6863">
        <v>8</v>
      </c>
      <c r="F6863" s="56"/>
    </row>
    <row r="6864" spans="1:6" ht="15">
      <c r="A6864" s="51">
        <v>294880</v>
      </c>
      <c r="B6864" t="s">
        <v>2131</v>
      </c>
      <c r="C6864" s="39" t="s">
        <v>2132</v>
      </c>
      <c r="D6864">
        <v>8</v>
      </c>
      <c r="F6864" s="56"/>
    </row>
    <row r="6865" spans="1:6" ht="15">
      <c r="A6865" s="51">
        <v>294881</v>
      </c>
      <c r="B6865" t="s">
        <v>3785</v>
      </c>
      <c r="C6865" s="39" t="s">
        <v>2132</v>
      </c>
      <c r="D6865">
        <v>9</v>
      </c>
      <c r="F6865" s="56"/>
    </row>
    <row r="6866" spans="1:6" ht="15">
      <c r="A6866" s="51">
        <v>3118039</v>
      </c>
      <c r="B6866" t="s">
        <v>1278</v>
      </c>
      <c r="C6866" s="39" t="s">
        <v>1279</v>
      </c>
      <c r="D6866">
        <v>9</v>
      </c>
      <c r="F6866" s="56"/>
    </row>
    <row r="6867" spans="1:6" ht="15">
      <c r="A6867" s="51">
        <v>3118040</v>
      </c>
      <c r="B6867" t="s">
        <v>1917</v>
      </c>
      <c r="C6867" s="39" t="s">
        <v>1279</v>
      </c>
      <c r="D6867">
        <v>9</v>
      </c>
      <c r="F6867" s="56"/>
    </row>
    <row r="6868" spans="1:6" ht="15">
      <c r="A6868" s="51">
        <v>3118041</v>
      </c>
      <c r="B6868" t="s">
        <v>1280</v>
      </c>
      <c r="C6868" s="39" t="s">
        <v>1281</v>
      </c>
      <c r="D6868">
        <v>9</v>
      </c>
      <c r="F6868" s="56"/>
    </row>
    <row r="6869" spans="1:6" ht="15">
      <c r="A6869" s="51">
        <v>3118042</v>
      </c>
      <c r="B6869" t="s">
        <v>1283</v>
      </c>
      <c r="C6869" s="39" t="s">
        <v>1284</v>
      </c>
      <c r="D6869">
        <v>8</v>
      </c>
      <c r="F6869" s="56"/>
    </row>
    <row r="6870" spans="1:6" ht="15">
      <c r="A6870" s="51">
        <v>3118043</v>
      </c>
      <c r="B6870" t="s">
        <v>1920</v>
      </c>
      <c r="C6870" s="39" t="s">
        <v>1921</v>
      </c>
      <c r="D6870">
        <v>8</v>
      </c>
      <c r="F6870" s="56"/>
    </row>
    <row r="6871" spans="1:6" ht="15">
      <c r="A6871" s="51">
        <v>3118044</v>
      </c>
      <c r="B6871" t="s">
        <v>1924</v>
      </c>
      <c r="C6871" s="39" t="s">
        <v>1925</v>
      </c>
      <c r="D6871">
        <v>8</v>
      </c>
      <c r="F6871" s="56"/>
    </row>
    <row r="6872" spans="1:6" ht="15">
      <c r="A6872" s="51">
        <v>294882</v>
      </c>
      <c r="B6872" t="s">
        <v>2137</v>
      </c>
      <c r="C6872" s="39" t="s">
        <v>2138</v>
      </c>
      <c r="D6872">
        <v>8</v>
      </c>
      <c r="F6872" s="56"/>
    </row>
    <row r="6873" spans="1:6" ht="15">
      <c r="A6873" s="51">
        <v>3118045</v>
      </c>
      <c r="B6873" t="s">
        <v>1294</v>
      </c>
      <c r="C6873" s="39" t="s">
        <v>1295</v>
      </c>
      <c r="D6873">
        <v>9</v>
      </c>
      <c r="F6873" s="56"/>
    </row>
    <row r="6874" spans="1:6" ht="15">
      <c r="A6874" s="51">
        <v>3118046</v>
      </c>
      <c r="B6874" t="s">
        <v>1296</v>
      </c>
      <c r="C6874" s="39" t="s">
        <v>1297</v>
      </c>
      <c r="D6874">
        <v>8</v>
      </c>
      <c r="F6874" s="56"/>
    </row>
    <row r="6875" spans="1:6" ht="15">
      <c r="A6875" s="51">
        <v>3118053</v>
      </c>
      <c r="B6875" t="s">
        <v>1298</v>
      </c>
      <c r="C6875" s="39" t="s">
        <v>1299</v>
      </c>
      <c r="D6875">
        <v>8</v>
      </c>
      <c r="F6875" s="56"/>
    </row>
    <row r="6876" spans="1:6" ht="15">
      <c r="A6876" s="51">
        <v>3118047</v>
      </c>
      <c r="B6876" t="s">
        <v>1926</v>
      </c>
      <c r="C6876" s="39" t="s">
        <v>1299</v>
      </c>
      <c r="D6876">
        <v>9</v>
      </c>
      <c r="F6876" s="56"/>
    </row>
    <row r="6877" spans="1:6" ht="15">
      <c r="A6877" s="51">
        <v>3118050</v>
      </c>
      <c r="B6877" t="s">
        <v>1302</v>
      </c>
      <c r="C6877" s="39" t="s">
        <v>1301</v>
      </c>
      <c r="D6877">
        <v>8</v>
      </c>
      <c r="F6877" s="56"/>
    </row>
    <row r="6878" spans="1:6" ht="15">
      <c r="A6878" s="51">
        <v>3118054</v>
      </c>
      <c r="B6878" t="s">
        <v>1303</v>
      </c>
      <c r="C6878" s="39" t="s">
        <v>1304</v>
      </c>
      <c r="D6878">
        <v>8</v>
      </c>
      <c r="F6878" s="56"/>
    </row>
    <row r="6879" spans="1:6" ht="15">
      <c r="A6879" s="51">
        <v>3118051</v>
      </c>
      <c r="B6879" t="s">
        <v>1305</v>
      </c>
      <c r="C6879" s="39" t="s">
        <v>1306</v>
      </c>
      <c r="D6879">
        <v>8</v>
      </c>
      <c r="F6879" s="56"/>
    </row>
    <row r="6880" spans="1:6" ht="15">
      <c r="A6880" s="51">
        <v>294883</v>
      </c>
      <c r="B6880" t="s">
        <v>2143</v>
      </c>
      <c r="C6880" s="39" t="s">
        <v>3786</v>
      </c>
      <c r="D6880">
        <v>8</v>
      </c>
      <c r="F6880" s="56"/>
    </row>
    <row r="6881" spans="1:6" ht="15">
      <c r="A6881" s="51">
        <v>294884</v>
      </c>
      <c r="B6881" t="s">
        <v>2145</v>
      </c>
      <c r="C6881" s="39" t="s">
        <v>2144</v>
      </c>
      <c r="D6881">
        <v>8</v>
      </c>
      <c r="F6881" s="56"/>
    </row>
    <row r="6882" spans="1:6" ht="15">
      <c r="A6882" s="51">
        <v>294885</v>
      </c>
      <c r="B6882" t="s">
        <v>2146</v>
      </c>
      <c r="C6882" s="39" t="s">
        <v>2147</v>
      </c>
      <c r="D6882">
        <v>8</v>
      </c>
      <c r="F6882" s="56"/>
    </row>
    <row r="6883" spans="1:6" ht="15">
      <c r="A6883" s="51">
        <v>294886</v>
      </c>
      <c r="B6883" t="s">
        <v>2371</v>
      </c>
      <c r="C6883" s="39" t="s">
        <v>2147</v>
      </c>
      <c r="D6883">
        <v>8</v>
      </c>
      <c r="F6883" s="56"/>
    </row>
    <row r="6884" spans="1:6" ht="15">
      <c r="A6884" s="51">
        <v>294887</v>
      </c>
      <c r="B6884" t="s">
        <v>2148</v>
      </c>
      <c r="C6884" s="39" t="s">
        <v>2149</v>
      </c>
      <c r="D6884">
        <v>8</v>
      </c>
      <c r="F6884" s="56"/>
    </row>
    <row r="6885" spans="1:6" ht="15">
      <c r="A6885" s="51">
        <v>294888</v>
      </c>
      <c r="B6885" t="s">
        <v>2150</v>
      </c>
      <c r="C6885" s="39" t="s">
        <v>2151</v>
      </c>
      <c r="D6885">
        <v>8</v>
      </c>
      <c r="F6885" s="56"/>
    </row>
    <row r="6886" spans="1:6" ht="15">
      <c r="A6886" s="51">
        <v>294889</v>
      </c>
      <c r="B6886">
        <v>807</v>
      </c>
      <c r="C6886" s="39" t="s">
        <v>258</v>
      </c>
      <c r="D6886">
        <v>9</v>
      </c>
      <c r="F6886" s="56"/>
    </row>
    <row r="6887" spans="1:6" ht="15">
      <c r="A6887" s="51">
        <v>294890</v>
      </c>
      <c r="B6887" t="s">
        <v>1307</v>
      </c>
      <c r="C6887" s="39" t="s">
        <v>1308</v>
      </c>
      <c r="D6887">
        <v>9</v>
      </c>
      <c r="F6887" s="56"/>
    </row>
    <row r="6888" spans="1:6" ht="15">
      <c r="A6888" s="51">
        <v>294891</v>
      </c>
      <c r="B6888" t="s">
        <v>1309</v>
      </c>
      <c r="C6888" s="39" t="s">
        <v>1308</v>
      </c>
      <c r="D6888">
        <v>9</v>
      </c>
      <c r="F6888" s="56"/>
    </row>
    <row r="6889" spans="1:6" ht="15">
      <c r="A6889" s="51">
        <v>294892</v>
      </c>
      <c r="B6889" t="s">
        <v>1310</v>
      </c>
      <c r="C6889" s="39" t="s">
        <v>1308</v>
      </c>
      <c r="D6889">
        <v>9</v>
      </c>
      <c r="F6889" s="56"/>
    </row>
    <row r="6890" spans="1:6" ht="15">
      <c r="A6890" s="51">
        <v>294893</v>
      </c>
      <c r="B6890" t="s">
        <v>1928</v>
      </c>
      <c r="C6890" s="39" t="s">
        <v>1929</v>
      </c>
      <c r="D6890">
        <v>8</v>
      </c>
      <c r="F6890" s="56"/>
    </row>
    <row r="6891" spans="1:6" ht="15">
      <c r="A6891" s="51">
        <v>294894</v>
      </c>
      <c r="B6891" t="s">
        <v>2152</v>
      </c>
      <c r="C6891" s="39" t="s">
        <v>3787</v>
      </c>
      <c r="D6891">
        <v>8</v>
      </c>
      <c r="F6891" s="56"/>
    </row>
    <row r="6892" spans="1:6" ht="15">
      <c r="A6892" s="51">
        <v>294895</v>
      </c>
      <c r="B6892" t="s">
        <v>2572</v>
      </c>
      <c r="C6892" s="39" t="s">
        <v>2154</v>
      </c>
      <c r="D6892">
        <v>8</v>
      </c>
      <c r="F6892" s="56"/>
    </row>
    <row r="6893" spans="1:6" ht="15">
      <c r="A6893" s="51">
        <v>294896</v>
      </c>
      <c r="B6893" t="s">
        <v>2573</v>
      </c>
      <c r="C6893" s="39" t="s">
        <v>2154</v>
      </c>
      <c r="D6893">
        <v>8</v>
      </c>
      <c r="F6893" s="56"/>
    </row>
    <row r="6894" spans="1:6" ht="15">
      <c r="A6894" s="51">
        <v>294897</v>
      </c>
      <c r="B6894" t="s">
        <v>1311</v>
      </c>
      <c r="C6894" s="39" t="s">
        <v>2154</v>
      </c>
      <c r="D6894">
        <v>9</v>
      </c>
      <c r="F6894" s="56"/>
    </row>
    <row r="6895" spans="1:6" ht="15">
      <c r="A6895" s="51">
        <v>294898</v>
      </c>
      <c r="B6895" t="s">
        <v>2574</v>
      </c>
      <c r="C6895" s="39" t="s">
        <v>3788</v>
      </c>
      <c r="D6895">
        <v>9</v>
      </c>
      <c r="F6895" s="56"/>
    </row>
    <row r="6896" spans="1:6" ht="15">
      <c r="A6896" s="51">
        <v>3118048</v>
      </c>
      <c r="B6896" t="s">
        <v>1321</v>
      </c>
      <c r="C6896" s="39" t="s">
        <v>1320</v>
      </c>
      <c r="D6896">
        <v>8</v>
      </c>
      <c r="F6896" s="56"/>
    </row>
    <row r="6897" spans="1:6" ht="15">
      <c r="A6897" s="51">
        <v>3118049</v>
      </c>
      <c r="B6897" t="s">
        <v>1329</v>
      </c>
      <c r="C6897" s="39" t="s">
        <v>1330</v>
      </c>
      <c r="D6897">
        <v>9</v>
      </c>
      <c r="F6897" s="56"/>
    </row>
    <row r="6898" spans="1:6" ht="15">
      <c r="A6898" s="51">
        <v>294899</v>
      </c>
      <c r="B6898" t="s">
        <v>2170</v>
      </c>
      <c r="C6898" s="39" t="s">
        <v>1338</v>
      </c>
      <c r="D6898" t="s">
        <v>4244</v>
      </c>
      <c r="F6898" s="56"/>
    </row>
    <row r="6899" spans="1:6" ht="15">
      <c r="A6899" s="51">
        <v>294900</v>
      </c>
      <c r="B6899" t="s">
        <v>2789</v>
      </c>
      <c r="C6899" s="39" t="s">
        <v>1338</v>
      </c>
      <c r="D6899" t="s">
        <v>4244</v>
      </c>
      <c r="F6899" s="56"/>
    </row>
    <row r="6900" spans="1:6" ht="15">
      <c r="A6900" s="51">
        <v>294901</v>
      </c>
      <c r="B6900" t="s">
        <v>2171</v>
      </c>
      <c r="C6900" s="39" t="s">
        <v>1338</v>
      </c>
      <c r="D6900">
        <v>8</v>
      </c>
      <c r="F6900" s="56"/>
    </row>
    <row r="6901" spans="1:6" ht="15">
      <c r="A6901" s="51">
        <v>294902</v>
      </c>
      <c r="B6901" t="s">
        <v>1959</v>
      </c>
      <c r="C6901" s="39" t="s">
        <v>1338</v>
      </c>
      <c r="D6901" t="s">
        <v>4244</v>
      </c>
      <c r="F6901" s="56"/>
    </row>
    <row r="6902" spans="1:6" ht="15">
      <c r="A6902" s="51">
        <v>294903</v>
      </c>
      <c r="B6902" t="s">
        <v>1960</v>
      </c>
      <c r="C6902" s="39" t="s">
        <v>1338</v>
      </c>
      <c r="D6902" t="s">
        <v>4244</v>
      </c>
      <c r="F6902" s="56"/>
    </row>
    <row r="6903" spans="1:6" ht="15">
      <c r="A6903" s="51">
        <v>294904</v>
      </c>
      <c r="B6903" t="s">
        <v>1345</v>
      </c>
      <c r="C6903" s="39" t="s">
        <v>1346</v>
      </c>
      <c r="D6903">
        <v>7</v>
      </c>
      <c r="F6903" s="56"/>
    </row>
    <row r="6904" spans="1:6" ht="15">
      <c r="A6904" s="51">
        <v>294905</v>
      </c>
      <c r="B6904" t="s">
        <v>1348</v>
      </c>
      <c r="C6904" s="39" t="s">
        <v>1346</v>
      </c>
      <c r="D6904">
        <v>7</v>
      </c>
      <c r="F6904" s="56"/>
    </row>
    <row r="6905" spans="1:6" ht="15">
      <c r="A6905" s="51">
        <v>294906</v>
      </c>
      <c r="B6905" t="s">
        <v>3789</v>
      </c>
      <c r="C6905" s="39" t="s">
        <v>1346</v>
      </c>
      <c r="D6905">
        <v>8</v>
      </c>
      <c r="F6905" s="56"/>
    </row>
    <row r="6906" spans="1:6" ht="15">
      <c r="A6906" s="51">
        <v>294907</v>
      </c>
      <c r="B6906" t="s">
        <v>3790</v>
      </c>
      <c r="C6906" s="39" t="s">
        <v>1346</v>
      </c>
      <c r="D6906">
        <v>8</v>
      </c>
      <c r="F6906" s="56"/>
    </row>
    <row r="6907" spans="1:6" ht="15">
      <c r="A6907" s="51">
        <v>294908</v>
      </c>
      <c r="B6907" t="s">
        <v>323</v>
      </c>
      <c r="C6907" s="39" t="s">
        <v>3791</v>
      </c>
      <c r="D6907">
        <v>8</v>
      </c>
      <c r="F6907" s="56"/>
    </row>
    <row r="6908" spans="1:6" ht="15">
      <c r="A6908" s="51">
        <v>294910</v>
      </c>
      <c r="B6908" t="s">
        <v>994</v>
      </c>
      <c r="C6908" s="39" t="s">
        <v>2130</v>
      </c>
      <c r="D6908" t="s">
        <v>4246</v>
      </c>
      <c r="F6908" s="56"/>
    </row>
    <row r="6909" spans="1:6" ht="15">
      <c r="A6909" s="51">
        <v>294911</v>
      </c>
      <c r="B6909" t="s">
        <v>1356</v>
      </c>
      <c r="C6909" s="39" t="s">
        <v>2132</v>
      </c>
      <c r="D6909">
        <v>8</v>
      </c>
      <c r="F6909" s="56"/>
    </row>
    <row r="6910" spans="1:6" ht="15">
      <c r="A6910" s="51">
        <v>294914</v>
      </c>
      <c r="B6910" t="s">
        <v>103</v>
      </c>
      <c r="C6910" s="39" t="s">
        <v>102</v>
      </c>
      <c r="D6910">
        <v>7</v>
      </c>
      <c r="F6910" s="56"/>
    </row>
    <row r="6911" spans="1:6" ht="15">
      <c r="A6911" s="51">
        <v>294915</v>
      </c>
      <c r="B6911" t="s">
        <v>341</v>
      </c>
      <c r="C6911" s="39" t="s">
        <v>3792</v>
      </c>
      <c r="D6911">
        <v>7</v>
      </c>
      <c r="F6911" s="56"/>
    </row>
    <row r="6912" spans="1:6" ht="15">
      <c r="A6912" s="51">
        <v>294916</v>
      </c>
      <c r="B6912" t="s">
        <v>343</v>
      </c>
      <c r="C6912" s="39" t="s">
        <v>3792</v>
      </c>
      <c r="D6912">
        <v>8</v>
      </c>
      <c r="F6912" s="56"/>
    </row>
    <row r="6913" spans="1:6" ht="15">
      <c r="A6913" s="51">
        <v>294917</v>
      </c>
      <c r="B6913" t="s">
        <v>3347</v>
      </c>
      <c r="C6913" s="39" t="s">
        <v>3792</v>
      </c>
      <c r="D6913">
        <v>8</v>
      </c>
      <c r="F6913" s="56"/>
    </row>
    <row r="6914" spans="1:6" ht="15">
      <c r="A6914" s="51">
        <v>294918</v>
      </c>
      <c r="B6914" t="s">
        <v>1369</v>
      </c>
      <c r="C6914" s="39" t="s">
        <v>1376</v>
      </c>
      <c r="D6914">
        <v>7</v>
      </c>
      <c r="F6914" s="56"/>
    </row>
    <row r="6915" spans="1:6" ht="15">
      <c r="A6915" s="51">
        <v>294919</v>
      </c>
      <c r="B6915" t="s">
        <v>1244</v>
      </c>
      <c r="C6915" s="39" t="s">
        <v>1378</v>
      </c>
      <c r="D6915" t="s">
        <v>4244</v>
      </c>
      <c r="F6915" s="56"/>
    </row>
    <row r="6916" spans="1:6" ht="15">
      <c r="A6916" s="51">
        <v>294920</v>
      </c>
      <c r="B6916" t="s">
        <v>116</v>
      </c>
      <c r="C6916" s="39" t="s">
        <v>1385</v>
      </c>
      <c r="D6916" t="s">
        <v>4243</v>
      </c>
      <c r="F6916" s="56"/>
    </row>
    <row r="6917" spans="1:6" ht="15">
      <c r="A6917" s="51">
        <v>294921</v>
      </c>
      <c r="B6917" t="s">
        <v>118</v>
      </c>
      <c r="C6917" s="39" t="s">
        <v>3793</v>
      </c>
      <c r="D6917">
        <v>8</v>
      </c>
      <c r="F6917" s="56"/>
    </row>
    <row r="6918" spans="1:6" ht="15">
      <c r="A6918" s="51">
        <v>294922</v>
      </c>
      <c r="B6918" t="s">
        <v>119</v>
      </c>
      <c r="C6918" s="39" t="s">
        <v>2193</v>
      </c>
      <c r="D6918" t="s">
        <v>4244</v>
      </c>
      <c r="F6918" s="56"/>
    </row>
    <row r="6919" spans="1:6" ht="15">
      <c r="A6919" s="51">
        <v>294923</v>
      </c>
      <c r="B6919" t="s">
        <v>1710</v>
      </c>
      <c r="C6919" s="39" t="s">
        <v>2149</v>
      </c>
      <c r="D6919">
        <v>8</v>
      </c>
      <c r="F6919" s="56"/>
    </row>
    <row r="6920" spans="1:6" ht="15">
      <c r="A6920" s="51">
        <v>294924</v>
      </c>
      <c r="B6920" t="s">
        <v>846</v>
      </c>
      <c r="C6920" s="39" t="s">
        <v>1388</v>
      </c>
      <c r="D6920" t="s">
        <v>4247</v>
      </c>
      <c r="F6920" s="56"/>
    </row>
    <row r="6921" spans="1:6" ht="15">
      <c r="A6921" s="51">
        <v>294925</v>
      </c>
      <c r="B6921" t="s">
        <v>1384</v>
      </c>
      <c r="C6921" s="39" t="s">
        <v>1388</v>
      </c>
      <c r="D6921" t="s">
        <v>4247</v>
      </c>
      <c r="F6921" s="56"/>
    </row>
    <row r="6922" spans="1:6" ht="15">
      <c r="A6922" s="51">
        <v>294926</v>
      </c>
      <c r="B6922" t="s">
        <v>1163</v>
      </c>
      <c r="C6922" s="39" t="s">
        <v>1388</v>
      </c>
      <c r="D6922" t="s">
        <v>4247</v>
      </c>
      <c r="F6922" s="56"/>
    </row>
    <row r="6923" spans="1:6" ht="15">
      <c r="A6923" s="51">
        <v>294928</v>
      </c>
      <c r="B6923" t="s">
        <v>3348</v>
      </c>
      <c r="C6923" s="39" t="s">
        <v>2600</v>
      </c>
      <c r="D6923" t="s">
        <v>4243</v>
      </c>
      <c r="F6923" s="56"/>
    </row>
    <row r="6924" spans="1:6" ht="15">
      <c r="A6924" s="51">
        <v>294929</v>
      </c>
      <c r="B6924" t="s">
        <v>3794</v>
      </c>
      <c r="C6924" s="39" t="s">
        <v>3795</v>
      </c>
      <c r="D6924">
        <v>8</v>
      </c>
      <c r="F6924" s="56"/>
    </row>
    <row r="6925" spans="1:6" ht="15">
      <c r="A6925" s="51">
        <v>294930</v>
      </c>
      <c r="B6925" t="s">
        <v>1391</v>
      </c>
      <c r="C6925" s="39" t="s">
        <v>3795</v>
      </c>
      <c r="D6925">
        <v>8</v>
      </c>
      <c r="F6925" s="56"/>
    </row>
    <row r="6926" spans="1:6" ht="15">
      <c r="A6926" s="51">
        <v>294931</v>
      </c>
      <c r="B6926" t="s">
        <v>3796</v>
      </c>
      <c r="C6926" s="39" t="s">
        <v>1982</v>
      </c>
      <c r="D6926" t="s">
        <v>4246</v>
      </c>
      <c r="F6926" s="56"/>
    </row>
    <row r="6927" spans="1:6" ht="15">
      <c r="A6927" s="51">
        <v>294932</v>
      </c>
      <c r="B6927" t="s">
        <v>3797</v>
      </c>
      <c r="C6927" s="39" t="s">
        <v>1982</v>
      </c>
      <c r="D6927" t="s">
        <v>4247</v>
      </c>
      <c r="F6927" s="56"/>
    </row>
    <row r="6928" spans="1:6" ht="15">
      <c r="A6928" s="51">
        <v>294933</v>
      </c>
      <c r="B6928" t="s">
        <v>1981</v>
      </c>
      <c r="C6928" s="39" t="s">
        <v>1982</v>
      </c>
      <c r="D6928" t="s">
        <v>4243</v>
      </c>
      <c r="F6928" s="56"/>
    </row>
    <row r="6929" spans="1:6" ht="15">
      <c r="A6929" s="51">
        <v>294934</v>
      </c>
      <c r="B6929" t="s">
        <v>2196</v>
      </c>
      <c r="C6929" s="39" t="s">
        <v>2197</v>
      </c>
      <c r="D6929" t="s">
        <v>4243</v>
      </c>
      <c r="F6929" s="56"/>
    </row>
    <row r="6930" spans="1:6" ht="15">
      <c r="A6930" s="51">
        <v>294935</v>
      </c>
      <c r="B6930" t="s">
        <v>356</v>
      </c>
      <c r="C6930" s="39" t="s">
        <v>3552</v>
      </c>
      <c r="D6930">
        <v>9</v>
      </c>
      <c r="F6930" s="56"/>
    </row>
    <row r="6931" spans="1:6" ht="15">
      <c r="A6931" s="51">
        <v>294936</v>
      </c>
      <c r="B6931" t="s">
        <v>3798</v>
      </c>
      <c r="C6931" s="39" t="s">
        <v>3799</v>
      </c>
      <c r="D6931" t="s">
        <v>4246</v>
      </c>
      <c r="F6931" s="56"/>
    </row>
    <row r="6932" spans="1:6" ht="15">
      <c r="A6932" s="51">
        <v>294937</v>
      </c>
      <c r="B6932" t="s">
        <v>3800</v>
      </c>
      <c r="C6932" s="39" t="s">
        <v>2812</v>
      </c>
      <c r="D6932" t="s">
        <v>4246</v>
      </c>
      <c r="F6932" s="56"/>
    </row>
    <row r="6933" spans="1:6" ht="15">
      <c r="A6933" s="51">
        <v>294938</v>
      </c>
      <c r="B6933" t="s">
        <v>3533</v>
      </c>
      <c r="C6933" s="39" t="s">
        <v>2812</v>
      </c>
      <c r="D6933" t="s">
        <v>4246</v>
      </c>
      <c r="F6933" s="56"/>
    </row>
    <row r="6934" spans="1:6" ht="15">
      <c r="A6934" s="51">
        <v>294939</v>
      </c>
      <c r="B6934" t="s">
        <v>3801</v>
      </c>
      <c r="C6934" s="39" t="s">
        <v>1393</v>
      </c>
      <c r="D6934" t="s">
        <v>4244</v>
      </c>
      <c r="F6934" s="56"/>
    </row>
    <row r="6935" spans="1:6" ht="15">
      <c r="A6935" s="51">
        <v>294940</v>
      </c>
      <c r="B6935" t="s">
        <v>3802</v>
      </c>
      <c r="C6935" s="39" t="s">
        <v>1401</v>
      </c>
      <c r="D6935" t="s">
        <v>4247</v>
      </c>
      <c r="F6935" s="56"/>
    </row>
    <row r="6936" spans="1:6" ht="15">
      <c r="A6936" s="51">
        <v>294941</v>
      </c>
      <c r="B6936" t="s">
        <v>1395</v>
      </c>
      <c r="C6936" s="39" t="s">
        <v>1401</v>
      </c>
      <c r="D6936" t="s">
        <v>4247</v>
      </c>
      <c r="F6936" s="56"/>
    </row>
    <row r="6937" spans="1:6" ht="15">
      <c r="A6937" s="51">
        <v>294942</v>
      </c>
      <c r="B6937" t="s">
        <v>1818</v>
      </c>
      <c r="C6937" s="39" t="s">
        <v>138</v>
      </c>
      <c r="D6937">
        <v>9</v>
      </c>
      <c r="F6937" s="56"/>
    </row>
    <row r="6938" spans="1:6" ht="15">
      <c r="A6938" s="51">
        <v>294943</v>
      </c>
      <c r="B6938" t="s">
        <v>141</v>
      </c>
      <c r="C6938" s="39" t="s">
        <v>1410</v>
      </c>
      <c r="D6938" t="s">
        <v>1595</v>
      </c>
      <c r="F6938" s="56"/>
    </row>
    <row r="6939" spans="1:6" ht="15">
      <c r="A6939" s="51">
        <v>294944</v>
      </c>
      <c r="B6939" t="s">
        <v>1246</v>
      </c>
      <c r="C6939" s="39" t="s">
        <v>1410</v>
      </c>
      <c r="D6939" t="s">
        <v>469</v>
      </c>
      <c r="F6939" s="56"/>
    </row>
    <row r="6940" spans="1:6" ht="15">
      <c r="A6940" s="51">
        <v>294945</v>
      </c>
      <c r="B6940" t="s">
        <v>3803</v>
      </c>
      <c r="C6940" s="39" t="s">
        <v>1410</v>
      </c>
      <c r="D6940">
        <v>8</v>
      </c>
      <c r="F6940" s="56"/>
    </row>
    <row r="6941" spans="1:6" ht="15">
      <c r="A6941" s="51">
        <v>294946</v>
      </c>
      <c r="B6941" t="s">
        <v>3804</v>
      </c>
      <c r="C6941" s="39" t="s">
        <v>3805</v>
      </c>
      <c r="D6941">
        <v>7</v>
      </c>
      <c r="F6941" s="56"/>
    </row>
    <row r="6942" spans="1:6" ht="15">
      <c r="A6942" s="51">
        <v>309671</v>
      </c>
      <c r="B6942" t="s">
        <v>431</v>
      </c>
      <c r="C6942" s="39" t="s">
        <v>3580</v>
      </c>
      <c r="D6942" t="s">
        <v>4246</v>
      </c>
      <c r="F6942" s="56"/>
    </row>
    <row r="6943" spans="1:6" ht="15">
      <c r="A6943" s="51">
        <v>294947</v>
      </c>
      <c r="B6943" t="s">
        <v>2467</v>
      </c>
      <c r="C6943" s="39" t="s">
        <v>1412</v>
      </c>
      <c r="D6943" t="s">
        <v>4244</v>
      </c>
      <c r="F6943" s="56"/>
    </row>
    <row r="6944" spans="1:6" ht="15">
      <c r="A6944" s="51">
        <v>294948</v>
      </c>
      <c r="B6944" t="s">
        <v>1999</v>
      </c>
      <c r="C6944" s="39" t="s">
        <v>1412</v>
      </c>
      <c r="D6944" t="s">
        <v>4244</v>
      </c>
      <c r="F6944" s="56"/>
    </row>
    <row r="6945" spans="1:6" ht="15">
      <c r="A6945" s="51">
        <v>294949</v>
      </c>
      <c r="B6945" t="s">
        <v>2718</v>
      </c>
      <c r="C6945" s="39" t="s">
        <v>3806</v>
      </c>
      <c r="D6945" t="s">
        <v>4243</v>
      </c>
      <c r="F6945" s="56"/>
    </row>
    <row r="6946" spans="1:6" ht="15">
      <c r="A6946" s="51">
        <v>294950</v>
      </c>
      <c r="B6946" t="s">
        <v>149</v>
      </c>
      <c r="C6946" s="39" t="s">
        <v>1418</v>
      </c>
      <c r="D6946" t="s">
        <v>4247</v>
      </c>
      <c r="F6946" s="56"/>
    </row>
    <row r="6947" spans="1:6" ht="15">
      <c r="A6947" s="51">
        <v>294951</v>
      </c>
      <c r="B6947" t="s">
        <v>1413</v>
      </c>
      <c r="C6947" s="39" t="s">
        <v>1418</v>
      </c>
      <c r="D6947" t="s">
        <v>4243</v>
      </c>
      <c r="F6947" s="56"/>
    </row>
    <row r="6948" spans="1:6" ht="15">
      <c r="A6948" s="51">
        <v>294952</v>
      </c>
      <c r="B6948" t="s">
        <v>3807</v>
      </c>
      <c r="C6948" s="39" t="s">
        <v>3808</v>
      </c>
      <c r="D6948">
        <v>8</v>
      </c>
      <c r="F6948" s="56"/>
    </row>
    <row r="6949" spans="1:6" ht="15">
      <c r="A6949" s="51">
        <v>294953</v>
      </c>
      <c r="B6949" t="s">
        <v>374</v>
      </c>
      <c r="C6949" s="39" t="s">
        <v>1420</v>
      </c>
      <c r="D6949" t="s">
        <v>468</v>
      </c>
      <c r="F6949" s="56"/>
    </row>
    <row r="6950" spans="1:6" ht="15">
      <c r="A6950" s="51">
        <v>294954</v>
      </c>
      <c r="B6950" t="s">
        <v>150</v>
      </c>
      <c r="C6950" s="39" t="s">
        <v>1420</v>
      </c>
      <c r="D6950" t="s">
        <v>468</v>
      </c>
      <c r="F6950" s="56"/>
    </row>
    <row r="6951" spans="1:6" ht="15">
      <c r="A6951" s="51">
        <v>294955</v>
      </c>
      <c r="B6951" t="s">
        <v>156</v>
      </c>
      <c r="C6951" s="39" t="s">
        <v>2205</v>
      </c>
      <c r="D6951">
        <v>8</v>
      </c>
      <c r="F6951" s="56"/>
    </row>
    <row r="6952" spans="1:6" ht="15">
      <c r="A6952" s="51">
        <v>294956</v>
      </c>
      <c r="B6952" t="s">
        <v>2848</v>
      </c>
      <c r="C6952" s="39" t="s">
        <v>3809</v>
      </c>
      <c r="D6952" t="s">
        <v>4243</v>
      </c>
      <c r="F6952" s="56"/>
    </row>
    <row r="6953" spans="1:6" ht="15">
      <c r="A6953" s="51">
        <v>294957</v>
      </c>
      <c r="B6953" t="s">
        <v>1421</v>
      </c>
      <c r="C6953" s="39" t="s">
        <v>3809</v>
      </c>
      <c r="D6953">
        <v>8</v>
      </c>
      <c r="F6953" s="56"/>
    </row>
    <row r="6954" spans="1:6" ht="15">
      <c r="A6954" s="51">
        <v>294958</v>
      </c>
      <c r="B6954" t="s">
        <v>2727</v>
      </c>
      <c r="C6954" s="39" t="s">
        <v>2726</v>
      </c>
      <c r="D6954">
        <v>8</v>
      </c>
      <c r="F6954" s="56"/>
    </row>
    <row r="6955" spans="1:6" ht="15">
      <c r="A6955" s="51">
        <v>294959</v>
      </c>
      <c r="B6955" t="s">
        <v>3810</v>
      </c>
      <c r="C6955" s="39" t="s">
        <v>2726</v>
      </c>
      <c r="D6955">
        <v>8</v>
      </c>
      <c r="F6955" s="56"/>
    </row>
    <row r="6956" spans="1:6" ht="15">
      <c r="A6956" s="51">
        <v>294960</v>
      </c>
      <c r="B6956" t="s">
        <v>2473</v>
      </c>
      <c r="C6956" s="39" t="s">
        <v>1426</v>
      </c>
      <c r="D6956" t="s">
        <v>4246</v>
      </c>
      <c r="F6956" s="56"/>
    </row>
    <row r="6957" spans="1:6" ht="15">
      <c r="A6957" s="51">
        <v>294961</v>
      </c>
      <c r="B6957" t="s">
        <v>2011</v>
      </c>
      <c r="C6957" s="39" t="s">
        <v>1426</v>
      </c>
      <c r="D6957" t="s">
        <v>4246</v>
      </c>
      <c r="F6957" s="56"/>
    </row>
    <row r="6958" spans="1:6" ht="15">
      <c r="A6958" s="51">
        <v>294962</v>
      </c>
      <c r="B6958" t="s">
        <v>2210</v>
      </c>
      <c r="C6958" s="39" t="s">
        <v>3811</v>
      </c>
      <c r="D6958">
        <v>8</v>
      </c>
      <c r="F6958" s="56"/>
    </row>
    <row r="6959" spans="1:6" ht="15">
      <c r="A6959" s="51">
        <v>294963</v>
      </c>
      <c r="B6959" t="s">
        <v>1051</v>
      </c>
      <c r="C6959" s="39" t="s">
        <v>1431</v>
      </c>
      <c r="D6959" t="s">
        <v>4246</v>
      </c>
      <c r="F6959" s="56"/>
    </row>
    <row r="6960" spans="1:6" ht="15">
      <c r="A6960" s="51">
        <v>294964</v>
      </c>
      <c r="B6960" t="s">
        <v>1430</v>
      </c>
      <c r="C6960" s="39" t="s">
        <v>1432</v>
      </c>
      <c r="D6960">
        <v>7</v>
      </c>
      <c r="F6960" s="56"/>
    </row>
    <row r="6961" spans="1:6" ht="15">
      <c r="A6961" s="51">
        <v>294965</v>
      </c>
      <c r="B6961" t="s">
        <v>167</v>
      </c>
      <c r="C6961" s="39" t="s">
        <v>3812</v>
      </c>
      <c r="D6961">
        <v>8</v>
      </c>
      <c r="F6961" s="56"/>
    </row>
    <row r="6962" spans="1:6" ht="15">
      <c r="A6962" s="51">
        <v>294966</v>
      </c>
      <c r="B6962" t="s">
        <v>168</v>
      </c>
      <c r="C6962" s="39" t="s">
        <v>3812</v>
      </c>
      <c r="D6962">
        <v>8</v>
      </c>
      <c r="F6962" s="56"/>
    </row>
    <row r="6963" spans="1:6" ht="15">
      <c r="A6963" s="51">
        <v>294967</v>
      </c>
      <c r="B6963" t="s">
        <v>1562</v>
      </c>
      <c r="C6963" s="39" t="s">
        <v>3813</v>
      </c>
      <c r="D6963">
        <v>8</v>
      </c>
      <c r="F6963" s="56"/>
    </row>
    <row r="6964" spans="1:6" ht="15">
      <c r="A6964" s="51">
        <v>294968</v>
      </c>
      <c r="B6964" t="s">
        <v>184</v>
      </c>
      <c r="C6964" s="39" t="s">
        <v>1439</v>
      </c>
      <c r="D6964" t="s">
        <v>4243</v>
      </c>
      <c r="F6964" s="56"/>
    </row>
    <row r="6965" spans="1:6" ht="15">
      <c r="A6965" s="51">
        <v>294969</v>
      </c>
      <c r="B6965" t="s">
        <v>186</v>
      </c>
      <c r="C6965" s="39" t="s">
        <v>1439</v>
      </c>
      <c r="D6965" t="s">
        <v>4243</v>
      </c>
      <c r="F6965" s="56"/>
    </row>
    <row r="6966" spans="1:6" ht="15">
      <c r="A6966" s="51">
        <v>294970</v>
      </c>
      <c r="B6966" t="s">
        <v>395</v>
      </c>
      <c r="C6966" s="39" t="s">
        <v>1439</v>
      </c>
      <c r="D6966">
        <v>8</v>
      </c>
      <c r="F6966" s="56"/>
    </row>
    <row r="6967" spans="1:6" ht="15">
      <c r="A6967" s="51">
        <v>294971</v>
      </c>
      <c r="B6967" t="s">
        <v>1186</v>
      </c>
      <c r="C6967" s="39" t="s">
        <v>3814</v>
      </c>
      <c r="D6967" t="s">
        <v>4243</v>
      </c>
      <c r="F6967" s="56"/>
    </row>
    <row r="6968" spans="1:6" ht="15">
      <c r="A6968" s="51">
        <v>294972</v>
      </c>
      <c r="B6968" t="s">
        <v>69</v>
      </c>
      <c r="C6968" s="39" t="s">
        <v>3814</v>
      </c>
      <c r="D6968">
        <v>8</v>
      </c>
      <c r="F6968" s="56"/>
    </row>
    <row r="6969" spans="1:6" ht="15">
      <c r="A6969" s="51">
        <v>294973</v>
      </c>
      <c r="B6969" t="s">
        <v>1830</v>
      </c>
      <c r="C6969" s="39" t="s">
        <v>3815</v>
      </c>
      <c r="D6969" t="s">
        <v>4244</v>
      </c>
      <c r="F6969" s="56"/>
    </row>
    <row r="6970" spans="1:6" ht="15">
      <c r="A6970" s="51">
        <v>294974</v>
      </c>
      <c r="B6970" t="s">
        <v>1440</v>
      </c>
      <c r="C6970" s="39" t="s">
        <v>3815</v>
      </c>
      <c r="D6970" t="s">
        <v>4244</v>
      </c>
      <c r="F6970" s="56"/>
    </row>
    <row r="6971" spans="1:6" ht="15">
      <c r="A6971" s="51">
        <v>294975</v>
      </c>
      <c r="B6971" t="s">
        <v>399</v>
      </c>
      <c r="C6971" s="39" t="s">
        <v>1445</v>
      </c>
      <c r="D6971" t="s">
        <v>4243</v>
      </c>
      <c r="F6971" s="56"/>
    </row>
    <row r="6972" spans="1:6" ht="15">
      <c r="A6972" s="51">
        <v>294976</v>
      </c>
      <c r="B6972" t="s">
        <v>1190</v>
      </c>
      <c r="C6972" s="39" t="s">
        <v>3816</v>
      </c>
      <c r="D6972">
        <v>8</v>
      </c>
      <c r="F6972" s="56"/>
    </row>
    <row r="6973" spans="1:6" ht="15">
      <c r="A6973" s="51">
        <v>294977</v>
      </c>
      <c r="B6973" t="s">
        <v>1566</v>
      </c>
      <c r="C6973" s="39" t="s">
        <v>1452</v>
      </c>
      <c r="D6973" t="s">
        <v>4244</v>
      </c>
      <c r="F6973" s="56"/>
    </row>
    <row r="6974" spans="1:6" ht="15">
      <c r="A6974" s="51">
        <v>294978</v>
      </c>
      <c r="B6974" t="s">
        <v>1567</v>
      </c>
      <c r="C6974" s="39" t="s">
        <v>1452</v>
      </c>
      <c r="D6974" t="s">
        <v>4244</v>
      </c>
      <c r="F6974" s="56"/>
    </row>
    <row r="6975" spans="1:6" ht="15">
      <c r="A6975" s="51">
        <v>294979</v>
      </c>
      <c r="B6975" t="s">
        <v>3817</v>
      </c>
      <c r="C6975" s="39" t="s">
        <v>1452</v>
      </c>
      <c r="D6975" t="s">
        <v>4243</v>
      </c>
      <c r="F6975" s="56"/>
    </row>
    <row r="6976" spans="1:6" ht="15">
      <c r="A6976" s="51">
        <v>294980</v>
      </c>
      <c r="B6976" t="s">
        <v>1453</v>
      </c>
      <c r="C6976" s="39" t="s">
        <v>3818</v>
      </c>
      <c r="D6976" t="s">
        <v>4243</v>
      </c>
      <c r="F6976" s="56"/>
    </row>
    <row r="6977" spans="1:6" ht="15">
      <c r="A6977" s="51">
        <v>294981</v>
      </c>
      <c r="B6977" t="s">
        <v>1076</v>
      </c>
      <c r="C6977" s="39" t="s">
        <v>2032</v>
      </c>
      <c r="D6977" t="s">
        <v>4243</v>
      </c>
      <c r="F6977" s="56"/>
    </row>
    <row r="6978" spans="1:6" ht="15">
      <c r="A6978" s="51">
        <v>294982</v>
      </c>
      <c r="B6978" t="s">
        <v>3819</v>
      </c>
      <c r="C6978" s="39" t="s">
        <v>3820</v>
      </c>
      <c r="D6978" t="s">
        <v>4245</v>
      </c>
      <c r="F6978" s="56"/>
    </row>
    <row r="6979" spans="1:6" ht="15">
      <c r="A6979" s="51">
        <v>294983</v>
      </c>
      <c r="B6979" t="s">
        <v>3821</v>
      </c>
      <c r="C6979" s="39" t="s">
        <v>3820</v>
      </c>
      <c r="D6979" t="s">
        <v>4246</v>
      </c>
      <c r="F6979" s="56"/>
    </row>
    <row r="6980" spans="1:6" ht="15">
      <c r="A6980" s="51">
        <v>294984</v>
      </c>
      <c r="B6980" t="s">
        <v>3822</v>
      </c>
      <c r="C6980" s="39" t="s">
        <v>3820</v>
      </c>
      <c r="D6980" t="s">
        <v>4244</v>
      </c>
      <c r="F6980" s="56"/>
    </row>
    <row r="6981" spans="1:6" ht="15">
      <c r="A6981" s="51">
        <v>294985</v>
      </c>
      <c r="B6981" t="s">
        <v>2748</v>
      </c>
      <c r="C6981" s="39" t="s">
        <v>1457</v>
      </c>
      <c r="D6981" t="s">
        <v>4247</v>
      </c>
      <c r="F6981" s="56"/>
    </row>
    <row r="6982" spans="1:6" ht="15">
      <c r="A6982" s="51">
        <v>294986</v>
      </c>
      <c r="B6982" t="s">
        <v>1456</v>
      </c>
      <c r="C6982" s="39" t="s">
        <v>1457</v>
      </c>
      <c r="D6982" t="s">
        <v>4244</v>
      </c>
      <c r="F6982" s="56"/>
    </row>
    <row r="6983" spans="1:6" ht="15">
      <c r="A6983" s="51">
        <v>294987</v>
      </c>
      <c r="B6983" t="s">
        <v>3823</v>
      </c>
      <c r="C6983" s="39" t="s">
        <v>1457</v>
      </c>
      <c r="D6983" t="s">
        <v>4243</v>
      </c>
      <c r="F6983" s="56"/>
    </row>
    <row r="6984" spans="1:6" ht="15">
      <c r="A6984" s="51">
        <v>294988</v>
      </c>
      <c r="B6984" t="s">
        <v>1460</v>
      </c>
      <c r="C6984" s="39" t="s">
        <v>1457</v>
      </c>
      <c r="D6984" t="s">
        <v>4244</v>
      </c>
      <c r="F6984" s="56"/>
    </row>
    <row r="6985" spans="1:6" ht="15">
      <c r="A6985" s="51">
        <v>294989</v>
      </c>
      <c r="B6985" t="s">
        <v>3824</v>
      </c>
      <c r="C6985" s="39" t="s">
        <v>1464</v>
      </c>
      <c r="D6985" t="s">
        <v>4243</v>
      </c>
      <c r="F6985" s="56"/>
    </row>
    <row r="6986" spans="1:6" ht="15">
      <c r="A6986" s="51">
        <v>294990</v>
      </c>
      <c r="B6986" t="s">
        <v>212</v>
      </c>
      <c r="C6986" s="39" t="s">
        <v>1464</v>
      </c>
      <c r="D6986" t="s">
        <v>4243</v>
      </c>
      <c r="F6986" s="56"/>
    </row>
    <row r="6987" spans="1:6" ht="15">
      <c r="A6987" s="51">
        <v>294991</v>
      </c>
      <c r="B6987" t="s">
        <v>967</v>
      </c>
      <c r="C6987" s="39" t="s">
        <v>228</v>
      </c>
      <c r="D6987">
        <v>9</v>
      </c>
      <c r="F6987" s="56"/>
    </row>
    <row r="6988" spans="1:6" ht="15">
      <c r="A6988" s="51">
        <v>294992</v>
      </c>
      <c r="B6988" t="s">
        <v>1470</v>
      </c>
      <c r="C6988" s="39" t="s">
        <v>228</v>
      </c>
      <c r="D6988">
        <v>9</v>
      </c>
      <c r="F6988" s="56"/>
    </row>
    <row r="6989" spans="1:6" ht="15">
      <c r="A6989" s="51">
        <v>294993</v>
      </c>
      <c r="B6989" t="s">
        <v>2233</v>
      </c>
      <c r="C6989" s="39" t="s">
        <v>2147</v>
      </c>
      <c r="D6989" t="s">
        <v>4243</v>
      </c>
      <c r="F6989" s="56"/>
    </row>
    <row r="6990" spans="1:6" ht="15">
      <c r="A6990" s="51">
        <v>294994</v>
      </c>
      <c r="B6990" t="s">
        <v>2234</v>
      </c>
      <c r="C6990" s="39" t="s">
        <v>2144</v>
      </c>
      <c r="D6990">
        <v>8</v>
      </c>
      <c r="F6990" s="56"/>
    </row>
    <row r="6991" spans="1:6" ht="15">
      <c r="A6991" s="51">
        <v>294995</v>
      </c>
      <c r="B6991" t="s">
        <v>3575</v>
      </c>
      <c r="C6991" s="39" t="s">
        <v>2144</v>
      </c>
      <c r="D6991">
        <v>8</v>
      </c>
      <c r="F6991" s="56"/>
    </row>
    <row r="6992" spans="1:6" ht="15">
      <c r="A6992" s="51">
        <v>294996</v>
      </c>
      <c r="B6992" t="s">
        <v>2753</v>
      </c>
      <c r="C6992" s="39" t="s">
        <v>3825</v>
      </c>
      <c r="D6992">
        <v>8</v>
      </c>
      <c r="F6992" s="56"/>
    </row>
    <row r="6993" spans="1:6" ht="15">
      <c r="A6993" s="51">
        <v>294997</v>
      </c>
      <c r="B6993" t="s">
        <v>3618</v>
      </c>
      <c r="C6993" s="39" t="s">
        <v>3826</v>
      </c>
      <c r="D6993">
        <v>8</v>
      </c>
      <c r="F6993" s="56"/>
    </row>
    <row r="6994" spans="1:6" ht="15">
      <c r="A6994" s="51">
        <v>294998</v>
      </c>
      <c r="B6994" t="s">
        <v>3827</v>
      </c>
      <c r="C6994" s="39" t="s">
        <v>2236</v>
      </c>
      <c r="D6994" t="s">
        <v>4245</v>
      </c>
      <c r="F6994" s="56"/>
    </row>
    <row r="6995" spans="1:6" ht="15">
      <c r="A6995" s="51">
        <v>294999</v>
      </c>
      <c r="B6995" t="s">
        <v>3828</v>
      </c>
      <c r="C6995" s="39" t="s">
        <v>2236</v>
      </c>
      <c r="D6995" t="s">
        <v>4244</v>
      </c>
      <c r="F6995" s="56"/>
    </row>
    <row r="6996" spans="1:6" ht="15">
      <c r="A6996" s="51">
        <v>295000</v>
      </c>
      <c r="B6996" t="s">
        <v>2235</v>
      </c>
      <c r="C6996" s="39" t="s">
        <v>2236</v>
      </c>
      <c r="D6996">
        <v>8</v>
      </c>
      <c r="F6996" s="56"/>
    </row>
    <row r="6997" spans="1:6" ht="15">
      <c r="A6997" s="51">
        <v>295001</v>
      </c>
      <c r="B6997" t="s">
        <v>3829</v>
      </c>
      <c r="C6997" s="39" t="s">
        <v>2236</v>
      </c>
      <c r="D6997" t="s">
        <v>4246</v>
      </c>
      <c r="F6997" s="56"/>
    </row>
    <row r="6998" spans="1:6" ht="15">
      <c r="A6998" s="51">
        <v>295002</v>
      </c>
      <c r="B6998" t="s">
        <v>2060</v>
      </c>
      <c r="C6998" s="39" t="s">
        <v>2236</v>
      </c>
      <c r="D6998" t="s">
        <v>4244</v>
      </c>
      <c r="F6998" s="56"/>
    </row>
    <row r="6999" spans="1:6" ht="15">
      <c r="A6999" s="51">
        <v>295003</v>
      </c>
      <c r="B6999" t="s">
        <v>3830</v>
      </c>
      <c r="C6999" s="39" t="s">
        <v>3831</v>
      </c>
      <c r="D6999">
        <v>8</v>
      </c>
      <c r="F6999" s="56"/>
    </row>
    <row r="7000" spans="1:6" ht="15">
      <c r="A7000" s="51">
        <v>295004</v>
      </c>
      <c r="B7000" t="s">
        <v>3832</v>
      </c>
      <c r="C7000" s="39" t="s">
        <v>3833</v>
      </c>
      <c r="D7000">
        <v>8</v>
      </c>
      <c r="F7000" s="56"/>
    </row>
    <row r="7001" spans="1:6" ht="15">
      <c r="A7001" s="51">
        <v>295005</v>
      </c>
      <c r="B7001" t="s">
        <v>1196</v>
      </c>
      <c r="C7001" s="39" t="s">
        <v>3834</v>
      </c>
      <c r="D7001" t="s">
        <v>4245</v>
      </c>
      <c r="F7001" s="56"/>
    </row>
    <row r="7002" spans="1:6" ht="15">
      <c r="A7002" s="51">
        <v>295006</v>
      </c>
      <c r="B7002" t="s">
        <v>1197</v>
      </c>
      <c r="C7002" s="39" t="s">
        <v>3834</v>
      </c>
      <c r="D7002" t="s">
        <v>4246</v>
      </c>
      <c r="F7002" s="56"/>
    </row>
    <row r="7003" spans="1:6" ht="15">
      <c r="A7003" s="51">
        <v>295007</v>
      </c>
      <c r="B7003" t="s">
        <v>2062</v>
      </c>
      <c r="C7003" s="39" t="s">
        <v>3834</v>
      </c>
      <c r="D7003" t="s">
        <v>4244</v>
      </c>
      <c r="F7003" s="56"/>
    </row>
    <row r="7004" spans="1:6" ht="15">
      <c r="A7004" s="51">
        <v>295008</v>
      </c>
      <c r="B7004" t="s">
        <v>2240</v>
      </c>
      <c r="C7004" s="39" t="s">
        <v>3835</v>
      </c>
      <c r="D7004" t="s">
        <v>4243</v>
      </c>
      <c r="F7004" s="56"/>
    </row>
    <row r="7005" spans="1:6" ht="15">
      <c r="A7005" s="51">
        <v>295009</v>
      </c>
      <c r="B7005" t="s">
        <v>2243</v>
      </c>
      <c r="C7005" s="39" t="s">
        <v>1482</v>
      </c>
      <c r="D7005" t="s">
        <v>4244</v>
      </c>
      <c r="F7005" s="56"/>
    </row>
    <row r="7006" spans="1:6" ht="15">
      <c r="A7006" s="51">
        <v>295010</v>
      </c>
      <c r="B7006" t="s">
        <v>1479</v>
      </c>
      <c r="C7006" s="39" t="s">
        <v>1482</v>
      </c>
      <c r="D7006" t="s">
        <v>4244</v>
      </c>
      <c r="F7006" s="56"/>
    </row>
    <row r="7007" spans="1:6" ht="15">
      <c r="A7007" s="51">
        <v>309672</v>
      </c>
      <c r="B7007" t="s">
        <v>2768</v>
      </c>
      <c r="C7007" s="39" t="s">
        <v>258</v>
      </c>
      <c r="D7007">
        <v>9</v>
      </c>
      <c r="F7007" s="56"/>
    </row>
    <row r="7008" spans="1:6" ht="15">
      <c r="A7008" s="51">
        <v>295011</v>
      </c>
      <c r="B7008" t="s">
        <v>3836</v>
      </c>
      <c r="C7008" s="39" t="s">
        <v>1484</v>
      </c>
      <c r="D7008">
        <v>8</v>
      </c>
      <c r="F7008" s="56"/>
    </row>
    <row r="7009" spans="1:6" ht="15">
      <c r="A7009" s="51">
        <v>295012</v>
      </c>
      <c r="B7009" t="s">
        <v>2762</v>
      </c>
      <c r="C7009" s="39" t="s">
        <v>1484</v>
      </c>
      <c r="D7009">
        <v>8</v>
      </c>
      <c r="F7009" s="56"/>
    </row>
    <row r="7010" spans="1:6" ht="15">
      <c r="A7010" s="51">
        <v>295013</v>
      </c>
      <c r="B7010" t="s">
        <v>1857</v>
      </c>
      <c r="C7010" s="39" t="s">
        <v>2246</v>
      </c>
      <c r="D7010" t="s">
        <v>4247</v>
      </c>
      <c r="F7010" s="56"/>
    </row>
    <row r="7011" spans="1:6" ht="15">
      <c r="A7011" s="51">
        <v>295014</v>
      </c>
      <c r="B7011" t="s">
        <v>2245</v>
      </c>
      <c r="C7011" s="39" t="s">
        <v>2246</v>
      </c>
      <c r="D7011" t="s">
        <v>4243</v>
      </c>
      <c r="F7011" s="56"/>
    </row>
    <row r="7012" spans="1:6" ht="15">
      <c r="A7012" s="51">
        <v>295015</v>
      </c>
      <c r="B7012" t="s">
        <v>1487</v>
      </c>
      <c r="C7012" s="39" t="s">
        <v>2074</v>
      </c>
      <c r="D7012">
        <v>8</v>
      </c>
      <c r="F7012" s="56"/>
    </row>
    <row r="7013" spans="1:6" ht="15">
      <c r="A7013" s="51">
        <v>295016</v>
      </c>
      <c r="B7013" t="s">
        <v>3837</v>
      </c>
      <c r="C7013" s="39" t="s">
        <v>3838</v>
      </c>
      <c r="D7013" t="s">
        <v>4243</v>
      </c>
      <c r="F7013" s="56"/>
    </row>
    <row r="7014" spans="1:6" ht="15">
      <c r="A7014" s="51">
        <v>295017</v>
      </c>
      <c r="B7014" t="s">
        <v>1202</v>
      </c>
      <c r="C7014" s="39" t="s">
        <v>3839</v>
      </c>
      <c r="D7014" t="s">
        <v>471</v>
      </c>
      <c r="F7014" s="56"/>
    </row>
    <row r="7015" spans="1:6" ht="15">
      <c r="A7015" s="51">
        <v>295018</v>
      </c>
      <c r="B7015" t="s">
        <v>1489</v>
      </c>
      <c r="C7015" s="39" t="s">
        <v>3840</v>
      </c>
      <c r="D7015">
        <v>8</v>
      </c>
      <c r="F7015" s="56"/>
    </row>
    <row r="7016" spans="1:6" ht="15">
      <c r="A7016" s="51">
        <v>295019</v>
      </c>
      <c r="B7016" t="s">
        <v>3841</v>
      </c>
      <c r="C7016" s="39" t="s">
        <v>3842</v>
      </c>
      <c r="D7016">
        <v>8</v>
      </c>
      <c r="F7016" s="56"/>
    </row>
    <row r="7017" spans="1:6" ht="15">
      <c r="A7017" s="51">
        <v>295020</v>
      </c>
      <c r="B7017" t="s">
        <v>1775</v>
      </c>
      <c r="C7017" s="39" t="s">
        <v>3843</v>
      </c>
      <c r="D7017">
        <v>8</v>
      </c>
      <c r="F7017" s="56"/>
    </row>
    <row r="7018" spans="1:6" ht="15">
      <c r="A7018" s="51">
        <v>295021</v>
      </c>
      <c r="B7018" t="s">
        <v>1492</v>
      </c>
      <c r="C7018" s="39" t="s">
        <v>1501</v>
      </c>
      <c r="D7018" t="s">
        <v>4244</v>
      </c>
      <c r="F7018" s="56"/>
    </row>
    <row r="7019" spans="1:6" ht="15">
      <c r="A7019" s="51">
        <v>295022</v>
      </c>
      <c r="B7019" t="s">
        <v>1496</v>
      </c>
      <c r="C7019" s="39" t="s">
        <v>3844</v>
      </c>
      <c r="D7019">
        <v>8</v>
      </c>
      <c r="F7019" s="56"/>
    </row>
    <row r="7020" spans="1:6" ht="15">
      <c r="A7020" s="51">
        <v>295023</v>
      </c>
      <c r="B7020" t="s">
        <v>1206</v>
      </c>
      <c r="C7020" s="39" t="s">
        <v>1504</v>
      </c>
      <c r="D7020" t="s">
        <v>4243</v>
      </c>
      <c r="F7020" s="56"/>
    </row>
    <row r="7021" spans="1:6" ht="15">
      <c r="A7021" s="51">
        <v>295024</v>
      </c>
      <c r="B7021" t="s">
        <v>2266</v>
      </c>
      <c r="C7021" s="39" t="s">
        <v>2260</v>
      </c>
      <c r="D7021" t="s">
        <v>4244</v>
      </c>
      <c r="F7021" s="56"/>
    </row>
    <row r="7022" spans="1:6" ht="15">
      <c r="A7022" s="51">
        <v>295025</v>
      </c>
      <c r="B7022" t="s">
        <v>3845</v>
      </c>
      <c r="C7022" s="39" t="s">
        <v>2260</v>
      </c>
      <c r="D7022" t="s">
        <v>4244</v>
      </c>
      <c r="F7022" s="56"/>
    </row>
    <row r="7023" spans="1:6" ht="15">
      <c r="A7023" s="51">
        <v>295026</v>
      </c>
      <c r="B7023" t="s">
        <v>3846</v>
      </c>
      <c r="C7023" s="39" t="s">
        <v>3847</v>
      </c>
      <c r="D7023">
        <v>8</v>
      </c>
      <c r="F7023" s="56"/>
    </row>
    <row r="7024" spans="1:6" ht="15">
      <c r="A7024" s="51">
        <v>295027</v>
      </c>
      <c r="B7024" t="s">
        <v>883</v>
      </c>
      <c r="C7024" s="39" t="s">
        <v>1308</v>
      </c>
      <c r="D7024">
        <v>8</v>
      </c>
      <c r="F7024" s="56"/>
    </row>
    <row r="7025" spans="1:6" ht="15">
      <c r="A7025" s="51">
        <v>295028</v>
      </c>
      <c r="B7025" t="s">
        <v>2905</v>
      </c>
      <c r="C7025" s="39" t="s">
        <v>2906</v>
      </c>
      <c r="D7025">
        <v>8</v>
      </c>
      <c r="F7025" s="56"/>
    </row>
    <row r="7026" spans="1:6" ht="15">
      <c r="A7026" s="51">
        <v>295029</v>
      </c>
      <c r="B7026" t="s">
        <v>2767</v>
      </c>
      <c r="C7026" s="39" t="s">
        <v>440</v>
      </c>
      <c r="D7026">
        <v>9</v>
      </c>
      <c r="F7026" s="56"/>
    </row>
    <row r="7027" spans="1:6" ht="15">
      <c r="A7027" s="51">
        <v>295030</v>
      </c>
      <c r="B7027" t="s">
        <v>259</v>
      </c>
      <c r="C7027" s="39" t="s">
        <v>258</v>
      </c>
      <c r="D7027">
        <v>9</v>
      </c>
      <c r="F7027" s="56"/>
    </row>
    <row r="7028" spans="1:6" ht="15">
      <c r="A7028" s="51">
        <v>295031</v>
      </c>
      <c r="B7028" t="s">
        <v>441</v>
      </c>
      <c r="C7028" s="39" t="s">
        <v>258</v>
      </c>
      <c r="D7028">
        <v>9</v>
      </c>
      <c r="F7028" s="56"/>
    </row>
    <row r="7029" spans="1:6" ht="15">
      <c r="A7029" s="51">
        <v>295032</v>
      </c>
      <c r="B7029" t="s">
        <v>443</v>
      </c>
      <c r="C7029" s="39" t="s">
        <v>258</v>
      </c>
      <c r="D7029">
        <v>9</v>
      </c>
      <c r="F7029" s="56"/>
    </row>
    <row r="7030" spans="1:6" ht="15">
      <c r="A7030" s="51">
        <v>295033</v>
      </c>
      <c r="B7030" t="s">
        <v>444</v>
      </c>
      <c r="C7030" s="39" t="s">
        <v>258</v>
      </c>
      <c r="D7030">
        <v>9</v>
      </c>
      <c r="F7030" s="56"/>
    </row>
    <row r="7031" spans="1:6" ht="15">
      <c r="A7031" s="51">
        <v>295034</v>
      </c>
      <c r="B7031" t="s">
        <v>1510</v>
      </c>
      <c r="C7031" s="39" t="s">
        <v>258</v>
      </c>
      <c r="D7031">
        <v>9</v>
      </c>
      <c r="F7031" s="56"/>
    </row>
    <row r="7032" spans="1:6" ht="15">
      <c r="A7032" s="51">
        <v>295035</v>
      </c>
      <c r="B7032" t="s">
        <v>449</v>
      </c>
      <c r="C7032" s="39" t="s">
        <v>450</v>
      </c>
      <c r="D7032">
        <v>9</v>
      </c>
      <c r="F7032" s="56"/>
    </row>
    <row r="7033" spans="1:6" ht="15">
      <c r="A7033" s="51">
        <v>295037</v>
      </c>
      <c r="B7033" t="s">
        <v>1133</v>
      </c>
      <c r="C7033" s="39" t="s">
        <v>1515</v>
      </c>
      <c r="D7033" t="s">
        <v>1595</v>
      </c>
      <c r="F7033" s="56"/>
    </row>
    <row r="7034" spans="1:6" ht="15">
      <c r="A7034" s="51">
        <v>295038</v>
      </c>
      <c r="B7034" t="s">
        <v>1135</v>
      </c>
      <c r="C7034" s="39" t="s">
        <v>1515</v>
      </c>
      <c r="D7034" t="s">
        <v>468</v>
      </c>
      <c r="F7034" s="56"/>
    </row>
    <row r="7035" spans="1:6" ht="15">
      <c r="A7035" s="51">
        <v>295039</v>
      </c>
      <c r="B7035" t="s">
        <v>2268</v>
      </c>
      <c r="C7035" s="39" t="s">
        <v>1515</v>
      </c>
      <c r="D7035" t="s">
        <v>469</v>
      </c>
      <c r="F7035" s="56"/>
    </row>
    <row r="7036" spans="1:6" ht="15">
      <c r="A7036" s="51">
        <v>295040</v>
      </c>
      <c r="B7036" t="s">
        <v>2644</v>
      </c>
      <c r="C7036" s="39" t="s">
        <v>1515</v>
      </c>
      <c r="D7036">
        <v>7</v>
      </c>
      <c r="F7036" s="56"/>
    </row>
    <row r="7037" spans="1:6" ht="15">
      <c r="A7037" s="51">
        <v>295041</v>
      </c>
      <c r="B7037" t="s">
        <v>1514</v>
      </c>
      <c r="C7037" s="39" t="s">
        <v>1515</v>
      </c>
      <c r="D7037" t="s">
        <v>1596</v>
      </c>
      <c r="F7037" s="56"/>
    </row>
    <row r="7038" spans="1:6" ht="15">
      <c r="A7038" s="51">
        <v>295042</v>
      </c>
      <c r="B7038" t="s">
        <v>282</v>
      </c>
      <c r="C7038" s="39" t="s">
        <v>2091</v>
      </c>
      <c r="D7038">
        <v>7</v>
      </c>
      <c r="F7038" s="56"/>
    </row>
    <row r="7039" spans="1:6" ht="15">
      <c r="A7039" s="51">
        <v>294781</v>
      </c>
      <c r="B7039" t="s">
        <v>2604</v>
      </c>
      <c r="C7039" s="39" t="s">
        <v>88</v>
      </c>
      <c r="D7039">
        <v>8</v>
      </c>
      <c r="F7039" s="56"/>
    </row>
    <row r="7040" spans="1:6" ht="15">
      <c r="A7040" s="51">
        <v>294782</v>
      </c>
      <c r="B7040" t="s">
        <v>1142</v>
      </c>
      <c r="C7040" s="39" t="s">
        <v>971</v>
      </c>
      <c r="D7040" t="s">
        <v>4246</v>
      </c>
      <c r="F7040" s="56"/>
    </row>
    <row r="7041" spans="1:6" ht="15">
      <c r="A7041" s="51">
        <v>294783</v>
      </c>
      <c r="B7041" t="s">
        <v>1143</v>
      </c>
      <c r="C7041" s="39" t="s">
        <v>971</v>
      </c>
      <c r="D7041" t="s">
        <v>4247</v>
      </c>
      <c r="F7041" s="56"/>
    </row>
    <row r="7042" spans="1:6" ht="15">
      <c r="A7042" s="51">
        <v>294784</v>
      </c>
      <c r="B7042" t="s">
        <v>3848</v>
      </c>
      <c r="C7042" s="39" t="s">
        <v>324</v>
      </c>
      <c r="D7042">
        <v>7</v>
      </c>
      <c r="F7042" s="56"/>
    </row>
    <row r="7043" spans="1:6" ht="15">
      <c r="A7043" s="51">
        <v>294785</v>
      </c>
      <c r="B7043" t="s">
        <v>89</v>
      </c>
      <c r="C7043" s="39" t="s">
        <v>90</v>
      </c>
      <c r="D7043">
        <v>7</v>
      </c>
      <c r="F7043" s="56"/>
    </row>
    <row r="7044" spans="1:6" ht="15">
      <c r="A7044" s="51">
        <v>294786</v>
      </c>
      <c r="B7044" t="s">
        <v>1233</v>
      </c>
      <c r="C7044" s="39" t="s">
        <v>92</v>
      </c>
      <c r="D7044" t="s">
        <v>4247</v>
      </c>
      <c r="F7044" s="56"/>
    </row>
    <row r="7045" spans="1:6" ht="15">
      <c r="A7045" s="51">
        <v>294787</v>
      </c>
      <c r="B7045" t="s">
        <v>1234</v>
      </c>
      <c r="C7045" s="39" t="s">
        <v>92</v>
      </c>
      <c r="D7045" t="s">
        <v>4244</v>
      </c>
      <c r="F7045" s="56"/>
    </row>
    <row r="7046" spans="1:6" ht="15">
      <c r="A7046" s="51">
        <v>294788</v>
      </c>
      <c r="B7046" t="s">
        <v>1235</v>
      </c>
      <c r="C7046" s="39" t="s">
        <v>92</v>
      </c>
      <c r="D7046">
        <v>7</v>
      </c>
      <c r="F7046" s="56"/>
    </row>
    <row r="7047" spans="1:6" ht="15">
      <c r="A7047" s="51">
        <v>294789</v>
      </c>
      <c r="B7047" t="s">
        <v>3849</v>
      </c>
      <c r="C7047" s="39" t="s">
        <v>92</v>
      </c>
      <c r="D7047">
        <v>8</v>
      </c>
      <c r="F7047" s="56"/>
    </row>
    <row r="7048" spans="1:6" ht="15">
      <c r="A7048" s="51">
        <v>294790</v>
      </c>
      <c r="B7048" t="s">
        <v>1145</v>
      </c>
      <c r="C7048" s="39" t="s">
        <v>837</v>
      </c>
      <c r="D7048" t="s">
        <v>4246</v>
      </c>
      <c r="F7048" s="56"/>
    </row>
    <row r="7049" spans="1:6" ht="15">
      <c r="A7049" s="51">
        <v>294791</v>
      </c>
      <c r="B7049" t="s">
        <v>1146</v>
      </c>
      <c r="C7049" s="39" t="s">
        <v>837</v>
      </c>
      <c r="D7049" t="s">
        <v>4247</v>
      </c>
      <c r="F7049" s="56"/>
    </row>
    <row r="7050" spans="1:6" ht="15">
      <c r="A7050" s="51">
        <v>294792</v>
      </c>
      <c r="B7050" t="s">
        <v>338</v>
      </c>
      <c r="C7050" s="39" t="s">
        <v>99</v>
      </c>
      <c r="D7050">
        <v>7</v>
      </c>
      <c r="F7050" s="56"/>
    </row>
    <row r="7051" spans="1:6" ht="15">
      <c r="A7051" s="51">
        <v>294793</v>
      </c>
      <c r="B7051" t="s">
        <v>1239</v>
      </c>
      <c r="C7051" s="39" t="s">
        <v>571</v>
      </c>
      <c r="D7051" t="s">
        <v>4247</v>
      </c>
      <c r="F7051" s="56"/>
    </row>
    <row r="7052" spans="1:6" ht="15">
      <c r="A7052" s="51">
        <v>294794</v>
      </c>
      <c r="B7052" t="s">
        <v>1240</v>
      </c>
      <c r="C7052" s="39" t="s">
        <v>571</v>
      </c>
      <c r="D7052" t="s">
        <v>4243</v>
      </c>
      <c r="F7052" s="56"/>
    </row>
    <row r="7053" spans="1:6" ht="15">
      <c r="A7053" s="51">
        <v>294795</v>
      </c>
      <c r="B7053" t="s">
        <v>100</v>
      </c>
      <c r="C7053" s="39" t="s">
        <v>104</v>
      </c>
      <c r="D7053" t="s">
        <v>4243</v>
      </c>
      <c r="F7053" s="56"/>
    </row>
    <row r="7054" spans="1:6" ht="15">
      <c r="A7054" s="51">
        <v>294797</v>
      </c>
      <c r="B7054" t="s">
        <v>1798</v>
      </c>
      <c r="C7054" s="39" t="s">
        <v>108</v>
      </c>
      <c r="D7054" t="s">
        <v>4245</v>
      </c>
      <c r="F7054" s="56"/>
    </row>
    <row r="7055" spans="1:6" ht="15">
      <c r="A7055" s="51">
        <v>294798</v>
      </c>
      <c r="B7055" t="s">
        <v>1369</v>
      </c>
      <c r="C7055" s="39" t="s">
        <v>651</v>
      </c>
      <c r="D7055">
        <v>7</v>
      </c>
      <c r="F7055" s="56"/>
    </row>
    <row r="7056" spans="1:6" ht="15">
      <c r="A7056" s="51">
        <v>294799</v>
      </c>
      <c r="B7056" t="s">
        <v>351</v>
      </c>
      <c r="C7056" s="39" t="s">
        <v>542</v>
      </c>
      <c r="D7056" t="s">
        <v>4244</v>
      </c>
      <c r="F7056" s="56"/>
    </row>
    <row r="7057" spans="1:6" ht="15">
      <c r="A7057" s="51">
        <v>294800</v>
      </c>
      <c r="B7057" t="s">
        <v>1720</v>
      </c>
      <c r="C7057" s="39" t="s">
        <v>781</v>
      </c>
      <c r="D7057" t="s">
        <v>4244</v>
      </c>
      <c r="F7057" s="56"/>
    </row>
    <row r="7058" spans="1:6" ht="15">
      <c r="A7058" s="51">
        <v>294801</v>
      </c>
      <c r="B7058" t="s">
        <v>1721</v>
      </c>
      <c r="C7058" s="39" t="s">
        <v>781</v>
      </c>
      <c r="D7058">
        <v>7</v>
      </c>
      <c r="F7058" s="56"/>
    </row>
    <row r="7059" spans="1:6" ht="15">
      <c r="A7059" s="51">
        <v>294802</v>
      </c>
      <c r="B7059" t="s">
        <v>129</v>
      </c>
      <c r="C7059" s="39" t="s">
        <v>130</v>
      </c>
      <c r="D7059" t="s">
        <v>4243</v>
      </c>
      <c r="F7059" s="56"/>
    </row>
    <row r="7060" spans="1:6" ht="15">
      <c r="A7060" s="51">
        <v>294803</v>
      </c>
      <c r="B7060" t="s">
        <v>3102</v>
      </c>
      <c r="C7060" s="39" t="s">
        <v>3850</v>
      </c>
      <c r="D7060">
        <v>9</v>
      </c>
      <c r="F7060" s="56"/>
    </row>
    <row r="7061" spans="1:6" ht="15">
      <c r="A7061" s="51">
        <v>294804</v>
      </c>
      <c r="B7061" t="s">
        <v>364</v>
      </c>
      <c r="C7061" s="39" t="s">
        <v>664</v>
      </c>
      <c r="D7061" t="s">
        <v>4243</v>
      </c>
      <c r="F7061" s="56"/>
    </row>
    <row r="7062" spans="1:6" ht="15">
      <c r="A7062" s="51">
        <v>294806</v>
      </c>
      <c r="B7062" t="s">
        <v>2843</v>
      </c>
      <c r="C7062" s="39" t="s">
        <v>2471</v>
      </c>
      <c r="D7062" t="s">
        <v>4243</v>
      </c>
      <c r="F7062" s="56"/>
    </row>
    <row r="7063" spans="1:6" ht="15">
      <c r="A7063" s="51">
        <v>294807</v>
      </c>
      <c r="B7063" t="s">
        <v>1414</v>
      </c>
      <c r="C7063" s="39" t="s">
        <v>2471</v>
      </c>
      <c r="D7063">
        <v>7</v>
      </c>
      <c r="F7063" s="56"/>
    </row>
    <row r="7064" spans="1:6" ht="15">
      <c r="A7064" s="51">
        <v>294808</v>
      </c>
      <c r="B7064" t="s">
        <v>2614</v>
      </c>
      <c r="C7064" s="39" t="s">
        <v>2471</v>
      </c>
      <c r="D7064">
        <v>8</v>
      </c>
      <c r="F7064" s="56"/>
    </row>
    <row r="7065" spans="1:6" ht="15">
      <c r="A7065" s="51">
        <v>294809</v>
      </c>
      <c r="B7065" t="s">
        <v>3851</v>
      </c>
      <c r="C7065" s="39" t="s">
        <v>2471</v>
      </c>
      <c r="D7065">
        <v>9</v>
      </c>
      <c r="F7065" s="56"/>
    </row>
    <row r="7066" spans="1:6" ht="15">
      <c r="A7066" s="51">
        <v>294810</v>
      </c>
      <c r="B7066" t="s">
        <v>3852</v>
      </c>
      <c r="C7066" s="39" t="s">
        <v>2471</v>
      </c>
      <c r="D7066">
        <v>8</v>
      </c>
      <c r="F7066" s="56"/>
    </row>
    <row r="7067" spans="1:6" ht="15">
      <c r="A7067" s="51">
        <v>294811</v>
      </c>
      <c r="B7067" t="s">
        <v>376</v>
      </c>
      <c r="C7067" s="39" t="s">
        <v>157</v>
      </c>
      <c r="D7067" t="s">
        <v>4245</v>
      </c>
      <c r="F7067" s="56"/>
    </row>
    <row r="7068" spans="1:6" ht="15">
      <c r="A7068" s="51">
        <v>294812</v>
      </c>
      <c r="B7068" t="s">
        <v>377</v>
      </c>
      <c r="C7068" s="39" t="s">
        <v>157</v>
      </c>
      <c r="D7068" t="s">
        <v>4247</v>
      </c>
      <c r="F7068" s="56"/>
    </row>
    <row r="7069" spans="1:6" ht="15">
      <c r="A7069" s="51">
        <v>294813</v>
      </c>
      <c r="B7069" t="s">
        <v>378</v>
      </c>
      <c r="C7069" s="39" t="s">
        <v>157</v>
      </c>
      <c r="D7069" t="s">
        <v>4244</v>
      </c>
      <c r="F7069" s="56"/>
    </row>
    <row r="7070" spans="1:6" ht="15">
      <c r="A7070" s="51">
        <v>294814</v>
      </c>
      <c r="B7070" t="s">
        <v>3853</v>
      </c>
      <c r="C7070" s="39" t="s">
        <v>3854</v>
      </c>
      <c r="D7070">
        <v>8</v>
      </c>
      <c r="F7070" s="56"/>
    </row>
    <row r="7071" spans="1:6" ht="15">
      <c r="A7071" s="51">
        <v>294815</v>
      </c>
      <c r="B7071" t="s">
        <v>156</v>
      </c>
      <c r="C7071" s="39" t="s">
        <v>3855</v>
      </c>
      <c r="D7071" t="s">
        <v>4247</v>
      </c>
      <c r="F7071" s="56"/>
    </row>
    <row r="7072" spans="1:6" ht="15">
      <c r="A7072" s="51">
        <v>294816</v>
      </c>
      <c r="B7072" t="s">
        <v>158</v>
      </c>
      <c r="C7072" s="39" t="s">
        <v>3855</v>
      </c>
      <c r="D7072" t="s">
        <v>4244</v>
      </c>
      <c r="F7072" s="56"/>
    </row>
    <row r="7073" spans="1:6" ht="15">
      <c r="A7073" s="51">
        <v>294817</v>
      </c>
      <c r="B7073" t="s">
        <v>159</v>
      </c>
      <c r="C7073" s="39" t="s">
        <v>3855</v>
      </c>
      <c r="D7073">
        <v>8</v>
      </c>
      <c r="F7073" s="56"/>
    </row>
    <row r="7074" spans="1:6" ht="15">
      <c r="A7074" s="51">
        <v>294818</v>
      </c>
      <c r="B7074" t="s">
        <v>3856</v>
      </c>
      <c r="C7074" s="39" t="s">
        <v>3201</v>
      </c>
      <c r="D7074">
        <v>8</v>
      </c>
      <c r="F7074" s="56"/>
    </row>
    <row r="7075" spans="1:6" ht="15">
      <c r="A7075" s="51">
        <v>294819</v>
      </c>
      <c r="B7075" t="s">
        <v>3857</v>
      </c>
      <c r="C7075" s="39" t="s">
        <v>3201</v>
      </c>
      <c r="D7075">
        <v>9</v>
      </c>
      <c r="F7075" s="56"/>
    </row>
    <row r="7076" spans="1:6" ht="15">
      <c r="A7076" s="51">
        <v>294820</v>
      </c>
      <c r="B7076" t="s">
        <v>2473</v>
      </c>
      <c r="C7076" s="39" t="s">
        <v>803</v>
      </c>
      <c r="D7076">
        <v>7</v>
      </c>
      <c r="F7076" s="56"/>
    </row>
    <row r="7077" spans="1:6" ht="15">
      <c r="A7077" s="51">
        <v>294821</v>
      </c>
      <c r="B7077" t="s">
        <v>2011</v>
      </c>
      <c r="C7077" s="39" t="s">
        <v>803</v>
      </c>
      <c r="D7077">
        <v>7</v>
      </c>
      <c r="F7077" s="56"/>
    </row>
    <row r="7078" spans="1:6" ht="15">
      <c r="A7078" s="51">
        <v>294822</v>
      </c>
      <c r="B7078" t="s">
        <v>3858</v>
      </c>
      <c r="C7078" s="39" t="s">
        <v>803</v>
      </c>
      <c r="D7078">
        <v>8</v>
      </c>
      <c r="F7078" s="56"/>
    </row>
    <row r="7079" spans="1:6" ht="15">
      <c r="A7079" s="51">
        <v>294823</v>
      </c>
      <c r="B7079" t="s">
        <v>160</v>
      </c>
      <c r="C7079" s="39" t="s">
        <v>161</v>
      </c>
      <c r="D7079" t="s">
        <v>4246</v>
      </c>
      <c r="F7079" s="56"/>
    </row>
    <row r="7080" spans="1:6" ht="15">
      <c r="A7080" s="51">
        <v>294824</v>
      </c>
      <c r="B7080" t="s">
        <v>162</v>
      </c>
      <c r="C7080" s="39" t="s">
        <v>161</v>
      </c>
      <c r="D7080" t="s">
        <v>4243</v>
      </c>
      <c r="F7080" s="56"/>
    </row>
    <row r="7081" spans="1:6" ht="15">
      <c r="A7081" s="51">
        <v>294825</v>
      </c>
      <c r="B7081" t="s">
        <v>3859</v>
      </c>
      <c r="C7081" s="39" t="s">
        <v>2533</v>
      </c>
      <c r="D7081">
        <v>9</v>
      </c>
      <c r="F7081" s="56"/>
    </row>
    <row r="7082" spans="1:6" ht="15">
      <c r="A7082" s="51">
        <v>294826</v>
      </c>
      <c r="B7082" t="s">
        <v>179</v>
      </c>
      <c r="C7082" s="39" t="s">
        <v>390</v>
      </c>
      <c r="D7082" t="s">
        <v>4244</v>
      </c>
      <c r="F7082" s="56"/>
    </row>
    <row r="7083" spans="1:6" ht="15">
      <c r="A7083" s="51">
        <v>294827</v>
      </c>
      <c r="B7083" t="s">
        <v>391</v>
      </c>
      <c r="C7083" s="39" t="s">
        <v>390</v>
      </c>
      <c r="D7083">
        <v>7</v>
      </c>
      <c r="F7083" s="56"/>
    </row>
    <row r="7084" spans="1:6" ht="15">
      <c r="A7084" s="51">
        <v>294828</v>
      </c>
      <c r="B7084" t="s">
        <v>3112</v>
      </c>
      <c r="C7084" s="39" t="s">
        <v>180</v>
      </c>
      <c r="D7084">
        <v>8</v>
      </c>
      <c r="F7084" s="56"/>
    </row>
    <row r="7085" spans="1:6" ht="15">
      <c r="A7085" s="51">
        <v>294829</v>
      </c>
      <c r="B7085" t="s">
        <v>3860</v>
      </c>
      <c r="C7085" s="39" t="s">
        <v>180</v>
      </c>
      <c r="D7085">
        <v>9</v>
      </c>
      <c r="F7085" s="56"/>
    </row>
    <row r="7086" spans="1:6" ht="15">
      <c r="A7086" s="51">
        <v>294830</v>
      </c>
      <c r="B7086" t="s">
        <v>186</v>
      </c>
      <c r="C7086" s="39" t="s">
        <v>1437</v>
      </c>
      <c r="D7086" t="s">
        <v>4246</v>
      </c>
      <c r="F7086" s="56"/>
    </row>
    <row r="7087" spans="1:6" ht="15">
      <c r="A7087" s="51">
        <v>294831</v>
      </c>
      <c r="B7087" t="s">
        <v>187</v>
      </c>
      <c r="C7087" s="39" t="s">
        <v>1437</v>
      </c>
      <c r="D7087" t="s">
        <v>4244</v>
      </c>
      <c r="F7087" s="56"/>
    </row>
    <row r="7088" spans="1:6" ht="15">
      <c r="A7088" s="51">
        <v>294832</v>
      </c>
      <c r="B7088" t="s">
        <v>1186</v>
      </c>
      <c r="C7088" s="39" t="s">
        <v>192</v>
      </c>
      <c r="D7088" t="s">
        <v>4247</v>
      </c>
      <c r="F7088" s="56"/>
    </row>
    <row r="7089" spans="1:6" ht="15">
      <c r="A7089" s="51">
        <v>294833</v>
      </c>
      <c r="B7089" t="s">
        <v>1187</v>
      </c>
      <c r="C7089" s="39" t="s">
        <v>192</v>
      </c>
      <c r="D7089" t="s">
        <v>4243</v>
      </c>
      <c r="F7089" s="56"/>
    </row>
    <row r="7090" spans="1:6" ht="15">
      <c r="A7090" s="51">
        <v>294834</v>
      </c>
      <c r="B7090" t="s">
        <v>1188</v>
      </c>
      <c r="C7090" s="39" t="s">
        <v>192</v>
      </c>
      <c r="D7090">
        <v>7</v>
      </c>
      <c r="F7090" s="56"/>
    </row>
    <row r="7091" spans="1:6" ht="15">
      <c r="A7091" s="51">
        <v>294835</v>
      </c>
      <c r="B7091" t="s">
        <v>3861</v>
      </c>
      <c r="C7091" s="39" t="s">
        <v>192</v>
      </c>
      <c r="D7091">
        <v>8</v>
      </c>
      <c r="F7091" s="56"/>
    </row>
    <row r="7092" spans="1:6" ht="15">
      <c r="A7092" s="51">
        <v>294836</v>
      </c>
      <c r="B7092" t="s">
        <v>3706</v>
      </c>
      <c r="C7092" s="39" t="s">
        <v>3862</v>
      </c>
      <c r="D7092">
        <v>7</v>
      </c>
      <c r="F7092" s="56"/>
    </row>
    <row r="7093" spans="1:6" ht="15">
      <c r="A7093" s="51">
        <v>294837</v>
      </c>
      <c r="B7093" t="s">
        <v>196</v>
      </c>
      <c r="C7093" s="39" t="s">
        <v>2994</v>
      </c>
      <c r="D7093" t="s">
        <v>4243</v>
      </c>
      <c r="F7093" s="56"/>
    </row>
    <row r="7094" spans="1:6" ht="15">
      <c r="A7094" s="51">
        <v>294838</v>
      </c>
      <c r="B7094" t="s">
        <v>868</v>
      </c>
      <c r="C7094" s="39" t="s">
        <v>2994</v>
      </c>
      <c r="D7094" t="s">
        <v>4243</v>
      </c>
      <c r="F7094" s="56"/>
    </row>
    <row r="7095" spans="1:6" ht="15">
      <c r="A7095" s="51">
        <v>294839</v>
      </c>
      <c r="B7095" t="s">
        <v>1443</v>
      </c>
      <c r="C7095" s="39" t="s">
        <v>402</v>
      </c>
      <c r="D7095" t="s">
        <v>4245</v>
      </c>
      <c r="F7095" s="56"/>
    </row>
    <row r="7096" spans="1:6" ht="15">
      <c r="A7096" s="51">
        <v>294840</v>
      </c>
      <c r="B7096" t="s">
        <v>403</v>
      </c>
      <c r="C7096" s="39" t="s">
        <v>200</v>
      </c>
      <c r="D7096" t="s">
        <v>4243</v>
      </c>
      <c r="F7096" s="56"/>
    </row>
    <row r="7097" spans="1:6" ht="15">
      <c r="A7097" s="51">
        <v>294841</v>
      </c>
      <c r="B7097" t="s">
        <v>1668</v>
      </c>
      <c r="C7097" s="39" t="s">
        <v>200</v>
      </c>
      <c r="D7097">
        <v>7</v>
      </c>
      <c r="F7097" s="56"/>
    </row>
    <row r="7098" spans="1:6" ht="15">
      <c r="A7098" s="51">
        <v>294842</v>
      </c>
      <c r="B7098" t="s">
        <v>3863</v>
      </c>
      <c r="C7098" s="39" t="s">
        <v>200</v>
      </c>
      <c r="D7098">
        <v>9</v>
      </c>
      <c r="F7098" s="56"/>
    </row>
    <row r="7099" spans="1:6" ht="15">
      <c r="A7099" s="51">
        <v>294843</v>
      </c>
      <c r="B7099" t="s">
        <v>1192</v>
      </c>
      <c r="C7099" s="39" t="s">
        <v>561</v>
      </c>
      <c r="D7099" t="s">
        <v>4247</v>
      </c>
      <c r="F7099" s="56"/>
    </row>
    <row r="7100" spans="1:6" ht="15">
      <c r="A7100" s="51">
        <v>294844</v>
      </c>
      <c r="B7100" t="s">
        <v>3864</v>
      </c>
      <c r="C7100" s="39" t="s">
        <v>3749</v>
      </c>
      <c r="D7100">
        <v>9</v>
      </c>
      <c r="F7100" s="56"/>
    </row>
    <row r="7101" spans="1:6" ht="15">
      <c r="A7101" s="51">
        <v>294845</v>
      </c>
      <c r="B7101" t="s">
        <v>212</v>
      </c>
      <c r="C7101" s="39" t="s">
        <v>417</v>
      </c>
      <c r="D7101" t="s">
        <v>4244</v>
      </c>
      <c r="F7101" s="56"/>
    </row>
    <row r="7102" spans="1:6" ht="15">
      <c r="A7102" s="51">
        <v>294846</v>
      </c>
      <c r="B7102" t="s">
        <v>214</v>
      </c>
      <c r="C7102" s="39" t="s">
        <v>417</v>
      </c>
      <c r="D7102">
        <v>7</v>
      </c>
      <c r="F7102" s="56"/>
    </row>
    <row r="7103" spans="1:6" ht="15">
      <c r="A7103" s="51">
        <v>294847</v>
      </c>
      <c r="B7103" t="s">
        <v>215</v>
      </c>
      <c r="C7103" s="39" t="s">
        <v>417</v>
      </c>
      <c r="D7103">
        <v>8</v>
      </c>
      <c r="F7103" s="56"/>
    </row>
    <row r="7104" spans="1:6" ht="15">
      <c r="A7104" s="51">
        <v>294848</v>
      </c>
      <c r="B7104" t="s">
        <v>1096</v>
      </c>
      <c r="C7104" s="39" t="s">
        <v>1095</v>
      </c>
      <c r="D7104" t="s">
        <v>469</v>
      </c>
      <c r="F7104" s="56"/>
    </row>
    <row r="7105" spans="1:6" ht="15">
      <c r="A7105" s="51">
        <v>294849</v>
      </c>
      <c r="B7105" t="s">
        <v>3865</v>
      </c>
      <c r="C7105" s="39" t="s">
        <v>1095</v>
      </c>
      <c r="D7105" t="s">
        <v>471</v>
      </c>
      <c r="F7105" s="56"/>
    </row>
    <row r="7106" spans="1:6" ht="15">
      <c r="A7106" s="51">
        <v>294850</v>
      </c>
      <c r="B7106" t="s">
        <v>223</v>
      </c>
      <c r="C7106" s="39" t="s">
        <v>224</v>
      </c>
      <c r="D7106" t="s">
        <v>4243</v>
      </c>
      <c r="F7106" s="56"/>
    </row>
    <row r="7107" spans="1:6" ht="15">
      <c r="A7107" s="51">
        <v>294851</v>
      </c>
      <c r="B7107" t="s">
        <v>1199</v>
      </c>
      <c r="C7107" s="39" t="s">
        <v>233</v>
      </c>
      <c r="D7107" t="s">
        <v>4244</v>
      </c>
      <c r="F7107" s="56"/>
    </row>
    <row r="7108" spans="1:6" ht="15">
      <c r="A7108" s="51">
        <v>294852</v>
      </c>
      <c r="B7108" t="s">
        <v>880</v>
      </c>
      <c r="C7108" s="39" t="s">
        <v>243</v>
      </c>
      <c r="D7108" t="s">
        <v>4245</v>
      </c>
      <c r="F7108" s="56"/>
    </row>
    <row r="7109" spans="1:6" ht="15">
      <c r="A7109" s="51">
        <v>294853</v>
      </c>
      <c r="B7109" t="s">
        <v>882</v>
      </c>
      <c r="C7109" s="39" t="s">
        <v>437</v>
      </c>
      <c r="D7109" t="s">
        <v>4248</v>
      </c>
      <c r="F7109" s="56"/>
    </row>
    <row r="7110" spans="1:6" ht="15">
      <c r="A7110" s="51">
        <v>294854</v>
      </c>
      <c r="B7110" t="s">
        <v>438</v>
      </c>
      <c r="C7110" s="39" t="s">
        <v>884</v>
      </c>
      <c r="D7110">
        <v>7</v>
      </c>
      <c r="F7110" s="56"/>
    </row>
    <row r="7111" spans="1:6" ht="15">
      <c r="A7111" s="51">
        <v>294855</v>
      </c>
      <c r="B7111" t="s">
        <v>2082</v>
      </c>
      <c r="C7111" s="39" t="s">
        <v>884</v>
      </c>
      <c r="D7111">
        <v>8</v>
      </c>
      <c r="F7111" s="56"/>
    </row>
    <row r="7112" spans="1:6" ht="15">
      <c r="A7112" s="51">
        <v>2373237</v>
      </c>
      <c r="B7112" t="s">
        <v>257</v>
      </c>
      <c r="C7112" s="39" t="s">
        <v>258</v>
      </c>
      <c r="D7112">
        <v>9</v>
      </c>
      <c r="F7112" s="56"/>
    </row>
    <row r="7113" spans="1:6" ht="15">
      <c r="A7113" s="51">
        <v>294856</v>
      </c>
      <c r="B7113" t="s">
        <v>1510</v>
      </c>
      <c r="C7113" s="39" t="s">
        <v>261</v>
      </c>
      <c r="D7113" t="s">
        <v>4248</v>
      </c>
      <c r="F7113" s="56"/>
    </row>
    <row r="7114" spans="1:6" ht="15">
      <c r="A7114" s="51">
        <v>294857</v>
      </c>
      <c r="B7114" t="s">
        <v>74</v>
      </c>
      <c r="C7114" s="39" t="s">
        <v>274</v>
      </c>
      <c r="D7114" t="s">
        <v>4243</v>
      </c>
      <c r="F7114" s="56"/>
    </row>
    <row r="7115" spans="1:6" ht="15">
      <c r="A7115" s="51">
        <v>294858</v>
      </c>
      <c r="B7115" t="s">
        <v>75</v>
      </c>
      <c r="C7115" s="39" t="s">
        <v>274</v>
      </c>
      <c r="D7115">
        <v>7</v>
      </c>
      <c r="F7115" s="56"/>
    </row>
    <row r="7116" spans="1:6" ht="15">
      <c r="A7116" s="51">
        <v>294859</v>
      </c>
      <c r="B7116" t="s">
        <v>886</v>
      </c>
      <c r="C7116" s="39" t="s">
        <v>274</v>
      </c>
      <c r="D7116">
        <v>8</v>
      </c>
      <c r="F7116" s="56"/>
    </row>
    <row r="7117" spans="1:6" ht="15">
      <c r="A7117" s="51">
        <v>294861</v>
      </c>
      <c r="B7117" t="s">
        <v>455</v>
      </c>
      <c r="C7117" s="39" t="s">
        <v>550</v>
      </c>
      <c r="D7117" t="s">
        <v>4244</v>
      </c>
      <c r="F7117" s="56"/>
    </row>
    <row r="7118" spans="1:6" ht="15">
      <c r="A7118" s="51">
        <v>294862</v>
      </c>
      <c r="B7118" t="s">
        <v>1136</v>
      </c>
      <c r="C7118" s="39" t="s">
        <v>1137</v>
      </c>
      <c r="D7118">
        <v>7</v>
      </c>
      <c r="F7118" s="56"/>
    </row>
    <row r="7119" spans="1:6" ht="15">
      <c r="A7119" s="51">
        <v>294863</v>
      </c>
      <c r="B7119" t="s">
        <v>1516</v>
      </c>
      <c r="C7119" s="39" t="s">
        <v>283</v>
      </c>
      <c r="D7119">
        <v>8</v>
      </c>
      <c r="F7119" s="56"/>
    </row>
    <row r="7120" spans="1:6" ht="15">
      <c r="A7120" s="51">
        <v>294864</v>
      </c>
      <c r="B7120" t="s">
        <v>2774</v>
      </c>
      <c r="C7120" s="39" t="s">
        <v>285</v>
      </c>
      <c r="D7120" t="s">
        <v>4247</v>
      </c>
      <c r="F7120" s="56"/>
    </row>
    <row r="7121" spans="1:6" ht="15">
      <c r="A7121" s="51">
        <v>294865</v>
      </c>
      <c r="B7121" t="s">
        <v>2277</v>
      </c>
      <c r="C7121" s="39" t="s">
        <v>285</v>
      </c>
      <c r="D7121" t="s">
        <v>4243</v>
      </c>
      <c r="F7121" s="56"/>
    </row>
    <row r="7122" spans="1:6" ht="15">
      <c r="A7122" s="51">
        <v>294866</v>
      </c>
      <c r="B7122" t="s">
        <v>3866</v>
      </c>
      <c r="C7122" s="39" t="s">
        <v>285</v>
      </c>
      <c r="D7122">
        <v>7</v>
      </c>
      <c r="F7122" s="56"/>
    </row>
    <row r="7123" spans="1:6" ht="15">
      <c r="A7123" s="51">
        <v>295218</v>
      </c>
      <c r="B7123" t="s">
        <v>89</v>
      </c>
      <c r="C7123" s="39" t="s">
        <v>3129</v>
      </c>
      <c r="D7123" t="s">
        <v>4243</v>
      </c>
      <c r="F7123" s="56"/>
    </row>
    <row r="7124" spans="1:6" ht="15">
      <c r="A7124" s="51">
        <v>3156000</v>
      </c>
      <c r="B7124" t="s">
        <v>1621</v>
      </c>
      <c r="C7124" s="39" t="s">
        <v>1792</v>
      </c>
      <c r="D7124">
        <v>9</v>
      </c>
      <c r="F7124" s="56"/>
    </row>
    <row r="7125" spans="1:6" ht="15">
      <c r="A7125" s="51">
        <v>295220</v>
      </c>
      <c r="B7125" t="s">
        <v>3132</v>
      </c>
      <c r="C7125" s="39" t="s">
        <v>3133</v>
      </c>
      <c r="D7125">
        <v>8</v>
      </c>
      <c r="F7125" s="56"/>
    </row>
    <row r="7126" spans="1:6" ht="15">
      <c r="A7126" s="51">
        <v>295221</v>
      </c>
      <c r="B7126" t="s">
        <v>3867</v>
      </c>
      <c r="C7126" s="39" t="s">
        <v>3868</v>
      </c>
      <c r="D7126" t="s">
        <v>4245</v>
      </c>
      <c r="F7126" s="56"/>
    </row>
    <row r="7127" spans="1:6" ht="15">
      <c r="A7127" s="51">
        <v>295222</v>
      </c>
      <c r="B7127" t="s">
        <v>1702</v>
      </c>
      <c r="C7127" s="39" t="s">
        <v>3868</v>
      </c>
      <c r="D7127" t="s">
        <v>4245</v>
      </c>
      <c r="F7127" s="56"/>
    </row>
    <row r="7128" spans="1:6" ht="15">
      <c r="A7128" s="51">
        <v>3028693</v>
      </c>
      <c r="B7128" t="s">
        <v>3134</v>
      </c>
      <c r="C7128" s="39" t="s">
        <v>3135</v>
      </c>
      <c r="D7128">
        <v>9</v>
      </c>
      <c r="F7128" s="56"/>
    </row>
    <row r="7129" spans="1:6" ht="15">
      <c r="A7129" s="51">
        <v>295223</v>
      </c>
      <c r="B7129" t="s">
        <v>1794</v>
      </c>
      <c r="C7129" s="39" t="s">
        <v>3868</v>
      </c>
      <c r="D7129" t="s">
        <v>4245</v>
      </c>
      <c r="F7129" s="56"/>
    </row>
    <row r="7130" spans="1:6" ht="15">
      <c r="A7130" s="51">
        <v>295224</v>
      </c>
      <c r="B7130" t="s">
        <v>95</v>
      </c>
      <c r="C7130" s="39" t="s">
        <v>3868</v>
      </c>
      <c r="D7130" t="s">
        <v>4247</v>
      </c>
      <c r="F7130" s="56"/>
    </row>
    <row r="7131" spans="1:6" ht="15">
      <c r="A7131" s="51">
        <v>295225</v>
      </c>
      <c r="B7131" t="s">
        <v>3682</v>
      </c>
      <c r="C7131" s="39" t="s">
        <v>3868</v>
      </c>
      <c r="D7131" t="s">
        <v>4245</v>
      </c>
      <c r="F7131" s="56"/>
    </row>
    <row r="7132" spans="1:6" ht="15">
      <c r="A7132" s="51">
        <v>295219</v>
      </c>
      <c r="B7132" t="s">
        <v>1625</v>
      </c>
      <c r="C7132" s="39" t="s">
        <v>1792</v>
      </c>
      <c r="D7132">
        <v>9</v>
      </c>
      <c r="F7132" s="56"/>
    </row>
    <row r="7133" spans="1:6" ht="15">
      <c r="A7133" s="51">
        <v>295226</v>
      </c>
      <c r="B7133" t="s">
        <v>338</v>
      </c>
      <c r="C7133" s="39" t="s">
        <v>556</v>
      </c>
      <c r="D7133" t="s">
        <v>4243</v>
      </c>
      <c r="F7133" s="56"/>
    </row>
    <row r="7134" spans="1:6" ht="15">
      <c r="A7134" s="51">
        <v>295227</v>
      </c>
      <c r="B7134" t="s">
        <v>1161</v>
      </c>
      <c r="C7134" s="39" t="s">
        <v>3869</v>
      </c>
      <c r="D7134" t="s">
        <v>4243</v>
      </c>
      <c r="F7134" s="56"/>
    </row>
    <row r="7135" spans="1:6" ht="15">
      <c r="A7135" s="51">
        <v>295228</v>
      </c>
      <c r="B7135" t="s">
        <v>1162</v>
      </c>
      <c r="C7135" s="39" t="s">
        <v>3869</v>
      </c>
      <c r="D7135" t="s">
        <v>4243</v>
      </c>
      <c r="F7135" s="56"/>
    </row>
    <row r="7136" spans="1:6" ht="15">
      <c r="A7136" s="51">
        <v>295229</v>
      </c>
      <c r="B7136" t="s">
        <v>1374</v>
      </c>
      <c r="C7136" s="39" t="s">
        <v>3869</v>
      </c>
      <c r="D7136">
        <v>8</v>
      </c>
      <c r="F7136" s="56"/>
    </row>
    <row r="7137" spans="1:6" ht="15">
      <c r="A7137" s="51">
        <v>295230</v>
      </c>
      <c r="B7137" t="s">
        <v>846</v>
      </c>
      <c r="C7137" s="39" t="s">
        <v>851</v>
      </c>
      <c r="D7137">
        <v>9</v>
      </c>
      <c r="F7137" s="56"/>
    </row>
    <row r="7138" spans="1:6" ht="15">
      <c r="A7138" s="51">
        <v>295231</v>
      </c>
      <c r="B7138" t="s">
        <v>847</v>
      </c>
      <c r="C7138" s="39" t="s">
        <v>851</v>
      </c>
      <c r="D7138">
        <v>9</v>
      </c>
      <c r="F7138" s="56"/>
    </row>
    <row r="7139" spans="1:6" ht="15">
      <c r="A7139" s="51">
        <v>295232</v>
      </c>
      <c r="B7139" t="s">
        <v>1716</v>
      </c>
      <c r="C7139" s="39" t="s">
        <v>851</v>
      </c>
      <c r="D7139">
        <v>9</v>
      </c>
      <c r="F7139" s="56"/>
    </row>
    <row r="7140" spans="1:6" ht="15">
      <c r="A7140" s="51">
        <v>309673</v>
      </c>
      <c r="B7140" t="s">
        <v>1129</v>
      </c>
      <c r="C7140" s="39" t="s">
        <v>258</v>
      </c>
      <c r="D7140">
        <v>9</v>
      </c>
      <c r="F7140" s="56"/>
    </row>
    <row r="7141" spans="1:6" ht="15">
      <c r="A7141" s="51">
        <v>295233</v>
      </c>
      <c r="B7141" t="s">
        <v>1637</v>
      </c>
      <c r="C7141" s="39" t="s">
        <v>1390</v>
      </c>
      <c r="D7141" t="s">
        <v>4244</v>
      </c>
      <c r="F7141" s="56"/>
    </row>
    <row r="7142" spans="1:6" ht="15">
      <c r="A7142" s="51">
        <v>3028694</v>
      </c>
      <c r="B7142" t="s">
        <v>3136</v>
      </c>
      <c r="C7142" s="39" t="s">
        <v>3137</v>
      </c>
      <c r="D7142">
        <v>9</v>
      </c>
      <c r="F7142" s="56"/>
    </row>
    <row r="7143" spans="1:6" ht="15">
      <c r="A7143" s="51">
        <v>295235</v>
      </c>
      <c r="B7143" t="s">
        <v>3870</v>
      </c>
      <c r="C7143" s="39" t="s">
        <v>3871</v>
      </c>
      <c r="D7143">
        <v>9</v>
      </c>
      <c r="F7143" s="56"/>
    </row>
    <row r="7144" spans="1:6" ht="15">
      <c r="A7144" s="51">
        <v>295236</v>
      </c>
      <c r="B7144" t="s">
        <v>3461</v>
      </c>
      <c r="C7144" s="39" t="s">
        <v>3872</v>
      </c>
      <c r="D7144">
        <v>9</v>
      </c>
      <c r="F7144" s="56"/>
    </row>
    <row r="7145" spans="1:6" ht="15">
      <c r="A7145" s="51">
        <v>295237</v>
      </c>
      <c r="B7145" t="s">
        <v>3873</v>
      </c>
      <c r="C7145" s="39" t="s">
        <v>3872</v>
      </c>
      <c r="D7145">
        <v>9</v>
      </c>
      <c r="F7145" s="56"/>
    </row>
    <row r="7146" spans="1:6" ht="15">
      <c r="A7146" s="51">
        <v>295238</v>
      </c>
      <c r="B7146" t="s">
        <v>2466</v>
      </c>
      <c r="C7146" s="39" t="s">
        <v>228</v>
      </c>
      <c r="D7146">
        <v>9</v>
      </c>
      <c r="F7146" s="56"/>
    </row>
    <row r="7147" spans="1:6" ht="15">
      <c r="A7147" s="51">
        <v>295239</v>
      </c>
      <c r="B7147" t="s">
        <v>2467</v>
      </c>
      <c r="C7147" s="39" t="s">
        <v>1740</v>
      </c>
      <c r="D7147" t="s">
        <v>4248</v>
      </c>
      <c r="F7147" s="56"/>
    </row>
    <row r="7148" spans="1:6" ht="15">
      <c r="A7148" s="51">
        <v>295240</v>
      </c>
      <c r="B7148" t="s">
        <v>1999</v>
      </c>
      <c r="C7148" s="39" t="s">
        <v>1740</v>
      </c>
      <c r="D7148" t="s">
        <v>4245</v>
      </c>
      <c r="F7148" s="56"/>
    </row>
    <row r="7149" spans="1:6" ht="15">
      <c r="A7149" s="51">
        <v>295241</v>
      </c>
      <c r="B7149" t="s">
        <v>2207</v>
      </c>
      <c r="C7149" s="39" t="s">
        <v>1740</v>
      </c>
      <c r="D7149" t="s">
        <v>4247</v>
      </c>
      <c r="F7149" s="56"/>
    </row>
    <row r="7150" spans="1:6" ht="15">
      <c r="A7150" s="51">
        <v>3028695</v>
      </c>
      <c r="B7150" t="s">
        <v>3874</v>
      </c>
      <c r="C7150" s="39" t="s">
        <v>3143</v>
      </c>
      <c r="D7150">
        <v>9</v>
      </c>
      <c r="F7150" s="56"/>
    </row>
    <row r="7151" spans="1:6" ht="15">
      <c r="B7151" t="s">
        <v>3142</v>
      </c>
      <c r="C7151" s="39" t="s">
        <v>3143</v>
      </c>
      <c r="D7151">
        <v>9</v>
      </c>
      <c r="F7151" s="56"/>
    </row>
    <row r="7152" spans="1:6" ht="15">
      <c r="A7152" s="51">
        <v>3028696</v>
      </c>
      <c r="B7152" t="s">
        <v>3875</v>
      </c>
      <c r="C7152" s="39" t="s">
        <v>3143</v>
      </c>
      <c r="D7152">
        <v>9</v>
      </c>
      <c r="F7152" s="56"/>
    </row>
    <row r="7153" spans="1:6" ht="15">
      <c r="A7153" s="51">
        <v>3028697</v>
      </c>
      <c r="B7153" t="s">
        <v>3144</v>
      </c>
      <c r="C7153" s="39" t="s">
        <v>3143</v>
      </c>
      <c r="D7153">
        <v>9</v>
      </c>
      <c r="F7153" s="56"/>
    </row>
    <row r="7154" spans="1:6" ht="15">
      <c r="A7154" s="51">
        <v>295242</v>
      </c>
      <c r="B7154" t="s">
        <v>1176</v>
      </c>
      <c r="C7154" s="39" t="s">
        <v>1740</v>
      </c>
      <c r="D7154" t="s">
        <v>4248</v>
      </c>
      <c r="F7154" s="56"/>
    </row>
    <row r="7155" spans="1:6" ht="15">
      <c r="A7155" s="51">
        <v>3028698</v>
      </c>
      <c r="B7155" t="s">
        <v>3146</v>
      </c>
      <c r="C7155" s="39" t="s">
        <v>3147</v>
      </c>
      <c r="D7155">
        <v>9</v>
      </c>
      <c r="F7155" s="56"/>
    </row>
    <row r="7156" spans="1:6" ht="15">
      <c r="A7156" s="51">
        <v>3028699</v>
      </c>
      <c r="B7156" t="s">
        <v>2617</v>
      </c>
      <c r="C7156" s="39" t="s">
        <v>3147</v>
      </c>
      <c r="D7156">
        <v>9</v>
      </c>
      <c r="F7156" s="56"/>
    </row>
    <row r="7157" spans="1:6" ht="15">
      <c r="A7157" s="51">
        <v>3028700</v>
      </c>
      <c r="B7157" t="s">
        <v>3876</v>
      </c>
      <c r="C7157" s="39" t="s">
        <v>3147</v>
      </c>
      <c r="D7157">
        <v>9</v>
      </c>
      <c r="F7157" s="56"/>
    </row>
    <row r="7158" spans="1:6" ht="15">
      <c r="A7158" s="51">
        <v>3028701</v>
      </c>
      <c r="B7158" t="s">
        <v>3148</v>
      </c>
      <c r="C7158" s="39" t="s">
        <v>3147</v>
      </c>
      <c r="D7158">
        <v>9</v>
      </c>
      <c r="F7158" s="56"/>
    </row>
    <row r="7159" spans="1:6" ht="15">
      <c r="A7159" s="51">
        <v>3028702</v>
      </c>
      <c r="B7159" t="s">
        <v>3149</v>
      </c>
      <c r="C7159" s="39" t="s">
        <v>3150</v>
      </c>
      <c r="D7159">
        <v>9</v>
      </c>
      <c r="F7159" s="56"/>
    </row>
    <row r="7160" spans="1:6" ht="15">
      <c r="A7160" s="51">
        <v>3028703</v>
      </c>
      <c r="B7160" t="s">
        <v>3151</v>
      </c>
      <c r="C7160" s="39" t="s">
        <v>3152</v>
      </c>
      <c r="D7160">
        <v>9</v>
      </c>
      <c r="F7160" s="56"/>
    </row>
    <row r="7161" spans="1:6" ht="15">
      <c r="A7161" s="51">
        <v>295243</v>
      </c>
      <c r="B7161" t="s">
        <v>393</v>
      </c>
      <c r="C7161" s="39" t="s">
        <v>862</v>
      </c>
      <c r="D7161">
        <v>9</v>
      </c>
      <c r="F7161" s="56"/>
    </row>
    <row r="7162" spans="1:6" ht="15">
      <c r="A7162" s="51">
        <v>295247</v>
      </c>
      <c r="B7162" t="s">
        <v>2863</v>
      </c>
      <c r="C7162" s="39" t="s">
        <v>3156</v>
      </c>
      <c r="D7162" t="s">
        <v>4245</v>
      </c>
      <c r="F7162" s="56"/>
    </row>
    <row r="7163" spans="1:6" ht="15">
      <c r="A7163" s="51">
        <v>295248</v>
      </c>
      <c r="B7163" t="s">
        <v>1664</v>
      </c>
      <c r="C7163" s="39" t="s">
        <v>3156</v>
      </c>
      <c r="D7163" t="s">
        <v>4246</v>
      </c>
      <c r="F7163" s="56"/>
    </row>
    <row r="7164" spans="1:6" ht="15">
      <c r="A7164" s="51">
        <v>295249</v>
      </c>
      <c r="B7164" t="s">
        <v>1666</v>
      </c>
      <c r="C7164" s="39" t="s">
        <v>3156</v>
      </c>
      <c r="D7164" t="s">
        <v>4244</v>
      </c>
      <c r="F7164" s="56"/>
    </row>
    <row r="7165" spans="1:6" ht="15">
      <c r="A7165" s="51">
        <v>295250</v>
      </c>
      <c r="B7165" t="s">
        <v>2474</v>
      </c>
      <c r="C7165" s="39" t="s">
        <v>3877</v>
      </c>
      <c r="D7165" t="s">
        <v>4246</v>
      </c>
      <c r="F7165" s="56"/>
    </row>
    <row r="7166" spans="1:6" ht="15">
      <c r="A7166" s="51">
        <v>295251</v>
      </c>
      <c r="B7166" t="s">
        <v>2475</v>
      </c>
      <c r="C7166" s="39" t="s">
        <v>3878</v>
      </c>
      <c r="D7166" t="s">
        <v>4244</v>
      </c>
      <c r="F7166" s="56"/>
    </row>
    <row r="7167" spans="1:6" ht="15">
      <c r="A7167" s="51">
        <v>295252</v>
      </c>
      <c r="B7167" t="s">
        <v>1565</v>
      </c>
      <c r="C7167" s="39" t="s">
        <v>3156</v>
      </c>
      <c r="D7167" t="s">
        <v>4246</v>
      </c>
      <c r="F7167" s="56"/>
    </row>
    <row r="7168" spans="1:6" ht="15">
      <c r="A7168" s="51">
        <v>295253</v>
      </c>
      <c r="B7168" t="s">
        <v>196</v>
      </c>
      <c r="C7168" s="39" t="s">
        <v>3156</v>
      </c>
      <c r="D7168" t="s">
        <v>4246</v>
      </c>
      <c r="F7168" s="56"/>
    </row>
    <row r="7169" spans="1:6" ht="15">
      <c r="A7169" s="51">
        <v>295254</v>
      </c>
      <c r="B7169" t="s">
        <v>868</v>
      </c>
      <c r="C7169" s="39" t="s">
        <v>3156</v>
      </c>
      <c r="D7169" t="s">
        <v>4244</v>
      </c>
      <c r="F7169" s="56"/>
    </row>
    <row r="7170" spans="1:6" ht="15">
      <c r="A7170" s="51">
        <v>295255</v>
      </c>
      <c r="B7170" t="s">
        <v>198</v>
      </c>
      <c r="C7170" s="39" t="s">
        <v>3156</v>
      </c>
      <c r="D7170">
        <v>8</v>
      </c>
      <c r="F7170" s="56"/>
    </row>
    <row r="7171" spans="1:6" ht="15">
      <c r="A7171" s="51">
        <v>295257</v>
      </c>
      <c r="B7171" t="s">
        <v>2492</v>
      </c>
      <c r="C7171" s="39" t="s">
        <v>3161</v>
      </c>
      <c r="D7171" t="s">
        <v>4244</v>
      </c>
      <c r="F7171" s="56"/>
    </row>
    <row r="7172" spans="1:6" ht="15">
      <c r="A7172" s="51">
        <v>295258</v>
      </c>
      <c r="B7172" t="s">
        <v>2047</v>
      </c>
      <c r="C7172" s="39" t="s">
        <v>3161</v>
      </c>
      <c r="D7172" t="s">
        <v>4243</v>
      </c>
      <c r="F7172" s="56"/>
    </row>
    <row r="7173" spans="1:6" ht="15">
      <c r="A7173" s="51">
        <v>295259</v>
      </c>
      <c r="B7173" t="s">
        <v>2049</v>
      </c>
      <c r="C7173" s="39" t="s">
        <v>3161</v>
      </c>
      <c r="D7173">
        <v>7</v>
      </c>
      <c r="F7173" s="56"/>
    </row>
    <row r="7174" spans="1:6" ht="15">
      <c r="A7174" s="51">
        <v>295260</v>
      </c>
      <c r="B7174" t="s">
        <v>3879</v>
      </c>
      <c r="C7174" s="39" t="s">
        <v>3161</v>
      </c>
      <c r="D7174">
        <v>7</v>
      </c>
      <c r="F7174" s="56"/>
    </row>
    <row r="7175" spans="1:6" ht="15">
      <c r="A7175" s="51">
        <v>295261</v>
      </c>
      <c r="B7175" t="s">
        <v>3880</v>
      </c>
      <c r="C7175" s="39" t="s">
        <v>3161</v>
      </c>
      <c r="D7175">
        <v>7</v>
      </c>
      <c r="F7175" s="56"/>
    </row>
    <row r="7176" spans="1:6" ht="15">
      <c r="A7176" s="51">
        <v>295262</v>
      </c>
      <c r="B7176" t="s">
        <v>2494</v>
      </c>
      <c r="C7176" s="39" t="s">
        <v>3161</v>
      </c>
      <c r="D7176" t="s">
        <v>4244</v>
      </c>
      <c r="F7176" s="56"/>
    </row>
    <row r="7177" spans="1:6" ht="15">
      <c r="A7177" s="51">
        <v>295263</v>
      </c>
      <c r="B7177" t="s">
        <v>2495</v>
      </c>
      <c r="C7177" s="39" t="s">
        <v>3161</v>
      </c>
      <c r="D7177" t="s">
        <v>4243</v>
      </c>
      <c r="F7177" s="56"/>
    </row>
    <row r="7178" spans="1:6" ht="15">
      <c r="A7178" s="51">
        <v>295264</v>
      </c>
      <c r="B7178" t="s">
        <v>230</v>
      </c>
      <c r="C7178" s="39" t="s">
        <v>231</v>
      </c>
      <c r="D7178" t="s">
        <v>4244</v>
      </c>
      <c r="F7178" s="56"/>
    </row>
    <row r="7179" spans="1:6" ht="15">
      <c r="A7179" s="51">
        <v>295265</v>
      </c>
      <c r="B7179" t="s">
        <v>3881</v>
      </c>
      <c r="C7179" s="39" t="s">
        <v>3882</v>
      </c>
      <c r="D7179">
        <v>9</v>
      </c>
      <c r="F7179" s="56"/>
    </row>
    <row r="7180" spans="1:6" ht="15">
      <c r="A7180" s="51">
        <v>295266</v>
      </c>
      <c r="B7180" t="s">
        <v>2891</v>
      </c>
      <c r="C7180" s="39" t="s">
        <v>238</v>
      </c>
      <c r="D7180" t="s">
        <v>4246</v>
      </c>
      <c r="F7180" s="56"/>
    </row>
    <row r="7181" spans="1:6" ht="15">
      <c r="A7181" s="51">
        <v>295267</v>
      </c>
      <c r="B7181" t="s">
        <v>3164</v>
      </c>
      <c r="C7181" s="39" t="s">
        <v>238</v>
      </c>
      <c r="D7181" t="s">
        <v>4247</v>
      </c>
      <c r="F7181" s="56"/>
    </row>
    <row r="7182" spans="1:6" ht="15">
      <c r="A7182" s="51">
        <v>295268</v>
      </c>
      <c r="B7182" t="s">
        <v>3165</v>
      </c>
      <c r="C7182" s="39" t="s">
        <v>238</v>
      </c>
      <c r="D7182" t="s">
        <v>4243</v>
      </c>
      <c r="F7182" s="56"/>
    </row>
    <row r="7183" spans="1:6" ht="15">
      <c r="A7183" s="51">
        <v>295269</v>
      </c>
      <c r="B7183" t="s">
        <v>2497</v>
      </c>
      <c r="C7183" s="39" t="s">
        <v>238</v>
      </c>
      <c r="D7183">
        <v>8</v>
      </c>
      <c r="F7183" s="56"/>
    </row>
    <row r="7184" spans="1:6" ht="15">
      <c r="A7184" s="51">
        <v>295270</v>
      </c>
      <c r="B7184" t="s">
        <v>2498</v>
      </c>
      <c r="C7184" s="39" t="s">
        <v>238</v>
      </c>
      <c r="D7184">
        <v>8</v>
      </c>
      <c r="F7184" s="56"/>
    </row>
    <row r="7185" spans="1:6" ht="15">
      <c r="A7185" s="51">
        <v>295271</v>
      </c>
      <c r="B7185" t="s">
        <v>236</v>
      </c>
      <c r="C7185" s="39" t="s">
        <v>3883</v>
      </c>
      <c r="D7185" t="s">
        <v>4246</v>
      </c>
      <c r="F7185" s="56"/>
    </row>
    <row r="7186" spans="1:6" ht="15">
      <c r="A7186" s="51">
        <v>295272</v>
      </c>
      <c r="B7186" t="s">
        <v>1260</v>
      </c>
      <c r="C7186" s="39" t="s">
        <v>3883</v>
      </c>
      <c r="D7186" t="s">
        <v>4244</v>
      </c>
      <c r="F7186" s="56"/>
    </row>
    <row r="7187" spans="1:6" ht="15">
      <c r="A7187" s="51">
        <v>295273</v>
      </c>
      <c r="B7187" t="s">
        <v>3884</v>
      </c>
      <c r="C7187" s="39" t="s">
        <v>3885</v>
      </c>
      <c r="D7187">
        <v>9</v>
      </c>
      <c r="F7187" s="56"/>
    </row>
    <row r="7188" spans="1:6" ht="15">
      <c r="A7188" s="51">
        <v>295274</v>
      </c>
      <c r="B7188" t="s">
        <v>245</v>
      </c>
      <c r="C7188" s="39" t="s">
        <v>243</v>
      </c>
      <c r="D7188" t="s">
        <v>4246</v>
      </c>
      <c r="F7188" s="56"/>
    </row>
    <row r="7189" spans="1:6" ht="15">
      <c r="A7189" s="51">
        <v>295275</v>
      </c>
      <c r="B7189" t="s">
        <v>2764</v>
      </c>
      <c r="C7189" s="39" t="s">
        <v>243</v>
      </c>
      <c r="D7189" t="s">
        <v>4245</v>
      </c>
      <c r="F7189" s="56"/>
    </row>
    <row r="7190" spans="1:6" ht="15">
      <c r="A7190" s="51">
        <v>295276</v>
      </c>
      <c r="B7190" t="s">
        <v>2765</v>
      </c>
      <c r="C7190" s="39" t="s">
        <v>243</v>
      </c>
      <c r="D7190" t="s">
        <v>4246</v>
      </c>
      <c r="F7190" s="56"/>
    </row>
    <row r="7191" spans="1:6" ht="15">
      <c r="A7191" s="51">
        <v>295277</v>
      </c>
      <c r="B7191" t="s">
        <v>1778</v>
      </c>
      <c r="C7191" s="39" t="s">
        <v>430</v>
      </c>
      <c r="D7191" t="s">
        <v>4247</v>
      </c>
      <c r="F7191" s="56"/>
    </row>
    <row r="7192" spans="1:6" ht="15">
      <c r="A7192" s="51">
        <v>295256</v>
      </c>
      <c r="B7192" t="s">
        <v>3168</v>
      </c>
      <c r="C7192" s="39" t="s">
        <v>3169</v>
      </c>
      <c r="D7192" t="s">
        <v>4243</v>
      </c>
      <c r="F7192" s="56"/>
    </row>
    <row r="7193" spans="1:6" ht="15">
      <c r="A7193" s="51">
        <v>295278</v>
      </c>
      <c r="B7193" t="s">
        <v>3886</v>
      </c>
      <c r="C7193" s="39" t="s">
        <v>3887</v>
      </c>
      <c r="D7193" t="s">
        <v>4249</v>
      </c>
      <c r="F7193" s="56"/>
    </row>
    <row r="7194" spans="1:6" ht="15">
      <c r="A7194" s="51">
        <v>3028704</v>
      </c>
      <c r="B7194" t="s">
        <v>3501</v>
      </c>
      <c r="C7194" s="39" t="s">
        <v>3888</v>
      </c>
      <c r="D7194">
        <v>9</v>
      </c>
      <c r="F7194" s="56"/>
    </row>
    <row r="7195" spans="1:6" ht="15">
      <c r="A7195" s="51">
        <v>3028705</v>
      </c>
      <c r="B7195" t="s">
        <v>3889</v>
      </c>
      <c r="C7195" s="39" t="s">
        <v>3890</v>
      </c>
      <c r="D7195">
        <v>9</v>
      </c>
      <c r="F7195" s="56"/>
    </row>
    <row r="7196" spans="1:6" ht="15">
      <c r="A7196" s="51">
        <v>295279</v>
      </c>
      <c r="B7196" t="s">
        <v>449</v>
      </c>
      <c r="C7196" s="39" t="s">
        <v>450</v>
      </c>
      <c r="D7196">
        <v>9</v>
      </c>
      <c r="F7196" s="56"/>
    </row>
    <row r="7197" spans="1:6" ht="15">
      <c r="A7197" s="51">
        <v>295281</v>
      </c>
      <c r="B7197" t="s">
        <v>455</v>
      </c>
      <c r="C7197" s="39" t="s">
        <v>550</v>
      </c>
      <c r="D7197" t="s">
        <v>4244</v>
      </c>
      <c r="F7197" s="56"/>
    </row>
    <row r="7198" spans="1:6" ht="15">
      <c r="A7198" s="51">
        <v>295282</v>
      </c>
      <c r="B7198" t="s">
        <v>887</v>
      </c>
      <c r="C7198" s="39" t="s">
        <v>1594</v>
      </c>
      <c r="D7198" t="s">
        <v>4243</v>
      </c>
      <c r="F7198" s="56"/>
    </row>
    <row r="7199" spans="1:6" ht="15">
      <c r="A7199" s="51">
        <v>295283</v>
      </c>
      <c r="B7199" t="s">
        <v>1136</v>
      </c>
      <c r="C7199" s="39" t="s">
        <v>2270</v>
      </c>
      <c r="D7199" t="s">
        <v>4243</v>
      </c>
      <c r="F7199" s="56"/>
    </row>
    <row r="7200" spans="1:6" ht="15">
      <c r="A7200" s="51">
        <v>295284</v>
      </c>
      <c r="B7200" t="s">
        <v>2770</v>
      </c>
      <c r="C7200" s="39" t="s">
        <v>2279</v>
      </c>
      <c r="D7200">
        <v>8</v>
      </c>
      <c r="F7200" s="56"/>
    </row>
    <row r="7201" spans="1:6" ht="15">
      <c r="A7201" s="51">
        <v>295043</v>
      </c>
      <c r="B7201" t="s">
        <v>87</v>
      </c>
      <c r="C7201" s="39" t="s">
        <v>88</v>
      </c>
      <c r="D7201">
        <v>8</v>
      </c>
      <c r="F7201" s="56"/>
    </row>
    <row r="7202" spans="1:6" ht="15">
      <c r="A7202" s="51">
        <v>295044</v>
      </c>
      <c r="B7202" t="s">
        <v>2674</v>
      </c>
      <c r="C7202" s="39" t="s">
        <v>2513</v>
      </c>
      <c r="D7202">
        <v>8</v>
      </c>
      <c r="F7202" s="56"/>
    </row>
    <row r="7203" spans="1:6" ht="15">
      <c r="A7203" s="51">
        <v>295045</v>
      </c>
      <c r="B7203" t="s">
        <v>2676</v>
      </c>
      <c r="C7203" s="39" t="s">
        <v>2513</v>
      </c>
      <c r="D7203">
        <v>8</v>
      </c>
      <c r="F7203" s="56"/>
    </row>
    <row r="7204" spans="1:6" ht="15">
      <c r="A7204" s="51">
        <v>295046</v>
      </c>
      <c r="B7204" t="s">
        <v>2796</v>
      </c>
      <c r="C7204" s="39" t="s">
        <v>2516</v>
      </c>
      <c r="D7204">
        <v>8</v>
      </c>
      <c r="F7204" s="56"/>
    </row>
    <row r="7205" spans="1:6" ht="15">
      <c r="A7205" s="51">
        <v>295047</v>
      </c>
      <c r="B7205" t="s">
        <v>3891</v>
      </c>
      <c r="C7205" s="39" t="s">
        <v>2516</v>
      </c>
      <c r="D7205">
        <v>8</v>
      </c>
      <c r="F7205" s="56"/>
    </row>
    <row r="7206" spans="1:6" ht="15">
      <c r="A7206" s="51">
        <v>295048</v>
      </c>
      <c r="B7206" t="s">
        <v>323</v>
      </c>
      <c r="C7206" s="39" t="s">
        <v>326</v>
      </c>
      <c r="D7206">
        <v>8</v>
      </c>
      <c r="F7206" s="56"/>
    </row>
    <row r="7207" spans="1:6" ht="15">
      <c r="A7207" s="51">
        <v>295049</v>
      </c>
      <c r="B7207" t="s">
        <v>1790</v>
      </c>
      <c r="C7207" s="39" t="s">
        <v>326</v>
      </c>
      <c r="D7207">
        <v>8</v>
      </c>
      <c r="F7207" s="56"/>
    </row>
    <row r="7208" spans="1:6" ht="15">
      <c r="A7208" s="51">
        <v>295050</v>
      </c>
      <c r="B7208" t="s">
        <v>3892</v>
      </c>
      <c r="C7208" s="39" t="s">
        <v>326</v>
      </c>
      <c r="D7208">
        <v>9</v>
      </c>
      <c r="F7208" s="56"/>
    </row>
    <row r="7209" spans="1:6" ht="15">
      <c r="A7209" s="51">
        <v>295051</v>
      </c>
      <c r="B7209" t="s">
        <v>3893</v>
      </c>
      <c r="C7209" s="39" t="s">
        <v>1622</v>
      </c>
      <c r="D7209" t="s">
        <v>4248</v>
      </c>
      <c r="F7209" s="56"/>
    </row>
    <row r="7210" spans="1:6" ht="15">
      <c r="A7210" s="51">
        <v>295052</v>
      </c>
      <c r="B7210" t="s">
        <v>1625</v>
      </c>
      <c r="C7210" s="39" t="s">
        <v>3894</v>
      </c>
      <c r="D7210" t="s">
        <v>4244</v>
      </c>
      <c r="F7210" s="56"/>
    </row>
    <row r="7211" spans="1:6" ht="15">
      <c r="A7211" s="51">
        <v>295053</v>
      </c>
      <c r="B7211" t="s">
        <v>338</v>
      </c>
      <c r="C7211" s="39" t="s">
        <v>104</v>
      </c>
      <c r="D7211" t="s">
        <v>4243</v>
      </c>
      <c r="F7211" s="56"/>
    </row>
    <row r="7212" spans="1:6" ht="15">
      <c r="A7212" s="51">
        <v>295054</v>
      </c>
      <c r="B7212" t="s">
        <v>103</v>
      </c>
      <c r="C7212" s="39" t="s">
        <v>3895</v>
      </c>
      <c r="D7212" t="s">
        <v>4249</v>
      </c>
      <c r="F7212" s="56"/>
    </row>
    <row r="7213" spans="1:6" ht="15">
      <c r="A7213" s="51">
        <v>295055</v>
      </c>
      <c r="B7213" t="s">
        <v>109</v>
      </c>
      <c r="C7213" s="39" t="s">
        <v>108</v>
      </c>
      <c r="D7213" t="s">
        <v>4245</v>
      </c>
      <c r="F7213" s="56"/>
    </row>
    <row r="7214" spans="1:6" ht="15">
      <c r="A7214" s="51">
        <v>295056</v>
      </c>
      <c r="B7214" t="s">
        <v>111</v>
      </c>
      <c r="C7214" s="39" t="s">
        <v>108</v>
      </c>
      <c r="D7214" t="s">
        <v>4245</v>
      </c>
      <c r="F7214" s="56"/>
    </row>
    <row r="7215" spans="1:6" ht="15">
      <c r="A7215" s="51">
        <v>295057</v>
      </c>
      <c r="B7215" t="s">
        <v>112</v>
      </c>
      <c r="C7215" s="39" t="s">
        <v>108</v>
      </c>
      <c r="D7215" t="s">
        <v>4244</v>
      </c>
      <c r="F7215" s="56"/>
    </row>
    <row r="7216" spans="1:6" ht="15">
      <c r="A7216" s="51">
        <v>295058</v>
      </c>
      <c r="B7216" t="s">
        <v>113</v>
      </c>
      <c r="C7216" s="39" t="s">
        <v>108</v>
      </c>
      <c r="D7216" t="s">
        <v>4243</v>
      </c>
      <c r="F7216" s="56"/>
    </row>
    <row r="7217" spans="1:6" ht="15">
      <c r="A7217" s="51">
        <v>295059</v>
      </c>
      <c r="B7217" t="s">
        <v>119</v>
      </c>
      <c r="C7217" s="39" t="s">
        <v>3610</v>
      </c>
      <c r="D7217" t="s">
        <v>4247</v>
      </c>
      <c r="F7217" s="56"/>
    </row>
    <row r="7218" spans="1:6" ht="15">
      <c r="A7218" s="51">
        <v>295060</v>
      </c>
      <c r="B7218" t="s">
        <v>121</v>
      </c>
      <c r="C7218" s="39" t="s">
        <v>3610</v>
      </c>
      <c r="D7218" t="s">
        <v>4243</v>
      </c>
      <c r="F7218" s="56"/>
    </row>
    <row r="7219" spans="1:6" ht="15">
      <c r="A7219" s="51">
        <v>295061</v>
      </c>
      <c r="B7219" t="s">
        <v>1977</v>
      </c>
      <c r="C7219" s="39" t="s">
        <v>3610</v>
      </c>
      <c r="D7219">
        <v>8</v>
      </c>
      <c r="F7219" s="56"/>
    </row>
    <row r="7220" spans="1:6" ht="15">
      <c r="A7220" s="51">
        <v>295062</v>
      </c>
      <c r="B7220" t="s">
        <v>1978</v>
      </c>
      <c r="C7220" s="39" t="s">
        <v>3610</v>
      </c>
      <c r="D7220">
        <v>8</v>
      </c>
      <c r="F7220" s="56"/>
    </row>
    <row r="7221" spans="1:6" ht="15">
      <c r="A7221" s="51">
        <v>295063</v>
      </c>
      <c r="B7221" t="s">
        <v>3896</v>
      </c>
      <c r="C7221" s="39" t="s">
        <v>3610</v>
      </c>
      <c r="D7221">
        <v>9</v>
      </c>
      <c r="F7221" s="56"/>
    </row>
    <row r="7222" spans="1:6" ht="15">
      <c r="A7222" s="51">
        <v>295064</v>
      </c>
      <c r="B7222" t="s">
        <v>360</v>
      </c>
      <c r="C7222" s="39" t="s">
        <v>1639</v>
      </c>
      <c r="D7222" t="s">
        <v>4247</v>
      </c>
      <c r="F7222" s="56"/>
    </row>
    <row r="7223" spans="1:6" ht="15">
      <c r="A7223" s="51">
        <v>295065</v>
      </c>
      <c r="B7223" t="s">
        <v>1645</v>
      </c>
      <c r="C7223" s="39" t="s">
        <v>1639</v>
      </c>
      <c r="D7223" t="s">
        <v>4243</v>
      </c>
      <c r="F7223" s="56"/>
    </row>
    <row r="7224" spans="1:6" ht="15">
      <c r="A7224" s="51">
        <v>295066</v>
      </c>
      <c r="B7224" t="s">
        <v>2522</v>
      </c>
      <c r="C7224" s="39" t="s">
        <v>1639</v>
      </c>
      <c r="D7224">
        <v>7</v>
      </c>
      <c r="F7224" s="56"/>
    </row>
    <row r="7225" spans="1:6" ht="15">
      <c r="A7225" s="51">
        <v>295067</v>
      </c>
      <c r="B7225" t="s">
        <v>1646</v>
      </c>
      <c r="C7225" s="39" t="s">
        <v>1639</v>
      </c>
      <c r="D7225">
        <v>8</v>
      </c>
      <c r="F7225" s="56"/>
    </row>
    <row r="7226" spans="1:6" ht="15">
      <c r="A7226" s="51">
        <v>295068</v>
      </c>
      <c r="B7226" t="s">
        <v>1647</v>
      </c>
      <c r="C7226" s="39" t="s">
        <v>1639</v>
      </c>
      <c r="D7226">
        <v>9</v>
      </c>
      <c r="F7226" s="56"/>
    </row>
    <row r="7227" spans="1:6" ht="15">
      <c r="A7227" s="51">
        <v>295069</v>
      </c>
      <c r="B7227" t="s">
        <v>1818</v>
      </c>
      <c r="C7227" s="39" t="s">
        <v>138</v>
      </c>
      <c r="D7227">
        <v>9</v>
      </c>
      <c r="F7227" s="56"/>
    </row>
    <row r="7228" spans="1:6" ht="15">
      <c r="A7228" s="51">
        <v>295070</v>
      </c>
      <c r="B7228" t="s">
        <v>1030</v>
      </c>
      <c r="C7228" s="39" t="s">
        <v>2593</v>
      </c>
      <c r="D7228">
        <v>7</v>
      </c>
      <c r="F7228" s="56"/>
    </row>
    <row r="7229" spans="1:6" ht="15">
      <c r="A7229" s="51">
        <v>295071</v>
      </c>
      <c r="B7229" t="s">
        <v>2207</v>
      </c>
      <c r="C7229" s="39" t="s">
        <v>3897</v>
      </c>
      <c r="D7229">
        <v>8</v>
      </c>
      <c r="F7229" s="56"/>
    </row>
    <row r="7230" spans="1:6" ht="15">
      <c r="A7230" s="51">
        <v>295072</v>
      </c>
      <c r="B7230" t="s">
        <v>3898</v>
      </c>
      <c r="C7230" s="39" t="s">
        <v>3897</v>
      </c>
      <c r="D7230">
        <v>8</v>
      </c>
      <c r="F7230" s="56"/>
    </row>
    <row r="7231" spans="1:6" ht="15">
      <c r="A7231" s="51">
        <v>295073</v>
      </c>
      <c r="B7231" t="s">
        <v>3899</v>
      </c>
      <c r="C7231" s="39" t="s">
        <v>3900</v>
      </c>
      <c r="D7231">
        <v>9</v>
      </c>
      <c r="F7231" s="56"/>
    </row>
    <row r="7232" spans="1:6" ht="15">
      <c r="A7232" s="51">
        <v>295074</v>
      </c>
      <c r="B7232" t="s">
        <v>160</v>
      </c>
      <c r="C7232" s="39" t="s">
        <v>161</v>
      </c>
      <c r="D7232" t="s">
        <v>4246</v>
      </c>
      <c r="F7232" s="56"/>
    </row>
    <row r="7233" spans="1:6" ht="15">
      <c r="A7233" s="51">
        <v>295075</v>
      </c>
      <c r="B7233" t="s">
        <v>162</v>
      </c>
      <c r="C7233" s="39" t="s">
        <v>161</v>
      </c>
      <c r="D7233" t="s">
        <v>4243</v>
      </c>
      <c r="F7233" s="56"/>
    </row>
    <row r="7234" spans="1:6" ht="15">
      <c r="A7234" s="51">
        <v>295076</v>
      </c>
      <c r="B7234" t="s">
        <v>163</v>
      </c>
      <c r="C7234" s="39" t="s">
        <v>161</v>
      </c>
      <c r="D7234">
        <v>7</v>
      </c>
      <c r="F7234" s="56"/>
    </row>
    <row r="7235" spans="1:6" ht="15">
      <c r="A7235" s="51">
        <v>295077</v>
      </c>
      <c r="B7235" t="s">
        <v>165</v>
      </c>
      <c r="C7235" s="39" t="s">
        <v>175</v>
      </c>
      <c r="D7235" t="s">
        <v>4247</v>
      </c>
      <c r="F7235" s="56"/>
    </row>
    <row r="7236" spans="1:6" ht="15">
      <c r="A7236" s="51">
        <v>295078</v>
      </c>
      <c r="B7236" t="s">
        <v>167</v>
      </c>
      <c r="C7236" s="39" t="s">
        <v>175</v>
      </c>
      <c r="D7236" t="s">
        <v>4243</v>
      </c>
      <c r="F7236" s="56"/>
    </row>
    <row r="7237" spans="1:6" ht="15">
      <c r="A7237" s="51">
        <v>295079</v>
      </c>
      <c r="B7237" t="s">
        <v>168</v>
      </c>
      <c r="C7237" s="39" t="s">
        <v>175</v>
      </c>
      <c r="D7237">
        <v>7</v>
      </c>
      <c r="F7237" s="56"/>
    </row>
    <row r="7238" spans="1:6" ht="15">
      <c r="A7238" s="51">
        <v>295080</v>
      </c>
      <c r="B7238" t="s">
        <v>173</v>
      </c>
      <c r="C7238" s="39" t="s">
        <v>175</v>
      </c>
      <c r="D7238">
        <v>8</v>
      </c>
      <c r="F7238" s="56"/>
    </row>
    <row r="7239" spans="1:6" ht="15">
      <c r="A7239" s="51">
        <v>295081</v>
      </c>
      <c r="B7239" t="s">
        <v>2534</v>
      </c>
      <c r="C7239" s="39" t="s">
        <v>175</v>
      </c>
      <c r="D7239">
        <v>9</v>
      </c>
      <c r="F7239" s="56"/>
    </row>
    <row r="7240" spans="1:6" ht="15">
      <c r="A7240" s="51">
        <v>295082</v>
      </c>
      <c r="B7240" t="s">
        <v>179</v>
      </c>
      <c r="C7240" s="39" t="s">
        <v>390</v>
      </c>
      <c r="D7240" t="s">
        <v>4247</v>
      </c>
      <c r="F7240" s="56"/>
    </row>
    <row r="7241" spans="1:6" ht="15">
      <c r="A7241" s="51">
        <v>295083</v>
      </c>
      <c r="B7241" t="s">
        <v>3901</v>
      </c>
      <c r="C7241" s="39" t="s">
        <v>180</v>
      </c>
      <c r="D7241">
        <v>8</v>
      </c>
      <c r="F7241" s="56"/>
    </row>
    <row r="7242" spans="1:6" ht="15">
      <c r="A7242" s="51">
        <v>295084</v>
      </c>
      <c r="B7242" t="s">
        <v>186</v>
      </c>
      <c r="C7242" s="39" t="s">
        <v>189</v>
      </c>
      <c r="D7242" t="s">
        <v>4247</v>
      </c>
      <c r="F7242" s="56"/>
    </row>
    <row r="7243" spans="1:6" ht="15">
      <c r="A7243" s="51">
        <v>295085</v>
      </c>
      <c r="B7243" t="s">
        <v>187</v>
      </c>
      <c r="C7243" s="39" t="s">
        <v>189</v>
      </c>
      <c r="D7243" t="s">
        <v>4243</v>
      </c>
      <c r="F7243" s="56"/>
    </row>
    <row r="7244" spans="1:6" ht="15">
      <c r="A7244" s="51">
        <v>295086</v>
      </c>
      <c r="B7244" t="s">
        <v>1250</v>
      </c>
      <c r="C7244" s="39" t="s">
        <v>189</v>
      </c>
      <c r="D7244">
        <v>7</v>
      </c>
      <c r="F7244" s="56"/>
    </row>
    <row r="7245" spans="1:6" ht="15">
      <c r="A7245" s="51">
        <v>295087</v>
      </c>
      <c r="B7245" t="s">
        <v>1186</v>
      </c>
      <c r="C7245" s="39" t="s">
        <v>192</v>
      </c>
      <c r="D7245" t="s">
        <v>4247</v>
      </c>
      <c r="F7245" s="56"/>
    </row>
    <row r="7246" spans="1:6" ht="15">
      <c r="A7246" s="51">
        <v>295088</v>
      </c>
      <c r="B7246" t="s">
        <v>1187</v>
      </c>
      <c r="C7246" s="39" t="s">
        <v>192</v>
      </c>
      <c r="D7246" t="s">
        <v>4243</v>
      </c>
      <c r="F7246" s="56"/>
    </row>
    <row r="7247" spans="1:6" ht="15">
      <c r="A7247" s="51">
        <v>295089</v>
      </c>
      <c r="B7247" t="s">
        <v>196</v>
      </c>
      <c r="C7247" s="39" t="s">
        <v>630</v>
      </c>
      <c r="D7247">
        <v>8</v>
      </c>
      <c r="F7247" s="56"/>
    </row>
    <row r="7248" spans="1:6" ht="15">
      <c r="A7248" s="51">
        <v>295090</v>
      </c>
      <c r="B7248" t="s">
        <v>868</v>
      </c>
      <c r="C7248" s="39" t="s">
        <v>630</v>
      </c>
      <c r="D7248">
        <v>8</v>
      </c>
      <c r="F7248" s="56"/>
    </row>
    <row r="7249" spans="1:6" ht="15">
      <c r="A7249" s="51">
        <v>295091</v>
      </c>
      <c r="B7249" t="s">
        <v>870</v>
      </c>
      <c r="C7249" s="39" t="s">
        <v>630</v>
      </c>
      <c r="D7249">
        <v>8</v>
      </c>
      <c r="F7249" s="56"/>
    </row>
    <row r="7250" spans="1:6" ht="15">
      <c r="A7250" s="51">
        <v>295092</v>
      </c>
      <c r="B7250" t="s">
        <v>1667</v>
      </c>
      <c r="C7250" s="39" t="s">
        <v>200</v>
      </c>
      <c r="D7250" t="s">
        <v>4243</v>
      </c>
      <c r="F7250" s="56"/>
    </row>
    <row r="7251" spans="1:6" ht="15">
      <c r="A7251" s="51">
        <v>295093</v>
      </c>
      <c r="B7251" t="s">
        <v>403</v>
      </c>
      <c r="C7251" s="39" t="s">
        <v>200</v>
      </c>
      <c r="D7251" t="s">
        <v>4243</v>
      </c>
      <c r="F7251" s="56"/>
    </row>
    <row r="7252" spans="1:6" ht="15">
      <c r="A7252" s="51">
        <v>295094</v>
      </c>
      <c r="B7252" t="s">
        <v>1668</v>
      </c>
      <c r="C7252" s="39" t="s">
        <v>200</v>
      </c>
      <c r="D7252">
        <v>7</v>
      </c>
      <c r="F7252" s="56"/>
    </row>
    <row r="7253" spans="1:6" ht="15">
      <c r="A7253" s="51">
        <v>295095</v>
      </c>
      <c r="B7253" t="s">
        <v>1834</v>
      </c>
      <c r="C7253" s="39" t="s">
        <v>3902</v>
      </c>
      <c r="D7253">
        <v>7</v>
      </c>
      <c r="F7253" s="56"/>
    </row>
    <row r="7254" spans="1:6" ht="15">
      <c r="A7254" s="51">
        <v>295096</v>
      </c>
      <c r="B7254" t="s">
        <v>3903</v>
      </c>
      <c r="C7254" s="39" t="s">
        <v>3904</v>
      </c>
      <c r="D7254">
        <v>8</v>
      </c>
      <c r="F7254" s="56"/>
    </row>
    <row r="7255" spans="1:6" ht="15">
      <c r="A7255" s="51">
        <v>295097</v>
      </c>
      <c r="B7255" t="s">
        <v>2225</v>
      </c>
      <c r="C7255" s="39" t="s">
        <v>207</v>
      </c>
      <c r="D7255">
        <v>7</v>
      </c>
      <c r="F7255" s="56"/>
    </row>
    <row r="7256" spans="1:6" ht="15">
      <c r="A7256" s="51">
        <v>295098</v>
      </c>
      <c r="B7256" t="s">
        <v>1254</v>
      </c>
      <c r="C7256" s="39" t="s">
        <v>207</v>
      </c>
      <c r="D7256">
        <v>7</v>
      </c>
      <c r="F7256" s="56"/>
    </row>
    <row r="7257" spans="1:6" ht="15">
      <c r="A7257" s="51">
        <v>295099</v>
      </c>
      <c r="B7257" t="s">
        <v>1255</v>
      </c>
      <c r="C7257" s="39" t="s">
        <v>207</v>
      </c>
      <c r="D7257">
        <v>8</v>
      </c>
      <c r="F7257" s="56"/>
    </row>
    <row r="7258" spans="1:6" ht="15">
      <c r="A7258" s="51">
        <v>295100</v>
      </c>
      <c r="B7258" t="s">
        <v>206</v>
      </c>
      <c r="C7258" s="39" t="s">
        <v>207</v>
      </c>
      <c r="D7258">
        <v>8</v>
      </c>
      <c r="F7258" s="56"/>
    </row>
    <row r="7259" spans="1:6" ht="15">
      <c r="A7259" s="51">
        <v>295101</v>
      </c>
      <c r="B7259" t="s">
        <v>209</v>
      </c>
      <c r="C7259" s="39" t="s">
        <v>417</v>
      </c>
      <c r="D7259" t="s">
        <v>4244</v>
      </c>
      <c r="F7259" s="56"/>
    </row>
    <row r="7260" spans="1:6" ht="15">
      <c r="A7260" s="51">
        <v>295102</v>
      </c>
      <c r="B7260" t="s">
        <v>214</v>
      </c>
      <c r="C7260" s="39" t="s">
        <v>213</v>
      </c>
      <c r="D7260" t="s">
        <v>4243</v>
      </c>
      <c r="F7260" s="56"/>
    </row>
    <row r="7261" spans="1:6" ht="15">
      <c r="A7261" s="51">
        <v>295103</v>
      </c>
      <c r="B7261" t="s">
        <v>215</v>
      </c>
      <c r="C7261" s="39" t="s">
        <v>213</v>
      </c>
      <c r="D7261">
        <v>8</v>
      </c>
      <c r="F7261" s="56"/>
    </row>
    <row r="7262" spans="1:6" ht="15">
      <c r="A7262" s="51">
        <v>295104</v>
      </c>
      <c r="B7262" t="s">
        <v>3905</v>
      </c>
      <c r="C7262" s="39" t="s">
        <v>3906</v>
      </c>
      <c r="D7262">
        <v>7</v>
      </c>
      <c r="F7262" s="56"/>
    </row>
    <row r="7263" spans="1:6" ht="15">
      <c r="A7263" s="51">
        <v>295105</v>
      </c>
      <c r="B7263" t="s">
        <v>3907</v>
      </c>
      <c r="C7263" s="39" t="s">
        <v>3193</v>
      </c>
      <c r="D7263" t="s">
        <v>4244</v>
      </c>
      <c r="F7263" s="56"/>
    </row>
    <row r="7264" spans="1:6" ht="15">
      <c r="A7264" s="51">
        <v>295106</v>
      </c>
      <c r="B7264" t="s">
        <v>3364</v>
      </c>
      <c r="C7264" s="39" t="s">
        <v>3193</v>
      </c>
      <c r="D7264" t="s">
        <v>4244</v>
      </c>
      <c r="F7264" s="56"/>
    </row>
    <row r="7265" spans="1:6" ht="15">
      <c r="A7265" s="51">
        <v>295107</v>
      </c>
      <c r="B7265" t="s">
        <v>3365</v>
      </c>
      <c r="C7265" s="39" t="s">
        <v>3193</v>
      </c>
      <c r="D7265" t="s">
        <v>4243</v>
      </c>
      <c r="F7265" s="56"/>
    </row>
    <row r="7266" spans="1:6" ht="15">
      <c r="A7266" s="51">
        <v>295108</v>
      </c>
      <c r="B7266" t="s">
        <v>3475</v>
      </c>
      <c r="C7266" s="39" t="s">
        <v>3193</v>
      </c>
      <c r="D7266">
        <v>8</v>
      </c>
      <c r="F7266" s="56"/>
    </row>
    <row r="7267" spans="1:6" ht="15">
      <c r="A7267" s="51">
        <v>295109</v>
      </c>
      <c r="B7267" t="s">
        <v>223</v>
      </c>
      <c r="C7267" s="39" t="s">
        <v>224</v>
      </c>
      <c r="D7267" t="s">
        <v>4243</v>
      </c>
      <c r="F7267" s="56"/>
    </row>
    <row r="7268" spans="1:6" ht="15">
      <c r="A7268" s="51">
        <v>295110</v>
      </c>
      <c r="B7268" t="s">
        <v>3908</v>
      </c>
      <c r="C7268" s="39" t="s">
        <v>889</v>
      </c>
      <c r="D7268" t="s">
        <v>4245</v>
      </c>
      <c r="F7268" s="56"/>
    </row>
    <row r="7269" spans="1:6" ht="15">
      <c r="A7269" s="51">
        <v>295111</v>
      </c>
      <c r="B7269" t="s">
        <v>967</v>
      </c>
      <c r="C7269" s="39" t="s">
        <v>228</v>
      </c>
      <c r="D7269">
        <v>9</v>
      </c>
      <c r="F7269" s="56"/>
    </row>
    <row r="7270" spans="1:6" ht="15">
      <c r="A7270" s="51">
        <v>295112</v>
      </c>
      <c r="B7270" t="s">
        <v>1470</v>
      </c>
      <c r="C7270" s="39" t="s">
        <v>228</v>
      </c>
      <c r="D7270">
        <v>9</v>
      </c>
      <c r="F7270" s="56"/>
    </row>
    <row r="7271" spans="1:6" ht="15">
      <c r="A7271" s="51">
        <v>295113</v>
      </c>
      <c r="B7271" t="s">
        <v>3121</v>
      </c>
      <c r="C7271" s="39" t="s">
        <v>1195</v>
      </c>
      <c r="D7271" t="s">
        <v>4247</v>
      </c>
      <c r="F7271" s="56"/>
    </row>
    <row r="7272" spans="1:6" ht="15">
      <c r="A7272" s="51">
        <v>295114</v>
      </c>
      <c r="B7272" t="s">
        <v>2232</v>
      </c>
      <c r="C7272" s="39" t="s">
        <v>1195</v>
      </c>
      <c r="D7272" t="s">
        <v>4247</v>
      </c>
      <c r="F7272" s="56"/>
    </row>
    <row r="7273" spans="1:6" ht="15">
      <c r="A7273" s="51">
        <v>295115</v>
      </c>
      <c r="B7273" t="s">
        <v>1194</v>
      </c>
      <c r="C7273" s="39" t="s">
        <v>893</v>
      </c>
      <c r="D7273" t="s">
        <v>4248</v>
      </c>
      <c r="F7273" s="56"/>
    </row>
    <row r="7274" spans="1:6" ht="15">
      <c r="A7274" s="51">
        <v>295116</v>
      </c>
      <c r="B7274" t="s">
        <v>1472</v>
      </c>
      <c r="C7274" s="39" t="s">
        <v>893</v>
      </c>
      <c r="D7274" t="s">
        <v>4248</v>
      </c>
      <c r="F7274" s="56"/>
    </row>
    <row r="7275" spans="1:6" ht="15">
      <c r="A7275" s="51">
        <v>295117</v>
      </c>
      <c r="B7275" t="s">
        <v>230</v>
      </c>
      <c r="C7275" s="39" t="s">
        <v>231</v>
      </c>
      <c r="D7275" t="s">
        <v>4244</v>
      </c>
      <c r="F7275" s="56"/>
    </row>
    <row r="7276" spans="1:6" ht="15">
      <c r="A7276" s="51">
        <v>295118</v>
      </c>
      <c r="B7276" t="s">
        <v>232</v>
      </c>
      <c r="C7276" s="39" t="s">
        <v>233</v>
      </c>
      <c r="D7276" t="s">
        <v>4244</v>
      </c>
      <c r="F7276" s="56"/>
    </row>
    <row r="7277" spans="1:6" ht="15">
      <c r="A7277" s="51">
        <v>295119</v>
      </c>
      <c r="B7277" t="s">
        <v>234</v>
      </c>
      <c r="C7277" s="39" t="s">
        <v>238</v>
      </c>
      <c r="D7277" t="s">
        <v>4246</v>
      </c>
      <c r="F7277" s="56"/>
    </row>
    <row r="7278" spans="1:6" ht="15">
      <c r="A7278" s="51">
        <v>295120</v>
      </c>
      <c r="B7278" t="s">
        <v>236</v>
      </c>
      <c r="C7278" s="39" t="s">
        <v>238</v>
      </c>
      <c r="D7278" t="s">
        <v>4247</v>
      </c>
      <c r="F7278" s="56"/>
    </row>
    <row r="7279" spans="1:6" ht="15">
      <c r="A7279" s="51">
        <v>295121</v>
      </c>
      <c r="B7279" t="s">
        <v>1260</v>
      </c>
      <c r="C7279" s="39" t="s">
        <v>238</v>
      </c>
      <c r="D7279" t="s">
        <v>4243</v>
      </c>
      <c r="F7279" s="56"/>
    </row>
    <row r="7280" spans="1:6" ht="15">
      <c r="A7280" s="51">
        <v>295122</v>
      </c>
      <c r="B7280" t="s">
        <v>1857</v>
      </c>
      <c r="C7280" s="39" t="s">
        <v>243</v>
      </c>
      <c r="D7280" t="s">
        <v>4247</v>
      </c>
      <c r="F7280" s="56"/>
    </row>
    <row r="7281" spans="1:6" ht="15">
      <c r="A7281" s="51">
        <v>295123</v>
      </c>
      <c r="B7281" t="s">
        <v>242</v>
      </c>
      <c r="C7281" s="39" t="s">
        <v>1118</v>
      </c>
      <c r="D7281">
        <v>7</v>
      </c>
      <c r="F7281" s="56"/>
    </row>
    <row r="7282" spans="1:6" ht="15">
      <c r="A7282" s="51">
        <v>295124</v>
      </c>
      <c r="B7282" t="s">
        <v>245</v>
      </c>
      <c r="C7282" s="39" t="s">
        <v>1118</v>
      </c>
      <c r="D7282">
        <v>7</v>
      </c>
      <c r="F7282" s="56"/>
    </row>
    <row r="7283" spans="1:6" ht="15">
      <c r="A7283" s="51">
        <v>295125</v>
      </c>
      <c r="B7283" t="s">
        <v>1113</v>
      </c>
      <c r="C7283" s="39" t="s">
        <v>3909</v>
      </c>
      <c r="D7283">
        <v>9</v>
      </c>
      <c r="F7283" s="56"/>
    </row>
    <row r="7284" spans="1:6" ht="15">
      <c r="A7284" s="51">
        <v>295126</v>
      </c>
      <c r="B7284" t="s">
        <v>1120</v>
      </c>
      <c r="C7284" s="39" t="s">
        <v>3492</v>
      </c>
      <c r="D7284" t="s">
        <v>4244</v>
      </c>
      <c r="F7284" s="56"/>
    </row>
    <row r="7285" spans="1:6" ht="15">
      <c r="A7285" s="51">
        <v>295127</v>
      </c>
      <c r="B7285" t="s">
        <v>1491</v>
      </c>
      <c r="C7285" s="39" t="s">
        <v>2549</v>
      </c>
      <c r="D7285">
        <v>8</v>
      </c>
      <c r="F7285" s="56"/>
    </row>
    <row r="7286" spans="1:6" ht="15">
      <c r="A7286" s="51">
        <v>295128</v>
      </c>
      <c r="B7286" t="s">
        <v>3910</v>
      </c>
      <c r="C7286" s="39" t="s">
        <v>2549</v>
      </c>
      <c r="D7286">
        <v>8</v>
      </c>
      <c r="F7286" s="56"/>
    </row>
    <row r="7287" spans="1:6" ht="15">
      <c r="A7287" s="51">
        <v>295129</v>
      </c>
      <c r="B7287" t="s">
        <v>1494</v>
      </c>
      <c r="C7287" s="39" t="s">
        <v>3493</v>
      </c>
      <c r="D7287" t="s">
        <v>4247</v>
      </c>
      <c r="F7287" s="56"/>
    </row>
    <row r="7288" spans="1:6" ht="15">
      <c r="A7288" s="51">
        <v>295130</v>
      </c>
      <c r="B7288" t="s">
        <v>2076</v>
      </c>
      <c r="C7288" s="39" t="s">
        <v>3493</v>
      </c>
      <c r="D7288" t="s">
        <v>4243</v>
      </c>
      <c r="F7288" s="56"/>
    </row>
    <row r="7289" spans="1:6" ht="15">
      <c r="A7289" s="51">
        <v>295131</v>
      </c>
      <c r="B7289" t="s">
        <v>3911</v>
      </c>
      <c r="C7289" s="39" t="s">
        <v>3493</v>
      </c>
      <c r="D7289">
        <v>7</v>
      </c>
      <c r="F7289" s="56"/>
    </row>
    <row r="7290" spans="1:6" ht="15">
      <c r="A7290" s="51">
        <v>295132</v>
      </c>
      <c r="B7290" t="s">
        <v>1585</v>
      </c>
      <c r="C7290" s="39" t="s">
        <v>3912</v>
      </c>
      <c r="D7290">
        <v>8</v>
      </c>
      <c r="F7290" s="56"/>
    </row>
    <row r="7291" spans="1:6" ht="15">
      <c r="A7291" s="51">
        <v>295133</v>
      </c>
      <c r="B7291" t="s">
        <v>3913</v>
      </c>
      <c r="C7291" s="39" t="s">
        <v>3912</v>
      </c>
      <c r="D7291">
        <v>8</v>
      </c>
      <c r="F7291" s="56"/>
    </row>
    <row r="7292" spans="1:6" ht="15">
      <c r="A7292" s="51">
        <v>295134</v>
      </c>
      <c r="B7292" t="s">
        <v>3914</v>
      </c>
      <c r="C7292" s="39" t="s">
        <v>3912</v>
      </c>
      <c r="D7292">
        <v>9</v>
      </c>
      <c r="F7292" s="56"/>
    </row>
    <row r="7293" spans="1:6" ht="15">
      <c r="A7293" s="51">
        <v>295135</v>
      </c>
      <c r="B7293" t="s">
        <v>2261</v>
      </c>
      <c r="C7293" s="39" t="s">
        <v>3915</v>
      </c>
      <c r="D7293">
        <v>8</v>
      </c>
      <c r="F7293" s="56"/>
    </row>
    <row r="7294" spans="1:6" ht="15">
      <c r="A7294" s="51">
        <v>295136</v>
      </c>
      <c r="B7294" t="s">
        <v>1686</v>
      </c>
      <c r="C7294" s="39" t="s">
        <v>3916</v>
      </c>
      <c r="D7294">
        <v>8</v>
      </c>
      <c r="F7294" s="56"/>
    </row>
    <row r="7295" spans="1:6" ht="15">
      <c r="A7295" s="51">
        <v>295137</v>
      </c>
      <c r="B7295" t="s">
        <v>1687</v>
      </c>
      <c r="C7295" s="39" t="s">
        <v>255</v>
      </c>
      <c r="D7295" t="s">
        <v>4246</v>
      </c>
      <c r="F7295" s="56"/>
    </row>
    <row r="7296" spans="1:6" ht="15">
      <c r="A7296" s="51">
        <v>295138</v>
      </c>
      <c r="B7296" t="s">
        <v>248</v>
      </c>
      <c r="C7296" s="39" t="s">
        <v>255</v>
      </c>
      <c r="D7296" t="s">
        <v>4246</v>
      </c>
      <c r="F7296" s="56"/>
    </row>
    <row r="7297" spans="1:6" ht="15">
      <c r="A7297" s="51">
        <v>295139</v>
      </c>
      <c r="B7297" t="s">
        <v>250</v>
      </c>
      <c r="C7297" s="39" t="s">
        <v>255</v>
      </c>
      <c r="D7297" t="s">
        <v>4244</v>
      </c>
      <c r="F7297" s="56"/>
    </row>
    <row r="7298" spans="1:6" ht="15">
      <c r="A7298" s="51">
        <v>295140</v>
      </c>
      <c r="B7298" t="s">
        <v>251</v>
      </c>
      <c r="C7298" s="39" t="s">
        <v>255</v>
      </c>
      <c r="D7298" t="s">
        <v>4243</v>
      </c>
      <c r="F7298" s="56"/>
    </row>
    <row r="7299" spans="1:6" ht="15">
      <c r="A7299" s="51">
        <v>295141</v>
      </c>
      <c r="B7299" t="s">
        <v>1210</v>
      </c>
      <c r="C7299" s="39" t="s">
        <v>3917</v>
      </c>
      <c r="D7299">
        <v>8</v>
      </c>
      <c r="F7299" s="56"/>
    </row>
    <row r="7300" spans="1:6" ht="15">
      <c r="A7300" s="51">
        <v>295142</v>
      </c>
      <c r="B7300" t="s">
        <v>1211</v>
      </c>
      <c r="C7300" s="39" t="s">
        <v>3917</v>
      </c>
      <c r="D7300">
        <v>9</v>
      </c>
      <c r="F7300" s="56"/>
    </row>
    <row r="7301" spans="1:6" ht="15">
      <c r="A7301" s="51">
        <v>295143</v>
      </c>
      <c r="B7301" t="s">
        <v>257</v>
      </c>
      <c r="C7301" s="39" t="s">
        <v>258</v>
      </c>
      <c r="D7301">
        <v>9</v>
      </c>
      <c r="F7301" s="56"/>
    </row>
    <row r="7302" spans="1:6" ht="15">
      <c r="A7302" s="51">
        <v>295144</v>
      </c>
      <c r="B7302" t="s">
        <v>260</v>
      </c>
      <c r="C7302" s="39" t="s">
        <v>261</v>
      </c>
      <c r="D7302" t="s">
        <v>4248</v>
      </c>
      <c r="F7302" s="56"/>
    </row>
    <row r="7303" spans="1:6" ht="15">
      <c r="A7303" s="51">
        <v>295145</v>
      </c>
      <c r="B7303" t="s">
        <v>262</v>
      </c>
      <c r="C7303" s="39" t="s">
        <v>261</v>
      </c>
      <c r="D7303" t="s">
        <v>4245</v>
      </c>
      <c r="F7303" s="56"/>
    </row>
    <row r="7304" spans="1:6" ht="15">
      <c r="A7304" s="51">
        <v>295146</v>
      </c>
      <c r="B7304" t="s">
        <v>265</v>
      </c>
      <c r="C7304" s="39" t="s">
        <v>264</v>
      </c>
      <c r="D7304" t="s">
        <v>4245</v>
      </c>
      <c r="F7304" s="56"/>
    </row>
    <row r="7305" spans="1:6" ht="15">
      <c r="A7305" s="51">
        <v>295147</v>
      </c>
      <c r="B7305" t="s">
        <v>72</v>
      </c>
      <c r="C7305" s="39" t="s">
        <v>264</v>
      </c>
      <c r="D7305" t="s">
        <v>4244</v>
      </c>
      <c r="F7305" s="56"/>
    </row>
    <row r="7306" spans="1:6" ht="15">
      <c r="A7306" s="51">
        <v>295148</v>
      </c>
      <c r="B7306" t="s">
        <v>266</v>
      </c>
      <c r="C7306" s="39" t="s">
        <v>264</v>
      </c>
      <c r="D7306" t="s">
        <v>4243</v>
      </c>
      <c r="F7306" s="56"/>
    </row>
    <row r="7307" spans="1:6" ht="15">
      <c r="A7307" s="51">
        <v>295149</v>
      </c>
      <c r="B7307" t="s">
        <v>73</v>
      </c>
      <c r="C7307" s="39" t="s">
        <v>264</v>
      </c>
      <c r="D7307">
        <v>8</v>
      </c>
      <c r="F7307" s="56"/>
    </row>
    <row r="7308" spans="1:6" ht="15">
      <c r="A7308" s="51">
        <v>295150</v>
      </c>
      <c r="B7308" t="s">
        <v>267</v>
      </c>
      <c r="C7308" s="39" t="s">
        <v>264</v>
      </c>
      <c r="D7308">
        <v>9</v>
      </c>
      <c r="F7308" s="56"/>
    </row>
    <row r="7309" spans="1:6" ht="15">
      <c r="A7309" s="51">
        <v>295152</v>
      </c>
      <c r="B7309" t="s">
        <v>455</v>
      </c>
      <c r="C7309" s="39" t="s">
        <v>550</v>
      </c>
      <c r="D7309" t="s">
        <v>4244</v>
      </c>
      <c r="F7309" s="56"/>
    </row>
    <row r="7310" spans="1:6" ht="15">
      <c r="A7310" s="51">
        <v>295153</v>
      </c>
      <c r="B7310" t="s">
        <v>887</v>
      </c>
      <c r="C7310" s="39" t="s">
        <v>283</v>
      </c>
      <c r="D7310">
        <v>8</v>
      </c>
      <c r="F7310" s="56"/>
    </row>
    <row r="7311" spans="1:6" ht="15">
      <c r="A7311" s="51">
        <v>295154</v>
      </c>
      <c r="B7311" t="s">
        <v>277</v>
      </c>
      <c r="C7311" s="39" t="s">
        <v>285</v>
      </c>
      <c r="D7311" t="s">
        <v>4246</v>
      </c>
      <c r="F7311" s="56"/>
    </row>
    <row r="7312" spans="1:6" ht="15">
      <c r="A7312" s="51">
        <v>295155</v>
      </c>
      <c r="B7312" t="s">
        <v>279</v>
      </c>
      <c r="C7312" s="39" t="s">
        <v>285</v>
      </c>
      <c r="D7312" t="s">
        <v>4247</v>
      </c>
      <c r="F7312" s="56"/>
    </row>
    <row r="7313" spans="1:6" ht="15">
      <c r="A7313" s="51">
        <v>295156</v>
      </c>
      <c r="B7313" t="s">
        <v>280</v>
      </c>
      <c r="C7313" s="39" t="s">
        <v>285</v>
      </c>
      <c r="D7313" t="s">
        <v>4243</v>
      </c>
      <c r="F7313" s="56"/>
    </row>
    <row r="7314" spans="1:6" ht="15">
      <c r="A7314" s="51">
        <v>295157</v>
      </c>
      <c r="B7314" t="s">
        <v>286</v>
      </c>
      <c r="C7314" s="39" t="s">
        <v>3918</v>
      </c>
      <c r="D7314">
        <v>9</v>
      </c>
      <c r="F7314" s="56"/>
    </row>
    <row r="7315" spans="1:6" ht="15">
      <c r="A7315" s="51">
        <v>295158</v>
      </c>
      <c r="B7315" t="s">
        <v>1139</v>
      </c>
      <c r="C7315" s="39" t="s">
        <v>295</v>
      </c>
      <c r="D7315" t="s">
        <v>4247</v>
      </c>
      <c r="F7315" s="56"/>
    </row>
    <row r="7316" spans="1:6" ht="15">
      <c r="A7316" s="51">
        <v>295159</v>
      </c>
      <c r="B7316" t="s">
        <v>1140</v>
      </c>
      <c r="C7316" s="39" t="s">
        <v>295</v>
      </c>
      <c r="D7316" t="s">
        <v>4247</v>
      </c>
      <c r="F7316" s="56"/>
    </row>
    <row r="7317" spans="1:6" ht="15">
      <c r="A7317" s="51">
        <v>295160</v>
      </c>
      <c r="B7317" t="s">
        <v>288</v>
      </c>
      <c r="C7317" s="39" t="s">
        <v>295</v>
      </c>
      <c r="D7317" t="s">
        <v>4243</v>
      </c>
      <c r="F7317" s="56"/>
    </row>
    <row r="7318" spans="1:6" ht="15">
      <c r="A7318" s="51">
        <v>295161</v>
      </c>
      <c r="B7318" t="s">
        <v>2277</v>
      </c>
      <c r="C7318" s="39" t="s">
        <v>295</v>
      </c>
      <c r="D7318">
        <v>8</v>
      </c>
      <c r="F7318" s="56"/>
    </row>
    <row r="7319" spans="1:6" ht="15">
      <c r="A7319" s="51">
        <v>295162</v>
      </c>
      <c r="B7319" t="s">
        <v>3919</v>
      </c>
      <c r="C7319" s="39" t="s">
        <v>3504</v>
      </c>
      <c r="D7319" t="s">
        <v>4247</v>
      </c>
      <c r="F7319" s="56"/>
    </row>
    <row r="7320" spans="1:6" ht="15">
      <c r="A7320" s="51">
        <v>295163</v>
      </c>
      <c r="B7320" t="s">
        <v>3503</v>
      </c>
      <c r="C7320" s="39" t="s">
        <v>3504</v>
      </c>
      <c r="D7320" t="s">
        <v>4244</v>
      </c>
      <c r="F7320" s="56"/>
    </row>
    <row r="7321" spans="1:6" ht="15">
      <c r="A7321" s="51">
        <v>295164</v>
      </c>
      <c r="B7321" t="s">
        <v>3505</v>
      </c>
      <c r="C7321" s="39" t="s">
        <v>3504</v>
      </c>
      <c r="D7321" t="s">
        <v>4243</v>
      </c>
      <c r="F7321" s="56"/>
    </row>
    <row r="7322" spans="1:6" ht="15">
      <c r="A7322" s="51">
        <v>295797</v>
      </c>
      <c r="B7322" t="s">
        <v>3920</v>
      </c>
      <c r="C7322" s="39" t="s">
        <v>835</v>
      </c>
      <c r="D7322">
        <v>9</v>
      </c>
      <c r="F7322" s="56"/>
    </row>
    <row r="7323" spans="1:6" ht="15">
      <c r="A7323" s="51">
        <v>295798</v>
      </c>
      <c r="B7323" t="s">
        <v>3921</v>
      </c>
      <c r="C7323" s="39" t="s">
        <v>318</v>
      </c>
      <c r="D7323">
        <v>7</v>
      </c>
      <c r="F7323" s="56"/>
    </row>
    <row r="7324" spans="1:6" ht="15">
      <c r="A7324" s="51">
        <v>295799</v>
      </c>
      <c r="B7324" t="s">
        <v>969</v>
      </c>
      <c r="C7324" s="39" t="s">
        <v>90</v>
      </c>
      <c r="D7324">
        <v>7</v>
      </c>
      <c r="F7324" s="56"/>
    </row>
    <row r="7325" spans="1:6" ht="15">
      <c r="A7325" s="51">
        <v>295800</v>
      </c>
      <c r="B7325" t="s">
        <v>3922</v>
      </c>
      <c r="C7325" s="39" t="s">
        <v>92</v>
      </c>
      <c r="D7325" t="s">
        <v>4243</v>
      </c>
      <c r="F7325" s="56"/>
    </row>
    <row r="7326" spans="1:6" ht="15">
      <c r="A7326" s="51">
        <v>295801</v>
      </c>
      <c r="B7326" t="s">
        <v>3923</v>
      </c>
      <c r="C7326" s="39" t="s">
        <v>92</v>
      </c>
      <c r="D7326" t="s">
        <v>4244</v>
      </c>
      <c r="F7326" s="56"/>
    </row>
    <row r="7327" spans="1:6" ht="15">
      <c r="A7327" s="51">
        <v>295802</v>
      </c>
      <c r="B7327" t="s">
        <v>1623</v>
      </c>
      <c r="C7327" s="39" t="s">
        <v>837</v>
      </c>
      <c r="D7327" t="s">
        <v>4244</v>
      </c>
      <c r="F7327" s="56"/>
    </row>
    <row r="7328" spans="1:6" ht="15">
      <c r="A7328" s="51">
        <v>295803</v>
      </c>
      <c r="B7328" t="s">
        <v>100</v>
      </c>
      <c r="C7328" s="39" t="s">
        <v>651</v>
      </c>
      <c r="D7328">
        <v>7</v>
      </c>
      <c r="F7328" s="56"/>
    </row>
    <row r="7329" spans="1:6" ht="15">
      <c r="A7329" s="51">
        <v>295805</v>
      </c>
      <c r="B7329" t="s">
        <v>3924</v>
      </c>
      <c r="C7329" s="39" t="s">
        <v>2994</v>
      </c>
      <c r="D7329">
        <v>8</v>
      </c>
      <c r="F7329" s="56"/>
    </row>
    <row r="7330" spans="1:6" ht="15">
      <c r="A7330" s="51">
        <v>295806</v>
      </c>
      <c r="B7330" t="s">
        <v>3925</v>
      </c>
      <c r="C7330" s="39" t="s">
        <v>2994</v>
      </c>
      <c r="D7330" t="s">
        <v>4243</v>
      </c>
      <c r="F7330" s="56"/>
    </row>
    <row r="7331" spans="1:6" ht="15">
      <c r="A7331" s="51">
        <v>295807</v>
      </c>
      <c r="B7331" t="s">
        <v>3926</v>
      </c>
      <c r="C7331" s="39" t="s">
        <v>2994</v>
      </c>
      <c r="D7331" t="s">
        <v>4247</v>
      </c>
      <c r="F7331" s="56"/>
    </row>
    <row r="7332" spans="1:6" ht="15">
      <c r="A7332" s="51">
        <v>295809</v>
      </c>
      <c r="B7332" t="s">
        <v>3927</v>
      </c>
      <c r="C7332" s="39" t="s">
        <v>108</v>
      </c>
      <c r="D7332" t="s">
        <v>4244</v>
      </c>
      <c r="F7332" s="56"/>
    </row>
    <row r="7333" spans="1:6" ht="15">
      <c r="A7333" s="51">
        <v>295810</v>
      </c>
      <c r="B7333" t="s">
        <v>3928</v>
      </c>
      <c r="C7333" s="39" t="s">
        <v>108</v>
      </c>
      <c r="D7333" t="s">
        <v>4243</v>
      </c>
      <c r="F7333" s="56"/>
    </row>
    <row r="7334" spans="1:6" ht="15">
      <c r="A7334" s="51">
        <v>295811</v>
      </c>
      <c r="B7334" t="s">
        <v>3929</v>
      </c>
      <c r="C7334" s="39" t="s">
        <v>108</v>
      </c>
      <c r="D7334" t="s">
        <v>4244</v>
      </c>
      <c r="F7334" s="56"/>
    </row>
    <row r="7335" spans="1:6" ht="15">
      <c r="A7335" s="51">
        <v>295812</v>
      </c>
      <c r="B7335" t="s">
        <v>3930</v>
      </c>
      <c r="C7335" s="39" t="s">
        <v>108</v>
      </c>
      <c r="D7335">
        <v>8</v>
      </c>
      <c r="F7335" s="56"/>
    </row>
    <row r="7336" spans="1:6" ht="15">
      <c r="A7336" s="51">
        <v>295813</v>
      </c>
      <c r="B7336" t="s">
        <v>1798</v>
      </c>
      <c r="C7336" s="39" t="s">
        <v>651</v>
      </c>
      <c r="D7336">
        <v>7</v>
      </c>
      <c r="F7336" s="56"/>
    </row>
    <row r="7337" spans="1:6" ht="15">
      <c r="A7337" s="51">
        <v>295814</v>
      </c>
      <c r="B7337" t="s">
        <v>3931</v>
      </c>
      <c r="C7337" s="39" t="s">
        <v>108</v>
      </c>
      <c r="D7337" t="s">
        <v>4245</v>
      </c>
      <c r="F7337" s="56"/>
    </row>
    <row r="7338" spans="1:6" ht="15">
      <c r="A7338" s="51">
        <v>295815</v>
      </c>
      <c r="B7338" t="s">
        <v>1244</v>
      </c>
      <c r="C7338" s="39" t="s">
        <v>108</v>
      </c>
      <c r="D7338" t="s">
        <v>4246</v>
      </c>
      <c r="F7338" s="56"/>
    </row>
    <row r="7339" spans="1:6" ht="15">
      <c r="A7339" s="51">
        <v>295816</v>
      </c>
      <c r="B7339" t="s">
        <v>3932</v>
      </c>
      <c r="C7339" s="39" t="s">
        <v>108</v>
      </c>
      <c r="D7339" t="s">
        <v>4245</v>
      </c>
      <c r="F7339" s="56"/>
    </row>
    <row r="7340" spans="1:6" ht="15">
      <c r="A7340" s="51">
        <v>295817</v>
      </c>
      <c r="B7340" t="s">
        <v>3933</v>
      </c>
      <c r="C7340" s="39" t="s">
        <v>3934</v>
      </c>
      <c r="D7340" t="s">
        <v>4243</v>
      </c>
      <c r="F7340" s="56"/>
    </row>
    <row r="7341" spans="1:6" ht="15">
      <c r="A7341" s="51">
        <v>295818</v>
      </c>
      <c r="B7341" t="s">
        <v>3935</v>
      </c>
      <c r="C7341" s="39" t="s">
        <v>157</v>
      </c>
      <c r="D7341" t="s">
        <v>4243</v>
      </c>
      <c r="F7341" s="56"/>
    </row>
    <row r="7342" spans="1:6" ht="15">
      <c r="A7342" s="51">
        <v>295819</v>
      </c>
      <c r="B7342" t="s">
        <v>3936</v>
      </c>
      <c r="C7342" s="39" t="s">
        <v>157</v>
      </c>
      <c r="D7342" t="s">
        <v>4245</v>
      </c>
      <c r="F7342" s="56"/>
    </row>
    <row r="7343" spans="1:6" ht="15">
      <c r="A7343" s="51">
        <v>295820</v>
      </c>
      <c r="B7343" t="s">
        <v>3937</v>
      </c>
      <c r="C7343" s="39" t="s">
        <v>157</v>
      </c>
      <c r="D7343" t="s">
        <v>4244</v>
      </c>
      <c r="F7343" s="56"/>
    </row>
    <row r="7344" spans="1:6" ht="15">
      <c r="A7344" s="51">
        <v>295821</v>
      </c>
      <c r="B7344" t="s">
        <v>3938</v>
      </c>
      <c r="C7344" s="39" t="s">
        <v>157</v>
      </c>
      <c r="D7344">
        <v>9</v>
      </c>
      <c r="F7344" s="56"/>
    </row>
    <row r="7345" spans="1:6" ht="15">
      <c r="A7345" s="51">
        <v>295822</v>
      </c>
      <c r="B7345" t="s">
        <v>3939</v>
      </c>
      <c r="C7345" s="39" t="s">
        <v>3940</v>
      </c>
      <c r="D7345">
        <v>8</v>
      </c>
      <c r="F7345" s="56"/>
    </row>
    <row r="7346" spans="1:6" ht="15">
      <c r="A7346" s="51">
        <v>295823</v>
      </c>
      <c r="B7346" t="s">
        <v>3941</v>
      </c>
      <c r="C7346" s="39" t="s">
        <v>157</v>
      </c>
      <c r="D7346" t="s">
        <v>4245</v>
      </c>
      <c r="F7346" s="56"/>
    </row>
    <row r="7347" spans="1:6" ht="15">
      <c r="A7347" s="51">
        <v>295824</v>
      </c>
      <c r="B7347" t="s">
        <v>3942</v>
      </c>
      <c r="C7347" s="39" t="s">
        <v>157</v>
      </c>
      <c r="D7347" t="s">
        <v>4245</v>
      </c>
      <c r="F7347" s="56"/>
    </row>
    <row r="7348" spans="1:6" ht="15">
      <c r="A7348" s="51">
        <v>295826</v>
      </c>
      <c r="B7348" t="s">
        <v>3943</v>
      </c>
      <c r="C7348" s="39" t="s">
        <v>390</v>
      </c>
      <c r="D7348" t="s">
        <v>4247</v>
      </c>
      <c r="F7348" s="56"/>
    </row>
    <row r="7349" spans="1:6" ht="15">
      <c r="A7349" s="51">
        <v>295827</v>
      </c>
      <c r="B7349" t="s">
        <v>3944</v>
      </c>
      <c r="C7349" s="39" t="s">
        <v>390</v>
      </c>
      <c r="D7349">
        <v>7</v>
      </c>
      <c r="F7349" s="56"/>
    </row>
    <row r="7350" spans="1:6" ht="15">
      <c r="A7350" s="51">
        <v>295828</v>
      </c>
      <c r="B7350" t="s">
        <v>3945</v>
      </c>
      <c r="C7350" s="39" t="s">
        <v>390</v>
      </c>
      <c r="D7350" t="s">
        <v>4243</v>
      </c>
      <c r="F7350" s="56"/>
    </row>
    <row r="7351" spans="1:6" ht="15">
      <c r="A7351" s="51">
        <v>295829</v>
      </c>
      <c r="B7351" t="s">
        <v>3946</v>
      </c>
      <c r="C7351" s="39" t="s">
        <v>390</v>
      </c>
      <c r="D7351">
        <v>9</v>
      </c>
      <c r="F7351" s="56"/>
    </row>
    <row r="7352" spans="1:6" ht="15">
      <c r="A7352" s="51">
        <v>295830</v>
      </c>
      <c r="B7352" t="s">
        <v>3947</v>
      </c>
      <c r="C7352" s="39" t="s">
        <v>390</v>
      </c>
      <c r="D7352">
        <v>9</v>
      </c>
      <c r="F7352" s="56"/>
    </row>
    <row r="7353" spans="1:6" ht="15">
      <c r="A7353" s="51">
        <v>295831</v>
      </c>
      <c r="B7353" t="s">
        <v>3948</v>
      </c>
      <c r="C7353" s="39" t="s">
        <v>192</v>
      </c>
      <c r="D7353">
        <v>8</v>
      </c>
      <c r="F7353" s="56"/>
    </row>
    <row r="7354" spans="1:6" ht="15">
      <c r="A7354" s="51">
        <v>295832</v>
      </c>
      <c r="B7354" t="s">
        <v>3949</v>
      </c>
      <c r="C7354" s="39" t="s">
        <v>192</v>
      </c>
      <c r="D7354">
        <v>8</v>
      </c>
      <c r="F7354" s="56"/>
    </row>
    <row r="7355" spans="1:6" ht="15">
      <c r="A7355" s="51">
        <v>295833</v>
      </c>
      <c r="B7355" t="s">
        <v>3950</v>
      </c>
      <c r="C7355" s="39" t="s">
        <v>192</v>
      </c>
      <c r="D7355">
        <v>7</v>
      </c>
      <c r="F7355" s="56"/>
    </row>
    <row r="7356" spans="1:6" ht="15">
      <c r="A7356" s="51">
        <v>295834</v>
      </c>
      <c r="B7356" t="s">
        <v>3951</v>
      </c>
      <c r="C7356" s="39" t="s">
        <v>192</v>
      </c>
      <c r="D7356">
        <v>7</v>
      </c>
      <c r="F7356" s="56"/>
    </row>
    <row r="7357" spans="1:6" ht="15">
      <c r="A7357" s="51">
        <v>295835</v>
      </c>
      <c r="B7357" t="s">
        <v>3952</v>
      </c>
      <c r="C7357" s="39" t="s">
        <v>192</v>
      </c>
      <c r="D7357" t="s">
        <v>4243</v>
      </c>
      <c r="F7357" s="56"/>
    </row>
    <row r="7358" spans="1:6" ht="15">
      <c r="A7358" s="51">
        <v>295836</v>
      </c>
      <c r="B7358" t="s">
        <v>3953</v>
      </c>
      <c r="C7358" s="39" t="s">
        <v>192</v>
      </c>
      <c r="D7358" t="s">
        <v>4247</v>
      </c>
      <c r="F7358" s="56"/>
    </row>
    <row r="7359" spans="1:6" ht="15">
      <c r="A7359" s="51">
        <v>295837</v>
      </c>
      <c r="B7359" t="s">
        <v>3954</v>
      </c>
      <c r="C7359" s="39" t="s">
        <v>192</v>
      </c>
      <c r="D7359" t="s">
        <v>4247</v>
      </c>
      <c r="F7359" s="56"/>
    </row>
    <row r="7360" spans="1:6" ht="15">
      <c r="A7360" s="51">
        <v>295838</v>
      </c>
      <c r="B7360" t="s">
        <v>3955</v>
      </c>
      <c r="C7360" s="39" t="s">
        <v>402</v>
      </c>
      <c r="D7360" t="s">
        <v>4245</v>
      </c>
      <c r="F7360" s="56"/>
    </row>
    <row r="7361" spans="1:6" ht="15">
      <c r="A7361" s="51">
        <v>295839</v>
      </c>
      <c r="B7361" t="s">
        <v>3956</v>
      </c>
      <c r="C7361" s="39" t="s">
        <v>402</v>
      </c>
      <c r="D7361" t="s">
        <v>4245</v>
      </c>
      <c r="F7361" s="56"/>
    </row>
    <row r="7362" spans="1:6" ht="15">
      <c r="A7362" s="51">
        <v>295840</v>
      </c>
      <c r="B7362" t="s">
        <v>1225</v>
      </c>
      <c r="C7362" s="39" t="s">
        <v>1226</v>
      </c>
      <c r="D7362" t="s">
        <v>4243</v>
      </c>
      <c r="F7362" s="56"/>
    </row>
    <row r="7363" spans="1:6" ht="15">
      <c r="A7363" s="51">
        <v>1538991</v>
      </c>
      <c r="B7363" t="s">
        <v>830</v>
      </c>
      <c r="C7363" s="39" t="s">
        <v>228</v>
      </c>
      <c r="D7363">
        <v>9</v>
      </c>
      <c r="F7363" s="56"/>
    </row>
    <row r="7364" spans="1:6" ht="15">
      <c r="A7364" s="51">
        <v>295841</v>
      </c>
      <c r="B7364" t="s">
        <v>3957</v>
      </c>
      <c r="C7364" s="39" t="s">
        <v>326</v>
      </c>
      <c r="D7364">
        <v>9</v>
      </c>
      <c r="F7364" s="56"/>
    </row>
    <row r="7365" spans="1:6" ht="15">
      <c r="A7365" s="51">
        <v>295842</v>
      </c>
      <c r="B7365" t="s">
        <v>1229</v>
      </c>
      <c r="C7365" s="39" t="s">
        <v>437</v>
      </c>
      <c r="D7365" t="s">
        <v>4248</v>
      </c>
      <c r="F7365" s="56"/>
    </row>
    <row r="7366" spans="1:6" ht="15">
      <c r="A7366" s="51">
        <v>295843</v>
      </c>
      <c r="B7366" t="s">
        <v>882</v>
      </c>
      <c r="C7366" s="39" t="s">
        <v>437</v>
      </c>
      <c r="D7366" t="s">
        <v>4248</v>
      </c>
      <c r="F7366" s="56"/>
    </row>
    <row r="7367" spans="1:6" ht="15">
      <c r="A7367" s="51">
        <v>295844</v>
      </c>
      <c r="B7367" t="s">
        <v>3958</v>
      </c>
      <c r="C7367" s="39" t="s">
        <v>437</v>
      </c>
      <c r="D7367" t="s">
        <v>4248</v>
      </c>
      <c r="F7367" s="56"/>
    </row>
    <row r="7368" spans="1:6" ht="15">
      <c r="A7368" s="51">
        <v>295845</v>
      </c>
      <c r="B7368" t="s">
        <v>2552</v>
      </c>
      <c r="C7368" s="39" t="s">
        <v>437</v>
      </c>
      <c r="D7368" t="s">
        <v>4248</v>
      </c>
      <c r="F7368" s="56"/>
    </row>
    <row r="7369" spans="1:6" ht="15">
      <c r="A7369" s="51">
        <v>295846</v>
      </c>
      <c r="B7369" t="s">
        <v>3959</v>
      </c>
      <c r="C7369" s="39" t="s">
        <v>437</v>
      </c>
      <c r="D7369" t="s">
        <v>4248</v>
      </c>
      <c r="F7369" s="56"/>
    </row>
    <row r="7370" spans="1:6" ht="15">
      <c r="A7370" s="51">
        <v>295847</v>
      </c>
      <c r="B7370" t="s">
        <v>3960</v>
      </c>
      <c r="C7370" s="39" t="s">
        <v>261</v>
      </c>
      <c r="D7370" t="s">
        <v>4246</v>
      </c>
      <c r="F7370" s="56"/>
    </row>
    <row r="7371" spans="1:6" ht="15">
      <c r="A7371" s="51">
        <v>295848</v>
      </c>
      <c r="B7371" t="s">
        <v>3961</v>
      </c>
      <c r="C7371" s="39" t="s">
        <v>261</v>
      </c>
      <c r="D7371" t="s">
        <v>4248</v>
      </c>
      <c r="F7371" s="56"/>
    </row>
    <row r="7372" spans="1:6" ht="15">
      <c r="A7372" s="51">
        <v>295849</v>
      </c>
      <c r="B7372" t="s">
        <v>3962</v>
      </c>
      <c r="C7372" s="39" t="s">
        <v>261</v>
      </c>
      <c r="D7372" t="s">
        <v>4244</v>
      </c>
      <c r="F7372" s="56"/>
    </row>
    <row r="7373" spans="1:6" ht="15">
      <c r="A7373" s="51">
        <v>295850</v>
      </c>
      <c r="B7373" t="s">
        <v>3963</v>
      </c>
      <c r="C7373" s="39" t="s">
        <v>274</v>
      </c>
      <c r="D7373">
        <v>8</v>
      </c>
      <c r="F7373" s="56"/>
    </row>
    <row r="7374" spans="1:6" ht="15">
      <c r="A7374" s="51">
        <v>295851</v>
      </c>
      <c r="B7374" t="s">
        <v>3964</v>
      </c>
      <c r="C7374" s="39" t="s">
        <v>274</v>
      </c>
      <c r="D7374" t="s">
        <v>4243</v>
      </c>
      <c r="F7374" s="56"/>
    </row>
    <row r="7375" spans="1:6" ht="15">
      <c r="A7375" s="51">
        <v>295852</v>
      </c>
      <c r="B7375" t="s">
        <v>3965</v>
      </c>
      <c r="C7375" s="39" t="s">
        <v>274</v>
      </c>
      <c r="D7375">
        <v>8</v>
      </c>
      <c r="F7375" s="56"/>
    </row>
    <row r="7376" spans="1:6" ht="15">
      <c r="A7376" s="51">
        <v>295305</v>
      </c>
      <c r="B7376" t="s">
        <v>3966</v>
      </c>
      <c r="C7376" s="39" t="s">
        <v>92</v>
      </c>
      <c r="D7376">
        <v>8</v>
      </c>
      <c r="F7376" s="56"/>
    </row>
    <row r="7377" spans="1:6" ht="15">
      <c r="A7377" s="51">
        <v>295853</v>
      </c>
      <c r="B7377" t="s">
        <v>3967</v>
      </c>
      <c r="C7377" s="39" t="s">
        <v>274</v>
      </c>
      <c r="D7377">
        <v>8</v>
      </c>
      <c r="F7377" s="56"/>
    </row>
    <row r="7378" spans="1:6" ht="15">
      <c r="A7378" s="51">
        <v>295854</v>
      </c>
      <c r="B7378" t="s">
        <v>3968</v>
      </c>
      <c r="C7378" s="39" t="s">
        <v>274</v>
      </c>
      <c r="D7378">
        <v>7</v>
      </c>
      <c r="F7378" s="56"/>
    </row>
    <row r="7379" spans="1:6" ht="15">
      <c r="A7379" s="51">
        <v>295855</v>
      </c>
      <c r="B7379" t="s">
        <v>2770</v>
      </c>
      <c r="C7379" s="39" t="s">
        <v>3969</v>
      </c>
      <c r="D7379" t="s">
        <v>4243</v>
      </c>
      <c r="F7379" s="56"/>
    </row>
    <row r="7380" spans="1:6" ht="15">
      <c r="A7380" s="51">
        <v>295856</v>
      </c>
      <c r="B7380" t="s">
        <v>2511</v>
      </c>
      <c r="C7380" s="39" t="s">
        <v>3969</v>
      </c>
      <c r="D7380" t="s">
        <v>4244</v>
      </c>
      <c r="F7380" s="56"/>
    </row>
    <row r="7381" spans="1:6" ht="15">
      <c r="A7381" s="51">
        <v>295857</v>
      </c>
      <c r="B7381" t="s">
        <v>3970</v>
      </c>
      <c r="C7381" s="39" t="s">
        <v>3969</v>
      </c>
      <c r="D7381">
        <v>9</v>
      </c>
      <c r="F7381" s="56"/>
    </row>
    <row r="7382" spans="1:6" ht="15">
      <c r="A7382" s="51">
        <v>295858</v>
      </c>
      <c r="B7382" t="s">
        <v>1520</v>
      </c>
      <c r="C7382" s="39" t="s">
        <v>3969</v>
      </c>
      <c r="D7382" t="s">
        <v>4245</v>
      </c>
      <c r="F7382" s="56"/>
    </row>
    <row r="7383" spans="1:6" ht="15">
      <c r="A7383" s="51">
        <v>295575</v>
      </c>
      <c r="B7383" t="s">
        <v>1214</v>
      </c>
      <c r="C7383" s="39" t="s">
        <v>835</v>
      </c>
      <c r="D7383">
        <v>9</v>
      </c>
      <c r="F7383" s="56"/>
    </row>
    <row r="7384" spans="1:6" ht="15">
      <c r="A7384" s="51">
        <v>295576</v>
      </c>
      <c r="B7384" t="s">
        <v>975</v>
      </c>
      <c r="C7384" s="39" t="s">
        <v>536</v>
      </c>
      <c r="D7384" t="s">
        <v>4246</v>
      </c>
      <c r="F7384" s="56"/>
    </row>
    <row r="7385" spans="1:6" ht="15">
      <c r="A7385" s="51">
        <v>295577</v>
      </c>
      <c r="B7385" t="s">
        <v>323</v>
      </c>
      <c r="C7385" s="39" t="s">
        <v>536</v>
      </c>
      <c r="D7385" t="s">
        <v>4247</v>
      </c>
      <c r="F7385" s="56"/>
    </row>
    <row r="7386" spans="1:6" ht="15">
      <c r="A7386" s="51">
        <v>295578</v>
      </c>
      <c r="B7386" t="s">
        <v>1233</v>
      </c>
      <c r="C7386" s="39" t="s">
        <v>92</v>
      </c>
      <c r="D7386" t="s">
        <v>4246</v>
      </c>
      <c r="F7386" s="56"/>
    </row>
    <row r="7387" spans="1:6" ht="15">
      <c r="A7387" s="51">
        <v>295579</v>
      </c>
      <c r="B7387" t="s">
        <v>1234</v>
      </c>
      <c r="C7387" s="39" t="s">
        <v>92</v>
      </c>
      <c r="D7387" t="s">
        <v>4244</v>
      </c>
      <c r="F7387" s="56"/>
    </row>
    <row r="7388" spans="1:6" ht="15">
      <c r="A7388" s="51">
        <v>295580</v>
      </c>
      <c r="B7388" t="s">
        <v>3971</v>
      </c>
      <c r="C7388" s="39" t="s">
        <v>92</v>
      </c>
      <c r="D7388" t="s">
        <v>4243</v>
      </c>
      <c r="F7388" s="56"/>
    </row>
    <row r="7389" spans="1:6" ht="15">
      <c r="A7389" s="51">
        <v>295581</v>
      </c>
      <c r="B7389" t="s">
        <v>1235</v>
      </c>
      <c r="C7389" s="39" t="s">
        <v>92</v>
      </c>
      <c r="D7389" t="s">
        <v>4243</v>
      </c>
      <c r="F7389" s="56"/>
    </row>
    <row r="7390" spans="1:6" ht="15">
      <c r="A7390" s="51">
        <v>295582</v>
      </c>
      <c r="B7390" t="s">
        <v>1356</v>
      </c>
      <c r="C7390" s="39" t="s">
        <v>1236</v>
      </c>
      <c r="D7390" t="s">
        <v>4244</v>
      </c>
      <c r="F7390" s="56"/>
    </row>
    <row r="7391" spans="1:6" ht="15">
      <c r="A7391" s="51">
        <v>295583</v>
      </c>
      <c r="B7391" t="s">
        <v>3972</v>
      </c>
      <c r="C7391" s="39" t="s">
        <v>1236</v>
      </c>
      <c r="D7391" t="s">
        <v>4243</v>
      </c>
      <c r="F7391" s="56"/>
    </row>
    <row r="7392" spans="1:6" ht="15">
      <c r="A7392" s="51">
        <v>295584</v>
      </c>
      <c r="B7392" t="s">
        <v>3973</v>
      </c>
      <c r="C7392" s="39" t="s">
        <v>1236</v>
      </c>
      <c r="D7392" t="s">
        <v>4243</v>
      </c>
      <c r="F7392" s="56"/>
    </row>
    <row r="7393" spans="1:6" ht="15">
      <c r="A7393" s="51">
        <v>295585</v>
      </c>
      <c r="B7393" t="s">
        <v>3974</v>
      </c>
      <c r="C7393" s="39" t="s">
        <v>1236</v>
      </c>
      <c r="D7393">
        <v>8</v>
      </c>
      <c r="F7393" s="56"/>
    </row>
    <row r="7394" spans="1:6" ht="15">
      <c r="A7394" s="51">
        <v>295586</v>
      </c>
      <c r="B7394" t="s">
        <v>3975</v>
      </c>
      <c r="C7394" s="39" t="s">
        <v>3976</v>
      </c>
      <c r="D7394">
        <v>9</v>
      </c>
      <c r="F7394" s="56"/>
    </row>
    <row r="7395" spans="1:6" ht="15">
      <c r="A7395" s="51">
        <v>295587</v>
      </c>
      <c r="B7395" t="s">
        <v>1968</v>
      </c>
      <c r="C7395" s="39" t="s">
        <v>837</v>
      </c>
      <c r="D7395" t="s">
        <v>4247</v>
      </c>
      <c r="F7395" s="56"/>
    </row>
    <row r="7396" spans="1:6" ht="15">
      <c r="A7396" s="51">
        <v>295589</v>
      </c>
      <c r="B7396" t="s">
        <v>338</v>
      </c>
      <c r="C7396" s="39" t="s">
        <v>3977</v>
      </c>
      <c r="D7396">
        <v>7</v>
      </c>
      <c r="F7396" s="56"/>
    </row>
    <row r="7397" spans="1:6" ht="15">
      <c r="A7397" s="51">
        <v>295590</v>
      </c>
      <c r="B7397" t="s">
        <v>1241</v>
      </c>
      <c r="C7397" s="39" t="s">
        <v>108</v>
      </c>
      <c r="D7397" t="s">
        <v>4245</v>
      </c>
      <c r="F7397" s="56"/>
    </row>
    <row r="7398" spans="1:6" ht="15">
      <c r="A7398" s="51">
        <v>295591</v>
      </c>
      <c r="B7398" t="s">
        <v>1151</v>
      </c>
      <c r="C7398" s="39" t="s">
        <v>108</v>
      </c>
      <c r="D7398" t="s">
        <v>4244</v>
      </c>
      <c r="F7398" s="56"/>
    </row>
    <row r="7399" spans="1:6" ht="15">
      <c r="A7399" s="51">
        <v>295592</v>
      </c>
      <c r="B7399" t="s">
        <v>3978</v>
      </c>
      <c r="C7399" s="39" t="s">
        <v>108</v>
      </c>
      <c r="D7399" t="s">
        <v>4243</v>
      </c>
      <c r="F7399" s="56"/>
    </row>
    <row r="7400" spans="1:6" ht="15">
      <c r="A7400" s="51">
        <v>295593</v>
      </c>
      <c r="B7400" t="s">
        <v>105</v>
      </c>
      <c r="C7400" s="39" t="s">
        <v>120</v>
      </c>
      <c r="D7400" t="s">
        <v>4245</v>
      </c>
      <c r="F7400" s="56"/>
    </row>
    <row r="7401" spans="1:6" ht="15">
      <c r="A7401" s="51">
        <v>295594</v>
      </c>
      <c r="B7401" t="s">
        <v>107</v>
      </c>
      <c r="C7401" s="39" t="s">
        <v>120</v>
      </c>
      <c r="D7401" t="s">
        <v>4246</v>
      </c>
      <c r="F7401" s="56"/>
    </row>
    <row r="7402" spans="1:6" ht="15">
      <c r="B7402" t="s">
        <v>3979</v>
      </c>
      <c r="C7402" s="39" t="s">
        <v>120</v>
      </c>
      <c r="D7402" t="s">
        <v>4246</v>
      </c>
      <c r="F7402" s="56"/>
    </row>
    <row r="7403" spans="1:6" ht="15">
      <c r="A7403" s="51">
        <v>295596</v>
      </c>
      <c r="B7403" t="s">
        <v>110</v>
      </c>
      <c r="C7403" s="39" t="s">
        <v>108</v>
      </c>
      <c r="D7403" t="s">
        <v>4245</v>
      </c>
      <c r="F7403" s="56"/>
    </row>
    <row r="7404" spans="1:6" ht="15">
      <c r="A7404" s="51">
        <v>295597</v>
      </c>
      <c r="B7404" t="s">
        <v>3980</v>
      </c>
      <c r="C7404" s="39" t="s">
        <v>914</v>
      </c>
      <c r="D7404" t="s">
        <v>4244</v>
      </c>
      <c r="F7404" s="56"/>
    </row>
    <row r="7405" spans="1:6" ht="15">
      <c r="A7405" s="51">
        <v>295598</v>
      </c>
      <c r="B7405" t="s">
        <v>2202</v>
      </c>
      <c r="C7405" s="39" t="s">
        <v>626</v>
      </c>
      <c r="D7405" t="s">
        <v>4243</v>
      </c>
      <c r="F7405" s="56"/>
    </row>
    <row r="7406" spans="1:6" ht="15">
      <c r="A7406" s="51">
        <v>295599</v>
      </c>
      <c r="B7406" t="s">
        <v>3981</v>
      </c>
      <c r="C7406" s="39" t="s">
        <v>626</v>
      </c>
      <c r="D7406">
        <v>7</v>
      </c>
      <c r="F7406" s="56"/>
    </row>
    <row r="7407" spans="1:6" ht="15">
      <c r="A7407" s="51">
        <v>295600</v>
      </c>
      <c r="B7407" t="s">
        <v>3982</v>
      </c>
      <c r="C7407" s="39" t="s">
        <v>626</v>
      </c>
      <c r="D7407">
        <v>7</v>
      </c>
      <c r="F7407" s="56"/>
    </row>
    <row r="7408" spans="1:6" ht="15">
      <c r="A7408" s="51">
        <v>295601</v>
      </c>
      <c r="B7408" t="s">
        <v>3983</v>
      </c>
      <c r="C7408" s="39" t="s">
        <v>626</v>
      </c>
      <c r="D7408">
        <v>8</v>
      </c>
      <c r="F7408" s="56"/>
    </row>
    <row r="7409" spans="1:6" ht="15">
      <c r="A7409" s="51">
        <v>295602</v>
      </c>
      <c r="B7409" t="s">
        <v>3984</v>
      </c>
      <c r="C7409" s="39" t="s">
        <v>1017</v>
      </c>
      <c r="D7409">
        <v>7</v>
      </c>
      <c r="F7409" s="56"/>
    </row>
    <row r="7410" spans="1:6" ht="15">
      <c r="A7410" s="51">
        <v>295603</v>
      </c>
      <c r="B7410" t="s">
        <v>2701</v>
      </c>
      <c r="C7410" s="39" t="s">
        <v>433</v>
      </c>
      <c r="D7410" t="s">
        <v>4245</v>
      </c>
      <c r="F7410" s="56"/>
    </row>
    <row r="7411" spans="1:6" ht="15">
      <c r="A7411" s="51">
        <v>295604</v>
      </c>
      <c r="B7411" t="s">
        <v>1018</v>
      </c>
      <c r="C7411" s="39" t="s">
        <v>3985</v>
      </c>
      <c r="D7411" t="s">
        <v>4243</v>
      </c>
      <c r="F7411" s="56"/>
    </row>
    <row r="7412" spans="1:6" ht="15">
      <c r="A7412" s="51">
        <v>295605</v>
      </c>
      <c r="B7412" t="s">
        <v>3986</v>
      </c>
      <c r="C7412" s="39" t="s">
        <v>1024</v>
      </c>
      <c r="D7412" t="s">
        <v>4243</v>
      </c>
      <c r="F7412" s="56"/>
    </row>
    <row r="7413" spans="1:6" ht="15">
      <c r="A7413" s="51">
        <v>295606</v>
      </c>
      <c r="B7413" t="s">
        <v>3987</v>
      </c>
      <c r="C7413" s="39" t="s">
        <v>1026</v>
      </c>
      <c r="D7413" t="s">
        <v>4249</v>
      </c>
      <c r="F7413" s="56"/>
    </row>
    <row r="7414" spans="1:6" ht="15">
      <c r="A7414" s="51">
        <v>295607</v>
      </c>
      <c r="B7414" t="s">
        <v>1030</v>
      </c>
      <c r="C7414" s="39" t="s">
        <v>1031</v>
      </c>
      <c r="D7414" t="s">
        <v>4248</v>
      </c>
      <c r="F7414" s="56"/>
    </row>
    <row r="7415" spans="1:6" ht="15">
      <c r="A7415" s="51">
        <v>295608</v>
      </c>
      <c r="B7415" t="s">
        <v>372</v>
      </c>
      <c r="C7415" s="39" t="s">
        <v>896</v>
      </c>
      <c r="D7415">
        <v>8</v>
      </c>
      <c r="F7415" s="56"/>
    </row>
    <row r="7416" spans="1:6" ht="15">
      <c r="A7416" s="51">
        <v>295609</v>
      </c>
      <c r="B7416" t="s">
        <v>2718</v>
      </c>
      <c r="C7416" s="39" t="s">
        <v>896</v>
      </c>
      <c r="D7416">
        <v>8</v>
      </c>
      <c r="F7416" s="56"/>
    </row>
    <row r="7417" spans="1:6" ht="15">
      <c r="A7417" s="51">
        <v>295610</v>
      </c>
      <c r="B7417" t="s">
        <v>2841</v>
      </c>
      <c r="C7417" s="39" t="s">
        <v>157</v>
      </c>
      <c r="D7417" t="s">
        <v>4245</v>
      </c>
      <c r="F7417" s="56"/>
    </row>
    <row r="7418" spans="1:6" ht="15">
      <c r="A7418" s="51">
        <v>295611</v>
      </c>
      <c r="B7418" t="s">
        <v>145</v>
      </c>
      <c r="C7418" s="39" t="s">
        <v>157</v>
      </c>
      <c r="D7418" t="s">
        <v>4244</v>
      </c>
      <c r="F7418" s="56"/>
    </row>
    <row r="7419" spans="1:6" ht="15">
      <c r="A7419" s="51">
        <v>295612</v>
      </c>
      <c r="B7419" t="s">
        <v>3988</v>
      </c>
      <c r="C7419" s="39" t="s">
        <v>157</v>
      </c>
      <c r="D7419" t="s">
        <v>4244</v>
      </c>
      <c r="F7419" s="56"/>
    </row>
    <row r="7420" spans="1:6" ht="15">
      <c r="A7420" s="51">
        <v>295613</v>
      </c>
      <c r="B7420" t="s">
        <v>3989</v>
      </c>
      <c r="C7420" s="39" t="s">
        <v>157</v>
      </c>
      <c r="D7420" t="s">
        <v>4243</v>
      </c>
      <c r="F7420" s="56"/>
    </row>
    <row r="7421" spans="1:6" ht="15">
      <c r="A7421" s="51">
        <v>295614</v>
      </c>
      <c r="B7421" t="s">
        <v>3990</v>
      </c>
      <c r="C7421" s="39" t="s">
        <v>3690</v>
      </c>
      <c r="D7421">
        <v>8</v>
      </c>
      <c r="F7421" s="56"/>
    </row>
    <row r="7422" spans="1:6" ht="15">
      <c r="A7422" s="51">
        <v>295615</v>
      </c>
      <c r="B7422" t="s">
        <v>2007</v>
      </c>
      <c r="C7422" s="39" t="s">
        <v>151</v>
      </c>
      <c r="D7422" t="s">
        <v>1595</v>
      </c>
      <c r="F7422" s="56"/>
    </row>
    <row r="7423" spans="1:6" ht="15">
      <c r="A7423" s="51">
        <v>295616</v>
      </c>
      <c r="B7423" t="s">
        <v>2619</v>
      </c>
      <c r="C7423" s="39" t="s">
        <v>151</v>
      </c>
      <c r="D7423" t="s">
        <v>469</v>
      </c>
      <c r="F7423" s="56"/>
    </row>
    <row r="7424" spans="1:6" ht="15">
      <c r="B7424" t="s">
        <v>3991</v>
      </c>
      <c r="C7424" s="39" t="s">
        <v>151</v>
      </c>
      <c r="D7424" t="s">
        <v>469</v>
      </c>
      <c r="F7424" s="56"/>
    </row>
    <row r="7425" spans="1:6" ht="15">
      <c r="A7425" s="51">
        <v>295618</v>
      </c>
      <c r="B7425" t="s">
        <v>1539</v>
      </c>
      <c r="C7425" s="39" t="s">
        <v>2624</v>
      </c>
      <c r="D7425">
        <v>8</v>
      </c>
      <c r="F7425" s="56"/>
    </row>
    <row r="7426" spans="1:6" ht="15">
      <c r="A7426" s="51">
        <v>295619</v>
      </c>
      <c r="B7426" t="s">
        <v>3992</v>
      </c>
      <c r="C7426" s="39" t="s">
        <v>2624</v>
      </c>
      <c r="D7426">
        <v>9</v>
      </c>
      <c r="F7426" s="56"/>
    </row>
    <row r="7427" spans="1:6" ht="15">
      <c r="A7427" s="51">
        <v>295620</v>
      </c>
      <c r="B7427" t="s">
        <v>158</v>
      </c>
      <c r="C7427" s="39" t="s">
        <v>3993</v>
      </c>
      <c r="D7427" t="s">
        <v>4244</v>
      </c>
      <c r="F7427" s="56"/>
    </row>
    <row r="7428" spans="1:6" ht="15">
      <c r="A7428" s="51">
        <v>295621</v>
      </c>
      <c r="B7428" t="s">
        <v>159</v>
      </c>
      <c r="C7428" s="39" t="s">
        <v>3993</v>
      </c>
      <c r="D7428" t="s">
        <v>4243</v>
      </c>
      <c r="F7428" s="56"/>
    </row>
    <row r="7429" spans="1:6" ht="15">
      <c r="A7429" s="51">
        <v>295622</v>
      </c>
      <c r="B7429" t="s">
        <v>1217</v>
      </c>
      <c r="C7429" s="39" t="s">
        <v>380</v>
      </c>
      <c r="D7429" t="s">
        <v>4246</v>
      </c>
      <c r="F7429" s="56"/>
    </row>
    <row r="7430" spans="1:6" ht="15">
      <c r="A7430" s="51">
        <v>295623</v>
      </c>
      <c r="B7430" t="s">
        <v>3994</v>
      </c>
      <c r="C7430" s="39" t="s">
        <v>380</v>
      </c>
      <c r="D7430" t="s">
        <v>4244</v>
      </c>
      <c r="F7430" s="56"/>
    </row>
    <row r="7431" spans="1:6" ht="15">
      <c r="A7431" s="51">
        <v>295624</v>
      </c>
      <c r="B7431" t="s">
        <v>2470</v>
      </c>
      <c r="C7431" s="39" t="s">
        <v>380</v>
      </c>
      <c r="D7431">
        <v>7</v>
      </c>
      <c r="F7431" s="56"/>
    </row>
    <row r="7432" spans="1:6" ht="15">
      <c r="A7432" s="51">
        <v>295625</v>
      </c>
      <c r="B7432" t="s">
        <v>379</v>
      </c>
      <c r="C7432" s="39" t="s">
        <v>3995</v>
      </c>
      <c r="D7432" t="s">
        <v>4247</v>
      </c>
      <c r="F7432" s="56"/>
    </row>
    <row r="7433" spans="1:6" ht="15">
      <c r="A7433" s="51">
        <v>295626</v>
      </c>
      <c r="B7433" t="s">
        <v>3996</v>
      </c>
      <c r="C7433" s="39" t="s">
        <v>3995</v>
      </c>
      <c r="D7433" t="s">
        <v>4247</v>
      </c>
      <c r="F7433" s="56"/>
    </row>
    <row r="7434" spans="1:6" ht="15">
      <c r="A7434" s="51">
        <v>295627</v>
      </c>
      <c r="B7434" t="s">
        <v>3997</v>
      </c>
      <c r="C7434" s="39" t="s">
        <v>3995</v>
      </c>
      <c r="D7434" t="s">
        <v>4244</v>
      </c>
      <c r="F7434" s="56"/>
    </row>
    <row r="7435" spans="1:6" ht="15">
      <c r="A7435" s="51">
        <v>295628</v>
      </c>
      <c r="B7435" t="s">
        <v>382</v>
      </c>
      <c r="C7435" s="39" t="s">
        <v>3995</v>
      </c>
      <c r="D7435">
        <v>7</v>
      </c>
      <c r="F7435" s="56"/>
    </row>
    <row r="7436" spans="1:6" ht="15">
      <c r="A7436" s="51">
        <v>295629</v>
      </c>
      <c r="B7436" t="s">
        <v>1039</v>
      </c>
      <c r="C7436" s="39" t="s">
        <v>2967</v>
      </c>
      <c r="D7436" t="s">
        <v>4247</v>
      </c>
      <c r="F7436" s="56"/>
    </row>
    <row r="7437" spans="1:6" ht="15">
      <c r="A7437" s="51">
        <v>295630</v>
      </c>
      <c r="B7437" t="s">
        <v>3998</v>
      </c>
      <c r="C7437" s="39" t="s">
        <v>3999</v>
      </c>
      <c r="D7437">
        <v>9</v>
      </c>
      <c r="F7437" s="56"/>
    </row>
    <row r="7438" spans="1:6" ht="15">
      <c r="A7438" s="51">
        <v>295631</v>
      </c>
      <c r="B7438" t="s">
        <v>4000</v>
      </c>
      <c r="C7438" s="39" t="s">
        <v>385</v>
      </c>
      <c r="D7438">
        <v>7</v>
      </c>
      <c r="F7438" s="56"/>
    </row>
    <row r="7439" spans="1:6" ht="15">
      <c r="A7439" s="51">
        <v>295632</v>
      </c>
      <c r="B7439" t="s">
        <v>4001</v>
      </c>
      <c r="C7439" s="39" t="s">
        <v>385</v>
      </c>
      <c r="D7439">
        <v>7</v>
      </c>
      <c r="F7439" s="56"/>
    </row>
    <row r="7440" spans="1:6" ht="15">
      <c r="A7440" s="51">
        <v>295633</v>
      </c>
      <c r="B7440" t="s">
        <v>2011</v>
      </c>
      <c r="C7440" s="39" t="s">
        <v>1046</v>
      </c>
      <c r="D7440" t="s">
        <v>469</v>
      </c>
      <c r="F7440" s="56"/>
    </row>
    <row r="7441" spans="1:6" ht="15">
      <c r="A7441" s="51">
        <v>295634</v>
      </c>
      <c r="B7441" t="s">
        <v>1547</v>
      </c>
      <c r="C7441" s="39" t="s">
        <v>1048</v>
      </c>
      <c r="D7441" t="s">
        <v>471</v>
      </c>
      <c r="F7441" s="56"/>
    </row>
    <row r="7442" spans="1:6" ht="15">
      <c r="A7442" s="51">
        <v>295635</v>
      </c>
      <c r="B7442" t="s">
        <v>160</v>
      </c>
      <c r="C7442" s="39" t="s">
        <v>924</v>
      </c>
      <c r="D7442" t="s">
        <v>4246</v>
      </c>
      <c r="F7442" s="56"/>
    </row>
    <row r="7443" spans="1:6" ht="15">
      <c r="A7443" s="51">
        <v>295636</v>
      </c>
      <c r="B7443" t="s">
        <v>4002</v>
      </c>
      <c r="C7443" s="39" t="s">
        <v>924</v>
      </c>
      <c r="D7443" t="s">
        <v>4247</v>
      </c>
      <c r="F7443" s="56"/>
    </row>
    <row r="7444" spans="1:6" ht="15">
      <c r="A7444" s="51">
        <v>295637</v>
      </c>
      <c r="B7444" t="s">
        <v>162</v>
      </c>
      <c r="C7444" s="39" t="s">
        <v>924</v>
      </c>
      <c r="D7444" t="s">
        <v>4243</v>
      </c>
      <c r="F7444" s="56"/>
    </row>
    <row r="7445" spans="1:6" ht="15">
      <c r="A7445" s="51">
        <v>295638</v>
      </c>
      <c r="B7445" t="s">
        <v>4003</v>
      </c>
      <c r="C7445" s="39" t="s">
        <v>924</v>
      </c>
      <c r="D7445" t="s">
        <v>4243</v>
      </c>
      <c r="F7445" s="56"/>
    </row>
    <row r="7446" spans="1:6" ht="15">
      <c r="A7446" s="51">
        <v>295639</v>
      </c>
      <c r="B7446" t="s">
        <v>2213</v>
      </c>
      <c r="C7446" s="39" t="s">
        <v>166</v>
      </c>
      <c r="D7446" t="s">
        <v>4248</v>
      </c>
      <c r="F7446" s="56"/>
    </row>
    <row r="7447" spans="1:6" ht="15">
      <c r="A7447" s="51">
        <v>295640</v>
      </c>
      <c r="B7447" t="s">
        <v>1220</v>
      </c>
      <c r="C7447" s="39" t="s">
        <v>166</v>
      </c>
      <c r="D7447" t="s">
        <v>4245</v>
      </c>
      <c r="F7447" s="56"/>
    </row>
    <row r="7448" spans="1:6" ht="15">
      <c r="A7448" s="51">
        <v>295642</v>
      </c>
      <c r="B7448" t="s">
        <v>1221</v>
      </c>
      <c r="C7448" s="39" t="s">
        <v>166</v>
      </c>
      <c r="D7448" t="s">
        <v>4244</v>
      </c>
      <c r="F7448" s="56"/>
    </row>
    <row r="7449" spans="1:6" ht="15">
      <c r="A7449" s="51">
        <v>295644</v>
      </c>
      <c r="B7449" t="s">
        <v>1824</v>
      </c>
      <c r="C7449" s="39" t="s">
        <v>177</v>
      </c>
      <c r="D7449" t="s">
        <v>1595</v>
      </c>
      <c r="F7449" s="56"/>
    </row>
    <row r="7450" spans="1:6" ht="15">
      <c r="A7450" s="51">
        <v>295645</v>
      </c>
      <c r="B7450" t="s">
        <v>1825</v>
      </c>
      <c r="C7450" s="39" t="s">
        <v>177</v>
      </c>
      <c r="D7450" t="s">
        <v>468</v>
      </c>
      <c r="F7450" s="56"/>
    </row>
    <row r="7451" spans="1:6" ht="15">
      <c r="A7451" s="51">
        <v>295647</v>
      </c>
      <c r="B7451" t="s">
        <v>1185</v>
      </c>
      <c r="C7451" s="39" t="s">
        <v>390</v>
      </c>
      <c r="D7451" t="s">
        <v>4243</v>
      </c>
      <c r="F7451" s="56"/>
    </row>
    <row r="7452" spans="1:6" ht="15">
      <c r="A7452" s="51">
        <v>295649</v>
      </c>
      <c r="B7452" t="s">
        <v>1223</v>
      </c>
      <c r="C7452" s="39" t="s">
        <v>390</v>
      </c>
      <c r="D7452">
        <v>7</v>
      </c>
      <c r="F7452" s="56"/>
    </row>
    <row r="7453" spans="1:6" ht="15">
      <c r="A7453" s="51">
        <v>295650</v>
      </c>
      <c r="B7453" t="s">
        <v>4004</v>
      </c>
      <c r="C7453" s="39" t="s">
        <v>390</v>
      </c>
      <c r="D7453">
        <v>8</v>
      </c>
      <c r="F7453" s="56"/>
    </row>
    <row r="7454" spans="1:6" ht="15">
      <c r="A7454" s="51">
        <v>295651</v>
      </c>
      <c r="B7454" t="s">
        <v>1224</v>
      </c>
      <c r="C7454" s="39" t="s">
        <v>390</v>
      </c>
      <c r="D7454">
        <v>9</v>
      </c>
      <c r="F7454" s="56"/>
    </row>
    <row r="7455" spans="1:6" ht="15">
      <c r="A7455" s="51">
        <v>295652</v>
      </c>
      <c r="B7455" t="s">
        <v>1067</v>
      </c>
      <c r="C7455" s="39" t="s">
        <v>4005</v>
      </c>
      <c r="D7455">
        <v>7</v>
      </c>
      <c r="F7455" s="56"/>
    </row>
    <row r="7456" spans="1:6" ht="15">
      <c r="A7456" s="51">
        <v>295653</v>
      </c>
      <c r="B7456" t="s">
        <v>3045</v>
      </c>
      <c r="C7456" s="39" t="s">
        <v>4005</v>
      </c>
      <c r="D7456">
        <v>8</v>
      </c>
      <c r="F7456" s="56"/>
    </row>
    <row r="7457" spans="1:6" ht="15">
      <c r="A7457" s="51">
        <v>295654</v>
      </c>
      <c r="B7457" t="s">
        <v>182</v>
      </c>
      <c r="C7457" s="39" t="s">
        <v>183</v>
      </c>
      <c r="D7457">
        <v>7</v>
      </c>
      <c r="F7457" s="56"/>
    </row>
    <row r="7458" spans="1:6" ht="15">
      <c r="A7458" s="51">
        <v>295656</v>
      </c>
      <c r="B7458" t="s">
        <v>186</v>
      </c>
      <c r="C7458" s="39" t="s">
        <v>192</v>
      </c>
      <c r="D7458" t="s">
        <v>4247</v>
      </c>
      <c r="F7458" s="56"/>
    </row>
    <row r="7459" spans="1:6" ht="15">
      <c r="A7459" s="51">
        <v>295657</v>
      </c>
      <c r="B7459" t="s">
        <v>187</v>
      </c>
      <c r="C7459" s="39" t="s">
        <v>192</v>
      </c>
      <c r="D7459" t="s">
        <v>4243</v>
      </c>
      <c r="F7459" s="56"/>
    </row>
    <row r="7460" spans="1:6" ht="15">
      <c r="A7460" s="51">
        <v>295658</v>
      </c>
      <c r="B7460" t="s">
        <v>4006</v>
      </c>
      <c r="C7460" s="39" t="s">
        <v>192</v>
      </c>
      <c r="D7460">
        <v>7</v>
      </c>
      <c r="F7460" s="56"/>
    </row>
    <row r="7461" spans="1:6" ht="15">
      <c r="A7461" s="51">
        <v>295659</v>
      </c>
      <c r="B7461" t="s">
        <v>1071</v>
      </c>
      <c r="C7461" s="39" t="s">
        <v>862</v>
      </c>
      <c r="D7461">
        <v>9</v>
      </c>
      <c r="F7461" s="56"/>
    </row>
    <row r="7462" spans="1:6" ht="15">
      <c r="A7462" s="51">
        <v>295660</v>
      </c>
      <c r="B7462" t="s">
        <v>4007</v>
      </c>
      <c r="C7462" s="39" t="s">
        <v>2942</v>
      </c>
      <c r="D7462">
        <v>7</v>
      </c>
      <c r="F7462" s="56"/>
    </row>
    <row r="7463" spans="1:6" ht="15">
      <c r="A7463" s="51">
        <v>295661</v>
      </c>
      <c r="B7463" t="s">
        <v>4008</v>
      </c>
      <c r="C7463" s="39" t="s">
        <v>394</v>
      </c>
      <c r="D7463">
        <v>7</v>
      </c>
      <c r="F7463" s="56"/>
    </row>
    <row r="7464" spans="1:6" ht="15">
      <c r="A7464" s="51">
        <v>295662</v>
      </c>
      <c r="B7464" t="s">
        <v>1190</v>
      </c>
      <c r="C7464" s="39" t="s">
        <v>394</v>
      </c>
      <c r="D7464">
        <v>7</v>
      </c>
      <c r="F7464" s="56"/>
    </row>
    <row r="7465" spans="1:6" ht="15">
      <c r="A7465" s="51">
        <v>295663</v>
      </c>
      <c r="B7465" t="s">
        <v>3051</v>
      </c>
      <c r="C7465" s="39" t="s">
        <v>4009</v>
      </c>
      <c r="D7465" t="s">
        <v>4245</v>
      </c>
      <c r="F7465" s="56"/>
    </row>
    <row r="7466" spans="1:6" ht="15">
      <c r="A7466" s="51">
        <v>295664</v>
      </c>
      <c r="B7466" t="s">
        <v>1443</v>
      </c>
      <c r="C7466" s="39" t="s">
        <v>4010</v>
      </c>
      <c r="D7466" t="s">
        <v>4243</v>
      </c>
      <c r="F7466" s="56"/>
    </row>
    <row r="7467" spans="1:6" ht="15">
      <c r="A7467" s="51">
        <v>295665</v>
      </c>
      <c r="B7467" t="s">
        <v>404</v>
      </c>
      <c r="C7467" s="39" t="s">
        <v>561</v>
      </c>
      <c r="D7467" t="s">
        <v>4247</v>
      </c>
      <c r="F7467" s="56"/>
    </row>
    <row r="7468" spans="1:6" ht="15">
      <c r="A7468" s="51">
        <v>295666</v>
      </c>
      <c r="B7468" t="s">
        <v>2225</v>
      </c>
      <c r="C7468" s="39" t="s">
        <v>1095</v>
      </c>
      <c r="D7468" t="s">
        <v>469</v>
      </c>
      <c r="F7468" s="56"/>
    </row>
    <row r="7469" spans="1:6" ht="15">
      <c r="A7469" s="51">
        <v>295667</v>
      </c>
      <c r="B7469" t="s">
        <v>4011</v>
      </c>
      <c r="C7469" s="39" t="s">
        <v>1095</v>
      </c>
      <c r="D7469" t="s">
        <v>471</v>
      </c>
      <c r="F7469" s="56"/>
    </row>
    <row r="7470" spans="1:6" ht="15">
      <c r="A7470" s="51">
        <v>295668</v>
      </c>
      <c r="B7470" t="s">
        <v>1088</v>
      </c>
      <c r="C7470" s="39" t="s">
        <v>4012</v>
      </c>
      <c r="D7470" t="s">
        <v>469</v>
      </c>
      <c r="F7470" s="56"/>
    </row>
    <row r="7471" spans="1:6" ht="15">
      <c r="A7471" s="51">
        <v>295669</v>
      </c>
      <c r="B7471" t="s">
        <v>1089</v>
      </c>
      <c r="C7471" s="39" t="s">
        <v>4012</v>
      </c>
      <c r="D7471" t="s">
        <v>469</v>
      </c>
      <c r="F7471" s="56"/>
    </row>
    <row r="7472" spans="1:6" ht="15">
      <c r="A7472" s="51">
        <v>295670</v>
      </c>
      <c r="B7472" t="s">
        <v>1090</v>
      </c>
      <c r="C7472" s="39" t="s">
        <v>4012</v>
      </c>
      <c r="D7472" t="s">
        <v>471</v>
      </c>
      <c r="F7472" s="56"/>
    </row>
    <row r="7473" spans="1:6" ht="15">
      <c r="A7473" s="51">
        <v>295671</v>
      </c>
      <c r="B7473" t="s">
        <v>2229</v>
      </c>
      <c r="C7473" s="39" t="s">
        <v>1098</v>
      </c>
      <c r="D7473" t="s">
        <v>1595</v>
      </c>
      <c r="F7473" s="56"/>
    </row>
    <row r="7474" spans="1:6" ht="15">
      <c r="A7474" s="51">
        <v>295672</v>
      </c>
      <c r="B7474" t="s">
        <v>1099</v>
      </c>
      <c r="C7474" s="39" t="s">
        <v>1098</v>
      </c>
      <c r="D7474" t="s">
        <v>469</v>
      </c>
      <c r="F7474" s="56"/>
    </row>
    <row r="7475" spans="1:6" ht="15">
      <c r="A7475" s="51">
        <v>295673</v>
      </c>
      <c r="B7475" t="s">
        <v>4013</v>
      </c>
      <c r="C7475" s="39" t="s">
        <v>1098</v>
      </c>
      <c r="D7475" t="s">
        <v>469</v>
      </c>
      <c r="F7475" s="56"/>
    </row>
    <row r="7476" spans="1:6" ht="15">
      <c r="A7476" s="51">
        <v>295674</v>
      </c>
      <c r="B7476" t="s">
        <v>2635</v>
      </c>
      <c r="C7476" s="39" t="s">
        <v>1098</v>
      </c>
      <c r="D7476" t="s">
        <v>471</v>
      </c>
      <c r="F7476" s="56"/>
    </row>
    <row r="7477" spans="1:6" ht="15">
      <c r="A7477" s="51">
        <v>295675</v>
      </c>
      <c r="B7477" t="s">
        <v>1228</v>
      </c>
      <c r="C7477" s="39" t="s">
        <v>1107</v>
      </c>
      <c r="D7477" t="s">
        <v>4245</v>
      </c>
      <c r="F7477" s="56"/>
    </row>
    <row r="7478" spans="1:6" ht="15">
      <c r="A7478" s="51">
        <v>295676</v>
      </c>
      <c r="B7478" t="s">
        <v>1259</v>
      </c>
      <c r="C7478" s="39" t="s">
        <v>1107</v>
      </c>
      <c r="D7478" t="s">
        <v>4245</v>
      </c>
      <c r="F7478" s="56"/>
    </row>
    <row r="7479" spans="1:6" ht="15">
      <c r="A7479" s="51">
        <v>295677</v>
      </c>
      <c r="B7479" t="s">
        <v>234</v>
      </c>
      <c r="C7479" s="39" t="s">
        <v>233</v>
      </c>
      <c r="D7479" t="s">
        <v>4244</v>
      </c>
      <c r="F7479" s="56"/>
    </row>
    <row r="7480" spans="1:6" ht="15">
      <c r="A7480" s="51">
        <v>295678</v>
      </c>
      <c r="B7480" t="s">
        <v>422</v>
      </c>
      <c r="C7480" s="39" t="s">
        <v>235</v>
      </c>
      <c r="D7480" t="s">
        <v>4244</v>
      </c>
      <c r="F7480" s="56"/>
    </row>
    <row r="7481" spans="1:6" ht="15">
      <c r="A7481" s="51">
        <v>295679</v>
      </c>
      <c r="B7481" t="s">
        <v>423</v>
      </c>
      <c r="C7481" s="39" t="s">
        <v>235</v>
      </c>
      <c r="D7481" t="s">
        <v>4244</v>
      </c>
      <c r="F7481" s="56"/>
    </row>
    <row r="7482" spans="1:6" ht="15">
      <c r="A7482" s="51">
        <v>295680</v>
      </c>
      <c r="B7482" t="s">
        <v>4014</v>
      </c>
      <c r="C7482" s="39" t="s">
        <v>235</v>
      </c>
      <c r="D7482" t="s">
        <v>4243</v>
      </c>
      <c r="F7482" s="56"/>
    </row>
    <row r="7483" spans="1:6" ht="15">
      <c r="A7483" s="51">
        <v>295681</v>
      </c>
      <c r="B7483" t="s">
        <v>1111</v>
      </c>
      <c r="C7483" s="39" t="s">
        <v>1855</v>
      </c>
      <c r="D7483">
        <v>9</v>
      </c>
      <c r="F7483" s="56"/>
    </row>
    <row r="7484" spans="1:6" ht="15">
      <c r="A7484" s="51">
        <v>295682</v>
      </c>
      <c r="B7484" t="s">
        <v>2080</v>
      </c>
      <c r="C7484" s="39" t="s">
        <v>884</v>
      </c>
      <c r="D7484">
        <v>7</v>
      </c>
      <c r="F7484" s="56"/>
    </row>
    <row r="7485" spans="1:6" ht="15">
      <c r="A7485" s="51">
        <v>295683</v>
      </c>
      <c r="B7485" t="s">
        <v>1887</v>
      </c>
      <c r="C7485" s="39" t="s">
        <v>274</v>
      </c>
      <c r="D7485" t="s">
        <v>4243</v>
      </c>
      <c r="F7485" s="56"/>
    </row>
    <row r="7486" spans="1:6" ht="15">
      <c r="A7486" s="51">
        <v>295684</v>
      </c>
      <c r="B7486" t="s">
        <v>4015</v>
      </c>
      <c r="C7486" s="39" t="s">
        <v>274</v>
      </c>
      <c r="D7486">
        <v>7</v>
      </c>
      <c r="F7486" s="56"/>
    </row>
    <row r="7487" spans="1:6" ht="15">
      <c r="A7487" s="51">
        <v>295685</v>
      </c>
      <c r="B7487" t="s">
        <v>1888</v>
      </c>
      <c r="C7487" s="39" t="s">
        <v>274</v>
      </c>
      <c r="D7487">
        <v>7</v>
      </c>
      <c r="F7487" s="56"/>
    </row>
    <row r="7488" spans="1:6" ht="15">
      <c r="A7488" s="51">
        <v>295686</v>
      </c>
      <c r="B7488" t="s">
        <v>4016</v>
      </c>
      <c r="C7488" s="39" t="s">
        <v>274</v>
      </c>
      <c r="D7488">
        <v>8</v>
      </c>
      <c r="F7488" s="56"/>
    </row>
    <row r="7489" spans="1:6" ht="15">
      <c r="A7489" s="51">
        <v>295687</v>
      </c>
      <c r="B7489" t="s">
        <v>273</v>
      </c>
      <c r="C7489" s="39" t="s">
        <v>4017</v>
      </c>
      <c r="D7489" t="s">
        <v>4243</v>
      </c>
      <c r="F7489" s="56"/>
    </row>
    <row r="7490" spans="1:6" ht="15">
      <c r="A7490" s="51">
        <v>295688</v>
      </c>
      <c r="B7490" t="s">
        <v>4018</v>
      </c>
      <c r="C7490" s="39" t="s">
        <v>4019</v>
      </c>
      <c r="D7490">
        <v>8</v>
      </c>
      <c r="F7490" s="56"/>
    </row>
    <row r="7491" spans="1:6" ht="15">
      <c r="A7491" s="51">
        <v>295689</v>
      </c>
      <c r="B7491" t="s">
        <v>463</v>
      </c>
      <c r="C7491" s="39" t="s">
        <v>898</v>
      </c>
      <c r="D7491" t="s">
        <v>4247</v>
      </c>
      <c r="F7491" s="56"/>
    </row>
    <row r="7492" spans="1:6" ht="15">
      <c r="A7492" s="51">
        <v>295690</v>
      </c>
      <c r="B7492" t="s">
        <v>4020</v>
      </c>
      <c r="C7492" s="39" t="s">
        <v>4021</v>
      </c>
      <c r="D7492">
        <v>8</v>
      </c>
      <c r="F7492" s="56"/>
    </row>
    <row r="7493" spans="1:6" ht="15">
      <c r="A7493" s="51">
        <v>295444</v>
      </c>
      <c r="B7493" t="s">
        <v>4022</v>
      </c>
      <c r="C7493" s="39" t="s">
        <v>835</v>
      </c>
      <c r="D7493">
        <v>9</v>
      </c>
      <c r="F7493" s="56"/>
    </row>
    <row r="7494" spans="1:6" ht="15">
      <c r="A7494" s="51">
        <v>295445</v>
      </c>
      <c r="B7494" t="s">
        <v>4023</v>
      </c>
      <c r="C7494" s="39" t="s">
        <v>324</v>
      </c>
      <c r="D7494" t="s">
        <v>4243</v>
      </c>
      <c r="F7494" s="56"/>
    </row>
    <row r="7495" spans="1:6" ht="15">
      <c r="A7495" s="51">
        <v>295446</v>
      </c>
      <c r="B7495" t="s">
        <v>4024</v>
      </c>
      <c r="C7495" s="39" t="s">
        <v>4025</v>
      </c>
      <c r="D7495">
        <v>8</v>
      </c>
      <c r="F7495" s="56"/>
    </row>
    <row r="7496" spans="1:6" ht="15">
      <c r="A7496" s="51">
        <v>295447</v>
      </c>
      <c r="B7496" t="s">
        <v>4026</v>
      </c>
      <c r="C7496" s="39" t="s">
        <v>4027</v>
      </c>
      <c r="D7496">
        <v>9</v>
      </c>
      <c r="F7496" s="56"/>
    </row>
    <row r="7497" spans="1:6" ht="15">
      <c r="A7497" s="51">
        <v>295448</v>
      </c>
      <c r="B7497" t="s">
        <v>89</v>
      </c>
      <c r="C7497" s="39" t="s">
        <v>90</v>
      </c>
      <c r="D7497">
        <v>7</v>
      </c>
      <c r="F7497" s="56"/>
    </row>
    <row r="7498" spans="1:6" ht="15">
      <c r="A7498" s="51">
        <v>295450</v>
      </c>
      <c r="B7498" t="s">
        <v>2518</v>
      </c>
      <c r="C7498" s="39" t="s">
        <v>1622</v>
      </c>
      <c r="D7498" t="s">
        <v>4248</v>
      </c>
      <c r="F7498" s="56"/>
    </row>
    <row r="7499" spans="1:6" ht="15">
      <c r="A7499" s="51">
        <v>295451</v>
      </c>
      <c r="B7499" t="s">
        <v>1791</v>
      </c>
      <c r="C7499" s="39" t="s">
        <v>1626</v>
      </c>
      <c r="D7499" t="s">
        <v>4245</v>
      </c>
      <c r="F7499" s="56"/>
    </row>
    <row r="7500" spans="1:6" ht="15">
      <c r="A7500" s="51">
        <v>295452</v>
      </c>
      <c r="B7500" t="s">
        <v>1356</v>
      </c>
      <c r="C7500" s="39" t="s">
        <v>92</v>
      </c>
      <c r="D7500" t="s">
        <v>4244</v>
      </c>
      <c r="F7500" s="56"/>
    </row>
    <row r="7501" spans="1:6" ht="15">
      <c r="A7501" s="51">
        <v>295453</v>
      </c>
      <c r="B7501" t="s">
        <v>3973</v>
      </c>
      <c r="C7501" s="39" t="s">
        <v>92</v>
      </c>
      <c r="D7501" t="s">
        <v>4243</v>
      </c>
      <c r="F7501" s="56"/>
    </row>
    <row r="7502" spans="1:6" ht="15">
      <c r="A7502" s="51">
        <v>295454</v>
      </c>
      <c r="B7502" t="s">
        <v>3645</v>
      </c>
      <c r="C7502" s="39" t="s">
        <v>92</v>
      </c>
      <c r="D7502">
        <v>8</v>
      </c>
      <c r="F7502" s="56"/>
    </row>
    <row r="7503" spans="1:6" ht="15">
      <c r="A7503" s="51">
        <v>295455</v>
      </c>
      <c r="B7503" t="s">
        <v>2687</v>
      </c>
      <c r="C7503" s="39" t="s">
        <v>3452</v>
      </c>
      <c r="D7503" t="s">
        <v>4243</v>
      </c>
      <c r="F7503" s="56"/>
    </row>
    <row r="7504" spans="1:6" ht="15">
      <c r="A7504" s="51">
        <v>295456</v>
      </c>
      <c r="B7504" t="s">
        <v>4028</v>
      </c>
      <c r="C7504" s="39" t="s">
        <v>4029</v>
      </c>
      <c r="D7504">
        <v>8</v>
      </c>
      <c r="F7504" s="56"/>
    </row>
    <row r="7505" spans="1:6" ht="15">
      <c r="A7505" s="51">
        <v>295457</v>
      </c>
      <c r="B7505" t="s">
        <v>4030</v>
      </c>
      <c r="C7505" s="39" t="s">
        <v>1613</v>
      </c>
      <c r="D7505">
        <v>8</v>
      </c>
      <c r="F7505" s="56"/>
    </row>
    <row r="7506" spans="1:6" ht="15">
      <c r="A7506" s="51">
        <v>295458</v>
      </c>
      <c r="B7506" t="s">
        <v>838</v>
      </c>
      <c r="C7506" s="39" t="s">
        <v>4031</v>
      </c>
      <c r="D7506" t="s">
        <v>4247</v>
      </c>
      <c r="F7506" s="56"/>
    </row>
    <row r="7507" spans="1:6" ht="15">
      <c r="A7507" s="51">
        <v>295459</v>
      </c>
      <c r="B7507" t="s">
        <v>839</v>
      </c>
      <c r="C7507" s="39" t="s">
        <v>4031</v>
      </c>
      <c r="D7507" t="s">
        <v>4243</v>
      </c>
      <c r="F7507" s="56"/>
    </row>
    <row r="7508" spans="1:6" ht="15">
      <c r="A7508" s="51">
        <v>295460</v>
      </c>
      <c r="B7508" t="s">
        <v>100</v>
      </c>
      <c r="C7508" s="39" t="s">
        <v>99</v>
      </c>
      <c r="D7508">
        <v>7</v>
      </c>
      <c r="F7508" s="56"/>
    </row>
    <row r="7509" spans="1:6" ht="15">
      <c r="A7509" s="51">
        <v>295461</v>
      </c>
      <c r="B7509" t="s">
        <v>101</v>
      </c>
      <c r="C7509" s="39" t="s">
        <v>99</v>
      </c>
      <c r="D7509">
        <v>7</v>
      </c>
      <c r="F7509" s="56"/>
    </row>
    <row r="7510" spans="1:6" ht="15">
      <c r="A7510" s="51">
        <v>295462</v>
      </c>
      <c r="B7510" t="s">
        <v>103</v>
      </c>
      <c r="C7510" s="39" t="s">
        <v>3453</v>
      </c>
      <c r="D7510" t="s">
        <v>4243</v>
      </c>
      <c r="F7510" s="56"/>
    </row>
    <row r="7511" spans="1:6" ht="15">
      <c r="A7511" s="51">
        <v>295464</v>
      </c>
      <c r="B7511" t="s">
        <v>1366</v>
      </c>
      <c r="C7511" s="39" t="s">
        <v>106</v>
      </c>
      <c r="D7511" t="s">
        <v>4245</v>
      </c>
      <c r="F7511" s="56"/>
    </row>
    <row r="7512" spans="1:6" ht="15">
      <c r="A7512" s="51">
        <v>295465</v>
      </c>
      <c r="B7512" t="s">
        <v>341</v>
      </c>
      <c r="C7512" s="39" t="s">
        <v>106</v>
      </c>
      <c r="D7512" t="s">
        <v>4245</v>
      </c>
      <c r="F7512" s="56"/>
    </row>
    <row r="7513" spans="1:6" ht="15">
      <c r="A7513" s="51">
        <v>295466</v>
      </c>
      <c r="B7513" t="s">
        <v>344</v>
      </c>
      <c r="C7513" s="39" t="s">
        <v>1797</v>
      </c>
      <c r="D7513" t="s">
        <v>4246</v>
      </c>
      <c r="F7513" s="56"/>
    </row>
    <row r="7514" spans="1:6" ht="15">
      <c r="A7514" s="51">
        <v>295467</v>
      </c>
      <c r="B7514" t="s">
        <v>1155</v>
      </c>
      <c r="C7514" s="39" t="s">
        <v>1797</v>
      </c>
      <c r="D7514" t="s">
        <v>4244</v>
      </c>
      <c r="F7514" s="56"/>
    </row>
    <row r="7515" spans="1:6" ht="15">
      <c r="A7515" s="51">
        <v>295468</v>
      </c>
      <c r="B7515" t="s">
        <v>1157</v>
      </c>
      <c r="C7515" s="39" t="s">
        <v>108</v>
      </c>
      <c r="D7515" t="s">
        <v>4245</v>
      </c>
      <c r="F7515" s="56"/>
    </row>
    <row r="7516" spans="1:6" ht="15">
      <c r="A7516" s="51">
        <v>295469</v>
      </c>
      <c r="B7516" t="s">
        <v>110</v>
      </c>
      <c r="C7516" s="39" t="s">
        <v>108</v>
      </c>
      <c r="D7516" t="s">
        <v>4245</v>
      </c>
      <c r="F7516" s="56"/>
    </row>
    <row r="7517" spans="1:6" ht="15">
      <c r="A7517" s="51">
        <v>295470</v>
      </c>
      <c r="B7517" t="s">
        <v>1158</v>
      </c>
      <c r="C7517" s="39" t="s">
        <v>108</v>
      </c>
      <c r="D7517" t="s">
        <v>4244</v>
      </c>
      <c r="F7517" s="56"/>
    </row>
    <row r="7518" spans="1:6" ht="15">
      <c r="A7518" s="51">
        <v>295472</v>
      </c>
      <c r="B7518" t="s">
        <v>1384</v>
      </c>
      <c r="C7518" s="39" t="s">
        <v>547</v>
      </c>
      <c r="D7518" t="s">
        <v>4244</v>
      </c>
      <c r="F7518" s="56"/>
    </row>
    <row r="7519" spans="1:6" ht="15">
      <c r="A7519" s="51">
        <v>295473</v>
      </c>
      <c r="B7519" t="s">
        <v>1163</v>
      </c>
      <c r="C7519" s="39" t="s">
        <v>547</v>
      </c>
      <c r="D7519" t="s">
        <v>4244</v>
      </c>
      <c r="F7519" s="56"/>
    </row>
    <row r="7520" spans="1:6" ht="15">
      <c r="A7520" s="51">
        <v>295474</v>
      </c>
      <c r="B7520" t="s">
        <v>4032</v>
      </c>
      <c r="C7520" s="39" t="s">
        <v>134</v>
      </c>
      <c r="D7520">
        <v>9</v>
      </c>
      <c r="F7520" s="56"/>
    </row>
    <row r="7521" spans="1:6" ht="15">
      <c r="A7521" s="51">
        <v>295475</v>
      </c>
      <c r="B7521" t="s">
        <v>4033</v>
      </c>
      <c r="C7521" s="39" t="s">
        <v>1026</v>
      </c>
      <c r="D7521" t="s">
        <v>4249</v>
      </c>
      <c r="F7521" s="56"/>
    </row>
    <row r="7522" spans="1:6" ht="15">
      <c r="A7522" s="51">
        <v>295477</v>
      </c>
      <c r="B7522" t="s">
        <v>372</v>
      </c>
      <c r="C7522" s="39" t="s">
        <v>373</v>
      </c>
      <c r="D7522" t="s">
        <v>4248</v>
      </c>
      <c r="F7522" s="56"/>
    </row>
    <row r="7523" spans="1:6" ht="15">
      <c r="A7523" s="51">
        <v>295478</v>
      </c>
      <c r="B7523" t="s">
        <v>1176</v>
      </c>
      <c r="C7523" s="39" t="s">
        <v>1740</v>
      </c>
      <c r="D7523" t="s">
        <v>4248</v>
      </c>
      <c r="F7523" s="56"/>
    </row>
    <row r="7524" spans="1:6" ht="15">
      <c r="A7524" s="51">
        <v>295479</v>
      </c>
      <c r="B7524" t="s">
        <v>2842</v>
      </c>
      <c r="C7524" s="39" t="s">
        <v>1538</v>
      </c>
      <c r="D7524" t="s">
        <v>4247</v>
      </c>
      <c r="F7524" s="56"/>
    </row>
    <row r="7525" spans="1:6" ht="15">
      <c r="A7525" s="51">
        <v>295480</v>
      </c>
      <c r="B7525" t="s">
        <v>2844</v>
      </c>
      <c r="C7525" s="39" t="s">
        <v>1538</v>
      </c>
      <c r="D7525" t="s">
        <v>4246</v>
      </c>
      <c r="F7525" s="56"/>
    </row>
    <row r="7526" spans="1:6" ht="15">
      <c r="A7526" s="51">
        <v>295481</v>
      </c>
      <c r="B7526" t="s">
        <v>2004</v>
      </c>
      <c r="C7526" s="39" t="s">
        <v>1538</v>
      </c>
      <c r="D7526" t="s">
        <v>4247</v>
      </c>
      <c r="F7526" s="56"/>
    </row>
    <row r="7527" spans="1:6" ht="15">
      <c r="A7527" s="51">
        <v>295482</v>
      </c>
      <c r="B7527" t="s">
        <v>1416</v>
      </c>
      <c r="C7527" s="39" t="s">
        <v>1538</v>
      </c>
      <c r="D7527" t="s">
        <v>4243</v>
      </c>
      <c r="F7527" s="56"/>
    </row>
    <row r="7528" spans="1:6" ht="15">
      <c r="A7528" s="51">
        <v>295483</v>
      </c>
      <c r="B7528" t="s">
        <v>2614</v>
      </c>
      <c r="C7528" s="39" t="s">
        <v>1538</v>
      </c>
      <c r="D7528">
        <v>7</v>
      </c>
      <c r="F7528" s="56"/>
    </row>
    <row r="7529" spans="1:6" ht="15">
      <c r="A7529" s="51">
        <v>295484</v>
      </c>
      <c r="B7529" t="s">
        <v>4034</v>
      </c>
      <c r="C7529" s="39" t="s">
        <v>1538</v>
      </c>
      <c r="D7529">
        <v>9</v>
      </c>
      <c r="F7529" s="56"/>
    </row>
    <row r="7530" spans="1:6" ht="15">
      <c r="A7530" s="51">
        <v>295485</v>
      </c>
      <c r="B7530" t="s">
        <v>379</v>
      </c>
      <c r="C7530" s="39" t="s">
        <v>380</v>
      </c>
      <c r="D7530" t="s">
        <v>4246</v>
      </c>
      <c r="F7530" s="56"/>
    </row>
    <row r="7531" spans="1:6" ht="15">
      <c r="A7531" s="51">
        <v>295486</v>
      </c>
      <c r="B7531" t="s">
        <v>381</v>
      </c>
      <c r="C7531" s="39" t="s">
        <v>380</v>
      </c>
      <c r="D7531" t="s">
        <v>4243</v>
      </c>
      <c r="F7531" s="56"/>
    </row>
    <row r="7532" spans="1:6" ht="15">
      <c r="A7532" s="51">
        <v>295487</v>
      </c>
      <c r="B7532" t="s">
        <v>4035</v>
      </c>
      <c r="C7532" s="39" t="s">
        <v>4036</v>
      </c>
      <c r="D7532">
        <v>7</v>
      </c>
      <c r="F7532" s="56"/>
    </row>
    <row r="7533" spans="1:6" ht="15">
      <c r="A7533" s="51">
        <v>295488</v>
      </c>
      <c r="B7533" t="s">
        <v>1822</v>
      </c>
      <c r="C7533" s="39" t="s">
        <v>4036</v>
      </c>
      <c r="D7533">
        <v>7</v>
      </c>
      <c r="F7533" s="56"/>
    </row>
    <row r="7534" spans="1:6" ht="15">
      <c r="A7534" s="51">
        <v>295489</v>
      </c>
      <c r="B7534" t="s">
        <v>4037</v>
      </c>
      <c r="C7534" s="39" t="s">
        <v>4036</v>
      </c>
      <c r="D7534">
        <v>8</v>
      </c>
      <c r="F7534" s="56"/>
    </row>
    <row r="7535" spans="1:6" ht="15">
      <c r="A7535" s="51">
        <v>295490</v>
      </c>
      <c r="B7535" t="s">
        <v>160</v>
      </c>
      <c r="C7535" s="39" t="s">
        <v>161</v>
      </c>
      <c r="D7535" t="s">
        <v>4247</v>
      </c>
      <c r="F7535" s="56"/>
    </row>
    <row r="7536" spans="1:6" ht="15">
      <c r="A7536" s="51">
        <v>295491</v>
      </c>
      <c r="B7536" t="s">
        <v>162</v>
      </c>
      <c r="C7536" s="39" t="s">
        <v>161</v>
      </c>
      <c r="D7536" t="s">
        <v>4243</v>
      </c>
      <c r="F7536" s="56"/>
    </row>
    <row r="7537" spans="1:6" ht="15">
      <c r="A7537" s="51">
        <v>295492</v>
      </c>
      <c r="B7537" t="s">
        <v>4038</v>
      </c>
      <c r="C7537" s="39" t="s">
        <v>4039</v>
      </c>
      <c r="D7537">
        <v>9</v>
      </c>
      <c r="F7537" s="56"/>
    </row>
    <row r="7538" spans="1:6" ht="15">
      <c r="A7538" s="51">
        <v>295493</v>
      </c>
      <c r="B7538" t="s">
        <v>4040</v>
      </c>
      <c r="C7538" s="39" t="s">
        <v>4039</v>
      </c>
      <c r="D7538">
        <v>9</v>
      </c>
      <c r="F7538" s="56"/>
    </row>
    <row r="7539" spans="1:6" ht="15">
      <c r="A7539" s="51">
        <v>295494</v>
      </c>
      <c r="B7539" t="s">
        <v>4041</v>
      </c>
      <c r="C7539" s="39" t="s">
        <v>4039</v>
      </c>
      <c r="D7539">
        <v>9</v>
      </c>
      <c r="F7539" s="56"/>
    </row>
    <row r="7540" spans="1:6" ht="15">
      <c r="A7540" s="51">
        <v>295495</v>
      </c>
      <c r="B7540" t="s">
        <v>3043</v>
      </c>
      <c r="C7540" s="39" t="s">
        <v>955</v>
      </c>
      <c r="D7540">
        <v>7</v>
      </c>
      <c r="F7540" s="56"/>
    </row>
    <row r="7541" spans="1:6" ht="15">
      <c r="A7541" s="51">
        <v>295496</v>
      </c>
      <c r="B7541" t="s">
        <v>1063</v>
      </c>
      <c r="C7541" s="39" t="s">
        <v>390</v>
      </c>
      <c r="D7541" t="s">
        <v>4247</v>
      </c>
      <c r="F7541" s="56"/>
    </row>
    <row r="7542" spans="1:6" ht="15">
      <c r="A7542" s="51">
        <v>295497</v>
      </c>
      <c r="B7542" t="s">
        <v>4042</v>
      </c>
      <c r="C7542" s="39" t="s">
        <v>4043</v>
      </c>
      <c r="D7542">
        <v>8</v>
      </c>
      <c r="F7542" s="56"/>
    </row>
    <row r="7543" spans="1:6" ht="15">
      <c r="A7543" s="51">
        <v>295498</v>
      </c>
      <c r="B7543" t="s">
        <v>3662</v>
      </c>
      <c r="C7543" s="39" t="s">
        <v>4044</v>
      </c>
      <c r="D7543">
        <v>8</v>
      </c>
      <c r="F7543" s="56"/>
    </row>
    <row r="7544" spans="1:6" ht="15">
      <c r="A7544" s="51">
        <v>295499</v>
      </c>
      <c r="B7544" t="s">
        <v>393</v>
      </c>
      <c r="C7544" s="39" t="s">
        <v>394</v>
      </c>
      <c r="D7544">
        <v>7</v>
      </c>
      <c r="F7544" s="56"/>
    </row>
    <row r="7545" spans="1:6" ht="15">
      <c r="A7545" s="51">
        <v>295500</v>
      </c>
      <c r="B7545" t="s">
        <v>1186</v>
      </c>
      <c r="C7545" s="39" t="s">
        <v>192</v>
      </c>
      <c r="D7545" t="s">
        <v>4247</v>
      </c>
      <c r="F7545" s="56"/>
    </row>
    <row r="7546" spans="1:6" ht="15">
      <c r="A7546" s="51">
        <v>295501</v>
      </c>
      <c r="B7546" t="s">
        <v>2860</v>
      </c>
      <c r="C7546" s="39" t="s">
        <v>4045</v>
      </c>
      <c r="D7546" t="s">
        <v>4244</v>
      </c>
      <c r="F7546" s="56"/>
    </row>
    <row r="7547" spans="1:6" ht="15">
      <c r="A7547" s="51">
        <v>295503</v>
      </c>
      <c r="B7547" t="s">
        <v>1190</v>
      </c>
      <c r="C7547" s="39" t="s">
        <v>4046</v>
      </c>
      <c r="D7547">
        <v>7</v>
      </c>
      <c r="F7547" s="56"/>
    </row>
    <row r="7548" spans="1:6" ht="15">
      <c r="A7548" s="51">
        <v>295504</v>
      </c>
      <c r="B7548" t="s">
        <v>4047</v>
      </c>
      <c r="C7548" s="39" t="s">
        <v>4046</v>
      </c>
      <c r="D7548">
        <v>8</v>
      </c>
      <c r="F7548" s="56"/>
    </row>
    <row r="7549" spans="1:6" ht="15">
      <c r="A7549" s="51">
        <v>295505</v>
      </c>
      <c r="B7549" t="s">
        <v>1073</v>
      </c>
      <c r="C7549" s="39" t="s">
        <v>402</v>
      </c>
      <c r="D7549" t="s">
        <v>4245</v>
      </c>
      <c r="F7549" s="56"/>
    </row>
    <row r="7550" spans="1:6" ht="15">
      <c r="A7550" s="51">
        <v>295506</v>
      </c>
      <c r="B7550" t="s">
        <v>4048</v>
      </c>
      <c r="C7550" s="39" t="s">
        <v>876</v>
      </c>
      <c r="D7550">
        <v>8</v>
      </c>
      <c r="F7550" s="56"/>
    </row>
    <row r="7551" spans="1:6" ht="15">
      <c r="A7551" s="51">
        <v>295507</v>
      </c>
      <c r="B7551" t="s">
        <v>4049</v>
      </c>
      <c r="C7551" s="39" t="s">
        <v>4050</v>
      </c>
      <c r="D7551">
        <v>9</v>
      </c>
      <c r="F7551" s="56"/>
    </row>
    <row r="7552" spans="1:6" ht="15">
      <c r="A7552" s="51">
        <v>295508</v>
      </c>
      <c r="B7552" t="s">
        <v>4051</v>
      </c>
      <c r="C7552" s="39" t="s">
        <v>2741</v>
      </c>
      <c r="D7552">
        <v>7</v>
      </c>
      <c r="F7552" s="56"/>
    </row>
    <row r="7553" spans="1:6" ht="15">
      <c r="A7553" s="51">
        <v>295509</v>
      </c>
      <c r="B7553" t="s">
        <v>4052</v>
      </c>
      <c r="C7553" s="39" t="s">
        <v>2741</v>
      </c>
      <c r="D7553">
        <v>9</v>
      </c>
      <c r="F7553" s="56"/>
    </row>
    <row r="7554" spans="1:6" ht="15">
      <c r="A7554" s="51">
        <v>295510</v>
      </c>
      <c r="B7554" t="s">
        <v>4053</v>
      </c>
      <c r="C7554" s="39" t="s">
        <v>1764</v>
      </c>
      <c r="D7554">
        <v>8</v>
      </c>
      <c r="F7554" s="56"/>
    </row>
    <row r="7555" spans="1:6" ht="15">
      <c r="A7555" s="51">
        <v>295511</v>
      </c>
      <c r="B7555" t="s">
        <v>1079</v>
      </c>
      <c r="C7555" s="39" t="s">
        <v>1080</v>
      </c>
      <c r="D7555" t="s">
        <v>4244</v>
      </c>
      <c r="F7555" s="56"/>
    </row>
    <row r="7556" spans="1:6" ht="15">
      <c r="A7556" s="51">
        <v>295512</v>
      </c>
      <c r="B7556" t="s">
        <v>1081</v>
      </c>
      <c r="C7556" s="39" t="s">
        <v>1080</v>
      </c>
      <c r="D7556" t="s">
        <v>4244</v>
      </c>
      <c r="F7556" s="56"/>
    </row>
    <row r="7557" spans="1:6" ht="15">
      <c r="A7557" s="51">
        <v>295513</v>
      </c>
      <c r="B7557" t="s">
        <v>212</v>
      </c>
      <c r="C7557" s="39" t="s">
        <v>417</v>
      </c>
      <c r="D7557" t="s">
        <v>4247</v>
      </c>
      <c r="F7557" s="56"/>
    </row>
    <row r="7558" spans="1:6" ht="15">
      <c r="A7558" s="51">
        <v>295514</v>
      </c>
      <c r="B7558" t="s">
        <v>1257</v>
      </c>
      <c r="C7558" s="39" t="s">
        <v>218</v>
      </c>
      <c r="D7558" t="s">
        <v>4243</v>
      </c>
      <c r="F7558" s="56"/>
    </row>
    <row r="7559" spans="1:6" ht="15">
      <c r="A7559" s="51">
        <v>295515</v>
      </c>
      <c r="B7559" t="s">
        <v>4054</v>
      </c>
      <c r="C7559" s="39" t="s">
        <v>4055</v>
      </c>
      <c r="D7559">
        <v>7</v>
      </c>
      <c r="F7559" s="56"/>
    </row>
    <row r="7560" spans="1:6" ht="15">
      <c r="A7560" s="51">
        <v>295516</v>
      </c>
      <c r="B7560" t="s">
        <v>4056</v>
      </c>
      <c r="C7560" s="39" t="s">
        <v>4055</v>
      </c>
      <c r="D7560">
        <v>9</v>
      </c>
      <c r="F7560" s="56"/>
    </row>
    <row r="7561" spans="1:6" ht="15">
      <c r="A7561" s="51">
        <v>295517</v>
      </c>
      <c r="B7561" t="s">
        <v>223</v>
      </c>
      <c r="C7561" s="39" t="s">
        <v>224</v>
      </c>
      <c r="D7561" t="s">
        <v>4243</v>
      </c>
      <c r="F7561" s="56"/>
    </row>
    <row r="7562" spans="1:6" ht="15">
      <c r="A7562" s="51">
        <v>295518</v>
      </c>
      <c r="B7562" t="s">
        <v>3055</v>
      </c>
      <c r="C7562" s="39" t="s">
        <v>4057</v>
      </c>
      <c r="D7562" t="s">
        <v>4243</v>
      </c>
      <c r="F7562" s="56"/>
    </row>
    <row r="7563" spans="1:6" ht="15">
      <c r="A7563" s="51">
        <v>295519</v>
      </c>
      <c r="B7563" t="s">
        <v>2047</v>
      </c>
      <c r="C7563" s="39" t="s">
        <v>1474</v>
      </c>
      <c r="D7563" t="s">
        <v>4244</v>
      </c>
      <c r="F7563" s="56"/>
    </row>
    <row r="7564" spans="1:6" ht="15">
      <c r="A7564" s="51">
        <v>295520</v>
      </c>
      <c r="B7564" t="s">
        <v>2049</v>
      </c>
      <c r="C7564" s="39" t="s">
        <v>1474</v>
      </c>
      <c r="D7564" t="s">
        <v>4243</v>
      </c>
      <c r="F7564" s="56"/>
    </row>
    <row r="7565" spans="1:6" ht="15">
      <c r="A7565" s="51">
        <v>295521</v>
      </c>
      <c r="B7565" t="s">
        <v>1103</v>
      </c>
      <c r="C7565" s="39" t="s">
        <v>4058</v>
      </c>
      <c r="D7565">
        <v>8</v>
      </c>
      <c r="F7565" s="56"/>
    </row>
    <row r="7566" spans="1:6" ht="15">
      <c r="A7566" s="51">
        <v>295522</v>
      </c>
      <c r="B7566" t="s">
        <v>2638</v>
      </c>
      <c r="C7566" s="39" t="s">
        <v>4058</v>
      </c>
      <c r="D7566">
        <v>9</v>
      </c>
      <c r="F7566" s="56"/>
    </row>
    <row r="7567" spans="1:6" ht="15">
      <c r="A7567" s="51">
        <v>295523</v>
      </c>
      <c r="B7567" t="s">
        <v>2757</v>
      </c>
      <c r="C7567" s="39" t="s">
        <v>4059</v>
      </c>
      <c r="D7567">
        <v>7</v>
      </c>
      <c r="F7567" s="56"/>
    </row>
    <row r="7568" spans="1:6" ht="15">
      <c r="A7568" s="51">
        <v>295524</v>
      </c>
      <c r="B7568" t="s">
        <v>227</v>
      </c>
      <c r="C7568" s="39" t="s">
        <v>1195</v>
      </c>
      <c r="D7568" t="s">
        <v>4247</v>
      </c>
      <c r="F7568" s="56"/>
    </row>
    <row r="7569" spans="1:6" ht="15">
      <c r="A7569" s="51">
        <v>295526</v>
      </c>
      <c r="B7569" t="s">
        <v>230</v>
      </c>
      <c r="C7569" s="39" t="s">
        <v>231</v>
      </c>
      <c r="D7569" t="s">
        <v>4244</v>
      </c>
      <c r="F7569" s="56"/>
    </row>
    <row r="7570" spans="1:6" ht="15">
      <c r="A7570" s="51">
        <v>295527</v>
      </c>
      <c r="B7570" t="s">
        <v>232</v>
      </c>
      <c r="C7570" s="39" t="s">
        <v>233</v>
      </c>
      <c r="D7570" t="s">
        <v>4244</v>
      </c>
      <c r="F7570" s="56"/>
    </row>
    <row r="7571" spans="1:6" ht="15">
      <c r="A7571" s="51">
        <v>295528</v>
      </c>
      <c r="B7571" t="s">
        <v>234</v>
      </c>
      <c r="C7571" s="39" t="s">
        <v>235</v>
      </c>
      <c r="D7571" t="s">
        <v>4244</v>
      </c>
      <c r="F7571" s="56"/>
    </row>
    <row r="7572" spans="1:6" ht="15">
      <c r="A7572" s="51">
        <v>295529</v>
      </c>
      <c r="B7572" t="s">
        <v>236</v>
      </c>
      <c r="C7572" s="39" t="s">
        <v>235</v>
      </c>
      <c r="D7572" t="s">
        <v>4244</v>
      </c>
      <c r="F7572" s="56"/>
    </row>
    <row r="7573" spans="1:6" ht="15">
      <c r="A7573" s="51">
        <v>295530</v>
      </c>
      <c r="B7573" t="s">
        <v>4060</v>
      </c>
      <c r="C7573" s="39" t="s">
        <v>238</v>
      </c>
      <c r="D7573" t="s">
        <v>4246</v>
      </c>
      <c r="F7573" s="56"/>
    </row>
    <row r="7574" spans="1:6" ht="15">
      <c r="A7574" s="51">
        <v>295531</v>
      </c>
      <c r="B7574" t="s">
        <v>4061</v>
      </c>
      <c r="C7574" s="39" t="s">
        <v>238</v>
      </c>
      <c r="D7574" t="s">
        <v>4247</v>
      </c>
      <c r="F7574" s="56"/>
    </row>
    <row r="7575" spans="1:6" ht="15">
      <c r="A7575" s="51">
        <v>295532</v>
      </c>
      <c r="B7575" t="s">
        <v>4062</v>
      </c>
      <c r="C7575" s="39" t="s">
        <v>238</v>
      </c>
      <c r="D7575" t="s">
        <v>4243</v>
      </c>
      <c r="F7575" s="56"/>
    </row>
    <row r="7576" spans="1:6" ht="15">
      <c r="A7576" s="51">
        <v>295533</v>
      </c>
      <c r="B7576" t="s">
        <v>4063</v>
      </c>
      <c r="C7576" s="39" t="s">
        <v>507</v>
      </c>
      <c r="D7576">
        <v>9</v>
      </c>
      <c r="F7576" s="56"/>
    </row>
    <row r="7577" spans="1:6" ht="15">
      <c r="A7577" s="51">
        <v>295534</v>
      </c>
      <c r="B7577" t="s">
        <v>4064</v>
      </c>
      <c r="C7577" s="39" t="s">
        <v>507</v>
      </c>
      <c r="D7577">
        <v>9</v>
      </c>
      <c r="F7577" s="56"/>
    </row>
    <row r="7578" spans="1:6" ht="15">
      <c r="A7578" s="51">
        <v>295535</v>
      </c>
      <c r="B7578" t="s">
        <v>4065</v>
      </c>
      <c r="C7578" s="39" t="s">
        <v>507</v>
      </c>
      <c r="D7578">
        <v>9</v>
      </c>
      <c r="F7578" s="56"/>
    </row>
    <row r="7579" spans="1:6" ht="15">
      <c r="A7579" s="51">
        <v>295536</v>
      </c>
      <c r="B7579" t="s">
        <v>1857</v>
      </c>
      <c r="C7579" s="39" t="s">
        <v>1114</v>
      </c>
      <c r="D7579" t="s">
        <v>4246</v>
      </c>
      <c r="F7579" s="56"/>
    </row>
    <row r="7580" spans="1:6" ht="15">
      <c r="A7580" s="51">
        <v>295537</v>
      </c>
      <c r="B7580" t="s">
        <v>2245</v>
      </c>
      <c r="C7580" s="39" t="s">
        <v>1114</v>
      </c>
      <c r="D7580" t="s">
        <v>4244</v>
      </c>
      <c r="F7580" s="56"/>
    </row>
    <row r="7581" spans="1:6" ht="15">
      <c r="A7581" s="51">
        <v>295538</v>
      </c>
      <c r="B7581" t="s">
        <v>880</v>
      </c>
      <c r="C7581" s="39" t="s">
        <v>243</v>
      </c>
      <c r="D7581" t="s">
        <v>4245</v>
      </c>
      <c r="F7581" s="56"/>
    </row>
    <row r="7582" spans="1:6" ht="15">
      <c r="A7582" s="51">
        <v>295539</v>
      </c>
      <c r="B7582" t="s">
        <v>2765</v>
      </c>
      <c r="C7582" s="39" t="s">
        <v>3909</v>
      </c>
      <c r="D7582" t="s">
        <v>4243</v>
      </c>
      <c r="F7582" s="56"/>
    </row>
    <row r="7583" spans="1:6" ht="15">
      <c r="A7583" s="51">
        <v>295540</v>
      </c>
      <c r="B7583" t="s">
        <v>4066</v>
      </c>
      <c r="C7583" s="39" t="s">
        <v>3909</v>
      </c>
      <c r="D7583">
        <v>8</v>
      </c>
      <c r="F7583" s="56"/>
    </row>
    <row r="7584" spans="1:6" ht="15">
      <c r="A7584" s="51">
        <v>295541</v>
      </c>
      <c r="B7584" t="s">
        <v>4067</v>
      </c>
      <c r="C7584" s="39" t="s">
        <v>3909</v>
      </c>
      <c r="D7584">
        <v>9</v>
      </c>
      <c r="F7584" s="56"/>
    </row>
    <row r="7585" spans="1:6" ht="15">
      <c r="A7585" s="51">
        <v>295542</v>
      </c>
      <c r="B7585" t="s">
        <v>1774</v>
      </c>
      <c r="C7585" s="39" t="s">
        <v>1586</v>
      </c>
      <c r="D7585" t="s">
        <v>4247</v>
      </c>
      <c r="F7585" s="56"/>
    </row>
    <row r="7586" spans="1:6" ht="15">
      <c r="A7586" s="51">
        <v>295543</v>
      </c>
      <c r="B7586" t="s">
        <v>1775</v>
      </c>
      <c r="C7586" s="39" t="s">
        <v>1586</v>
      </c>
      <c r="D7586" t="s">
        <v>4243</v>
      </c>
      <c r="F7586" s="56"/>
    </row>
    <row r="7587" spans="1:6" ht="15">
      <c r="A7587" s="51">
        <v>295544</v>
      </c>
      <c r="B7587" t="s">
        <v>4068</v>
      </c>
      <c r="C7587" s="39" t="s">
        <v>4069</v>
      </c>
      <c r="D7587">
        <v>8</v>
      </c>
      <c r="F7587" s="56"/>
    </row>
    <row r="7588" spans="1:6" ht="15">
      <c r="A7588" s="51">
        <v>295545</v>
      </c>
      <c r="B7588" t="s">
        <v>1778</v>
      </c>
      <c r="C7588" s="39" t="s">
        <v>3492</v>
      </c>
      <c r="D7588" t="s">
        <v>4244</v>
      </c>
      <c r="F7588" s="56"/>
    </row>
    <row r="7589" spans="1:6" ht="15">
      <c r="A7589" s="51">
        <v>295546</v>
      </c>
      <c r="B7589" t="s">
        <v>1500</v>
      </c>
      <c r="C7589" s="39" t="s">
        <v>3493</v>
      </c>
      <c r="D7589" t="s">
        <v>4247</v>
      </c>
      <c r="F7589" s="56"/>
    </row>
    <row r="7590" spans="1:6" ht="15">
      <c r="A7590" s="51">
        <v>295547</v>
      </c>
      <c r="B7590" t="s">
        <v>3494</v>
      </c>
      <c r="C7590" s="39" t="s">
        <v>3493</v>
      </c>
      <c r="D7590" t="s">
        <v>4243</v>
      </c>
      <c r="F7590" s="56"/>
    </row>
    <row r="7591" spans="1:6" ht="15">
      <c r="A7591" s="51">
        <v>295548</v>
      </c>
      <c r="B7591" t="s">
        <v>432</v>
      </c>
      <c r="C7591" s="39" t="s">
        <v>433</v>
      </c>
      <c r="D7591" t="s">
        <v>4245</v>
      </c>
      <c r="F7591" s="56"/>
    </row>
    <row r="7592" spans="1:6" ht="15">
      <c r="A7592" s="51">
        <v>295549</v>
      </c>
      <c r="B7592" t="s">
        <v>882</v>
      </c>
      <c r="C7592" s="39" t="s">
        <v>437</v>
      </c>
      <c r="D7592" t="s">
        <v>4248</v>
      </c>
      <c r="F7592" s="56"/>
    </row>
    <row r="7593" spans="1:6" ht="15">
      <c r="A7593" s="51">
        <v>295550</v>
      </c>
      <c r="B7593" t="s">
        <v>1687</v>
      </c>
      <c r="C7593" s="39" t="s">
        <v>255</v>
      </c>
      <c r="D7593" t="s">
        <v>4246</v>
      </c>
      <c r="F7593" s="56"/>
    </row>
    <row r="7594" spans="1:6" ht="15">
      <c r="A7594" s="51">
        <v>295551</v>
      </c>
      <c r="B7594" t="s">
        <v>248</v>
      </c>
      <c r="C7594" s="39" t="s">
        <v>255</v>
      </c>
      <c r="D7594" t="s">
        <v>4246</v>
      </c>
      <c r="F7594" s="56"/>
    </row>
    <row r="7595" spans="1:6" ht="15">
      <c r="A7595" s="51">
        <v>295552</v>
      </c>
      <c r="B7595" t="s">
        <v>250</v>
      </c>
      <c r="C7595" s="39" t="s">
        <v>255</v>
      </c>
      <c r="D7595" t="s">
        <v>4244</v>
      </c>
      <c r="F7595" s="56"/>
    </row>
    <row r="7596" spans="1:6" ht="15">
      <c r="A7596" s="51">
        <v>295553</v>
      </c>
      <c r="B7596" t="s">
        <v>438</v>
      </c>
      <c r="C7596" s="39" t="s">
        <v>255</v>
      </c>
      <c r="D7596" t="s">
        <v>4246</v>
      </c>
      <c r="F7596" s="56"/>
    </row>
    <row r="7597" spans="1:6" ht="15">
      <c r="A7597" s="51">
        <v>295554</v>
      </c>
      <c r="B7597" t="s">
        <v>2082</v>
      </c>
      <c r="C7597" s="39" t="s">
        <v>255</v>
      </c>
      <c r="D7597" t="s">
        <v>4244</v>
      </c>
      <c r="F7597" s="56"/>
    </row>
    <row r="7598" spans="1:6" ht="15">
      <c r="A7598" s="51">
        <v>295555</v>
      </c>
      <c r="B7598" t="s">
        <v>883</v>
      </c>
      <c r="C7598" s="39" t="s">
        <v>255</v>
      </c>
      <c r="D7598" t="s">
        <v>4243</v>
      </c>
      <c r="F7598" s="56"/>
    </row>
    <row r="7599" spans="1:6" ht="15">
      <c r="A7599" s="51">
        <v>295556</v>
      </c>
      <c r="B7599" t="s">
        <v>1510</v>
      </c>
      <c r="C7599" s="39" t="s">
        <v>261</v>
      </c>
      <c r="D7599" t="s">
        <v>4248</v>
      </c>
      <c r="F7599" s="56"/>
    </row>
    <row r="7600" spans="1:6" ht="15">
      <c r="A7600" s="51">
        <v>295557</v>
      </c>
      <c r="B7600" t="s">
        <v>4070</v>
      </c>
      <c r="C7600" s="39" t="s">
        <v>264</v>
      </c>
      <c r="D7600">
        <v>8</v>
      </c>
      <c r="F7600" s="56"/>
    </row>
    <row r="7601" spans="1:6" ht="15">
      <c r="A7601" s="51">
        <v>295558</v>
      </c>
      <c r="B7601" t="s">
        <v>4071</v>
      </c>
      <c r="C7601" s="39" t="s">
        <v>264</v>
      </c>
      <c r="D7601">
        <v>8</v>
      </c>
      <c r="F7601" s="56"/>
    </row>
    <row r="7602" spans="1:6" ht="15">
      <c r="A7602" s="51">
        <v>295559</v>
      </c>
      <c r="B7602" t="s">
        <v>273</v>
      </c>
      <c r="C7602" s="39" t="s">
        <v>274</v>
      </c>
      <c r="D7602" t="s">
        <v>4243</v>
      </c>
      <c r="F7602" s="56"/>
    </row>
    <row r="7603" spans="1:6" ht="15">
      <c r="A7603" s="51">
        <v>295560</v>
      </c>
      <c r="B7603" t="s">
        <v>74</v>
      </c>
      <c r="C7603" s="39" t="s">
        <v>274</v>
      </c>
      <c r="D7603" t="s">
        <v>4243</v>
      </c>
      <c r="F7603" s="56"/>
    </row>
    <row r="7604" spans="1:6" ht="15">
      <c r="A7604" s="51">
        <v>295561</v>
      </c>
      <c r="B7604" t="s">
        <v>75</v>
      </c>
      <c r="C7604" s="39" t="s">
        <v>274</v>
      </c>
      <c r="D7604">
        <v>7</v>
      </c>
      <c r="F7604" s="56"/>
    </row>
    <row r="7605" spans="1:6" ht="15">
      <c r="A7605" s="51">
        <v>295562</v>
      </c>
      <c r="B7605" t="s">
        <v>4072</v>
      </c>
      <c r="C7605" s="39" t="s">
        <v>274</v>
      </c>
      <c r="D7605">
        <v>8</v>
      </c>
      <c r="F7605" s="56"/>
    </row>
    <row r="7606" spans="1:6" ht="15">
      <c r="A7606" s="51">
        <v>295565</v>
      </c>
      <c r="B7606" t="s">
        <v>455</v>
      </c>
      <c r="C7606" s="39" t="s">
        <v>1594</v>
      </c>
      <c r="D7606" t="s">
        <v>4243</v>
      </c>
      <c r="F7606" s="56"/>
    </row>
    <row r="7607" spans="1:6" ht="15">
      <c r="A7607" s="51">
        <v>295566</v>
      </c>
      <c r="B7607" t="s">
        <v>275</v>
      </c>
      <c r="C7607" s="39" t="s">
        <v>283</v>
      </c>
      <c r="D7607">
        <v>8</v>
      </c>
      <c r="F7607" s="56"/>
    </row>
    <row r="7608" spans="1:6" ht="15">
      <c r="A7608" s="51">
        <v>295567</v>
      </c>
      <c r="B7608" t="s">
        <v>3625</v>
      </c>
      <c r="C7608" s="39" t="s">
        <v>283</v>
      </c>
      <c r="D7608">
        <v>8</v>
      </c>
      <c r="F7608" s="56"/>
    </row>
    <row r="7609" spans="1:6" ht="15">
      <c r="A7609" s="51">
        <v>295568</v>
      </c>
      <c r="B7609" t="s">
        <v>279</v>
      </c>
      <c r="C7609" s="39" t="s">
        <v>285</v>
      </c>
      <c r="D7609" t="s">
        <v>4247</v>
      </c>
      <c r="F7609" s="56"/>
    </row>
    <row r="7610" spans="1:6" ht="15">
      <c r="A7610" s="51">
        <v>295569</v>
      </c>
      <c r="B7610" t="s">
        <v>280</v>
      </c>
      <c r="C7610" s="39" t="s">
        <v>285</v>
      </c>
      <c r="D7610" t="s">
        <v>4243</v>
      </c>
      <c r="F7610" s="56"/>
    </row>
    <row r="7611" spans="1:6" ht="15">
      <c r="A7611" s="51">
        <v>295570</v>
      </c>
      <c r="B7611" t="s">
        <v>4073</v>
      </c>
      <c r="C7611" s="39" t="s">
        <v>3918</v>
      </c>
      <c r="D7611">
        <v>8</v>
      </c>
      <c r="F7611" s="56"/>
    </row>
    <row r="7612" spans="1:6" ht="15">
      <c r="A7612" s="51">
        <v>295571</v>
      </c>
      <c r="B7612" t="s">
        <v>4074</v>
      </c>
      <c r="C7612" s="39" t="s">
        <v>3918</v>
      </c>
      <c r="D7612">
        <v>9</v>
      </c>
      <c r="F7612" s="56"/>
    </row>
    <row r="7613" spans="1:6" ht="15">
      <c r="A7613" s="51">
        <v>295572</v>
      </c>
      <c r="B7613" t="s">
        <v>3514</v>
      </c>
      <c r="C7613" s="39" t="s">
        <v>898</v>
      </c>
      <c r="D7613" t="s">
        <v>4246</v>
      </c>
      <c r="F7613" s="56"/>
    </row>
    <row r="7614" spans="1:6" ht="15">
      <c r="A7614" s="51">
        <v>295573</v>
      </c>
      <c r="B7614" t="s">
        <v>294</v>
      </c>
      <c r="C7614" s="39" t="s">
        <v>898</v>
      </c>
      <c r="D7614" t="s">
        <v>4247</v>
      </c>
      <c r="F7614" s="56"/>
    </row>
    <row r="7615" spans="1:6" ht="15">
      <c r="A7615" s="51">
        <v>295574</v>
      </c>
      <c r="B7615" t="s">
        <v>3503</v>
      </c>
      <c r="C7615" s="39" t="s">
        <v>3504</v>
      </c>
      <c r="D7615" t="s">
        <v>4244</v>
      </c>
      <c r="F7615" s="56"/>
    </row>
    <row r="7616" spans="1:6" ht="15">
      <c r="A7616" s="51">
        <v>295860</v>
      </c>
      <c r="B7616" t="s">
        <v>2672</v>
      </c>
      <c r="C7616" s="39" t="s">
        <v>2339</v>
      </c>
      <c r="D7616" t="s">
        <v>4248</v>
      </c>
      <c r="F7616" s="56"/>
    </row>
    <row r="7617" spans="1:6" ht="15">
      <c r="A7617" s="51">
        <v>295861</v>
      </c>
      <c r="B7617" t="s">
        <v>2798</v>
      </c>
      <c r="C7617" s="39" t="s">
        <v>2804</v>
      </c>
      <c r="D7617" t="s">
        <v>4245</v>
      </c>
      <c r="F7617" s="56"/>
    </row>
    <row r="7618" spans="1:6" ht="15">
      <c r="A7618" s="51">
        <v>295862</v>
      </c>
      <c r="B7618" t="s">
        <v>1233</v>
      </c>
      <c r="C7618" s="39" t="s">
        <v>2804</v>
      </c>
      <c r="D7618" t="s">
        <v>4245</v>
      </c>
      <c r="F7618" s="56"/>
    </row>
    <row r="7619" spans="1:6" ht="15">
      <c r="A7619" s="51">
        <v>295863</v>
      </c>
      <c r="B7619" t="s">
        <v>1353</v>
      </c>
      <c r="C7619" s="39" t="s">
        <v>1360</v>
      </c>
      <c r="D7619" t="s">
        <v>4246</v>
      </c>
      <c r="F7619" s="56"/>
    </row>
    <row r="7620" spans="1:6" ht="15">
      <c r="A7620" s="51">
        <v>295864</v>
      </c>
      <c r="B7620" t="s">
        <v>1354</v>
      </c>
      <c r="C7620" s="39" t="s">
        <v>1360</v>
      </c>
      <c r="D7620" t="s">
        <v>4244</v>
      </c>
      <c r="F7620" s="56"/>
    </row>
    <row r="7621" spans="1:6" ht="15">
      <c r="A7621" s="51">
        <v>295865</v>
      </c>
      <c r="B7621" t="s">
        <v>4075</v>
      </c>
      <c r="C7621" s="39" t="s">
        <v>1360</v>
      </c>
      <c r="D7621">
        <v>7</v>
      </c>
      <c r="F7621" s="56"/>
    </row>
    <row r="7622" spans="1:6" ht="15">
      <c r="A7622" s="51">
        <v>295866</v>
      </c>
      <c r="B7622" t="s">
        <v>4076</v>
      </c>
      <c r="C7622" s="39" t="s">
        <v>1360</v>
      </c>
      <c r="D7622">
        <v>8</v>
      </c>
      <c r="F7622" s="56"/>
    </row>
    <row r="7623" spans="1:6" ht="15">
      <c r="A7623" s="51">
        <v>295867</v>
      </c>
      <c r="B7623" t="s">
        <v>4077</v>
      </c>
      <c r="C7623" s="39" t="s">
        <v>1360</v>
      </c>
      <c r="D7623">
        <v>9</v>
      </c>
      <c r="F7623" s="56"/>
    </row>
    <row r="7624" spans="1:6" ht="15">
      <c r="A7624" s="51">
        <v>295868</v>
      </c>
      <c r="B7624" t="s">
        <v>311</v>
      </c>
      <c r="C7624" s="39" t="s">
        <v>3653</v>
      </c>
      <c r="D7624">
        <v>8</v>
      </c>
      <c r="F7624" s="56"/>
    </row>
    <row r="7625" spans="1:6" ht="15">
      <c r="A7625" s="51">
        <v>295869</v>
      </c>
      <c r="B7625" t="s">
        <v>1525</v>
      </c>
      <c r="C7625" s="39" t="s">
        <v>3653</v>
      </c>
      <c r="D7625">
        <v>9</v>
      </c>
      <c r="F7625" s="56"/>
    </row>
    <row r="7626" spans="1:6" ht="15">
      <c r="A7626" s="51">
        <v>295870</v>
      </c>
      <c r="B7626" t="s">
        <v>338</v>
      </c>
      <c r="C7626" s="39" t="s">
        <v>3453</v>
      </c>
      <c r="D7626" t="s">
        <v>4243</v>
      </c>
      <c r="F7626" s="56"/>
    </row>
    <row r="7627" spans="1:6" ht="15">
      <c r="A7627" s="51">
        <v>295871</v>
      </c>
      <c r="B7627" t="s">
        <v>103</v>
      </c>
      <c r="C7627" s="39" t="s">
        <v>106</v>
      </c>
      <c r="D7627" t="s">
        <v>4245</v>
      </c>
      <c r="F7627" s="56"/>
    </row>
    <row r="7628" spans="1:6" ht="15">
      <c r="A7628" s="51">
        <v>295872</v>
      </c>
      <c r="B7628" t="s">
        <v>3508</v>
      </c>
      <c r="C7628" s="39" t="s">
        <v>4078</v>
      </c>
      <c r="D7628" t="s">
        <v>4243</v>
      </c>
      <c r="F7628" s="56"/>
    </row>
    <row r="7629" spans="1:6" ht="15">
      <c r="A7629" s="51">
        <v>295873</v>
      </c>
      <c r="B7629" t="s">
        <v>111</v>
      </c>
      <c r="C7629" s="39" t="s">
        <v>1692</v>
      </c>
      <c r="D7629" t="s">
        <v>4246</v>
      </c>
      <c r="F7629" s="56"/>
    </row>
    <row r="7630" spans="1:6" ht="15">
      <c r="A7630" s="51">
        <v>295874</v>
      </c>
      <c r="B7630" t="s">
        <v>112</v>
      </c>
      <c r="C7630" s="39" t="s">
        <v>1692</v>
      </c>
      <c r="D7630" t="s">
        <v>4244</v>
      </c>
      <c r="F7630" s="56"/>
    </row>
    <row r="7631" spans="1:6" ht="15">
      <c r="A7631" s="51">
        <v>295875</v>
      </c>
      <c r="B7631" t="s">
        <v>113</v>
      </c>
      <c r="C7631" s="39" t="s">
        <v>1692</v>
      </c>
      <c r="D7631" t="s">
        <v>4243</v>
      </c>
      <c r="F7631" s="56"/>
    </row>
    <row r="7632" spans="1:6" ht="15">
      <c r="A7632" s="51">
        <v>295876</v>
      </c>
      <c r="B7632" t="s">
        <v>356</v>
      </c>
      <c r="C7632" s="39" t="s">
        <v>357</v>
      </c>
      <c r="D7632">
        <v>9</v>
      </c>
      <c r="F7632" s="56"/>
    </row>
    <row r="7633" spans="1:6" ht="15">
      <c r="B7633" t="s">
        <v>881</v>
      </c>
      <c r="C7633" s="39" t="s">
        <v>140</v>
      </c>
      <c r="D7633">
        <v>7</v>
      </c>
      <c r="F7633" s="56"/>
    </row>
    <row r="7634" spans="1:6" ht="15">
      <c r="A7634" s="51">
        <v>295877</v>
      </c>
      <c r="B7634" t="s">
        <v>360</v>
      </c>
      <c r="C7634" s="39" t="s">
        <v>359</v>
      </c>
      <c r="D7634" t="s">
        <v>4246</v>
      </c>
      <c r="F7634" s="56"/>
    </row>
    <row r="7635" spans="1:6" ht="15">
      <c r="A7635" s="51">
        <v>295878</v>
      </c>
      <c r="B7635" t="s">
        <v>1533</v>
      </c>
      <c r="C7635" s="39" t="s">
        <v>362</v>
      </c>
      <c r="D7635" t="s">
        <v>4247</v>
      </c>
      <c r="F7635" s="56"/>
    </row>
    <row r="7636" spans="1:6" ht="15">
      <c r="A7636" s="51">
        <v>295879</v>
      </c>
      <c r="B7636" t="s">
        <v>131</v>
      </c>
      <c r="C7636" s="39" t="s">
        <v>132</v>
      </c>
      <c r="D7636" t="s">
        <v>471</v>
      </c>
      <c r="F7636" s="56"/>
    </row>
    <row r="7637" spans="1:6" ht="15">
      <c r="A7637" s="51">
        <v>295880</v>
      </c>
      <c r="B7637" t="s">
        <v>365</v>
      </c>
      <c r="C7637" s="39" t="s">
        <v>132</v>
      </c>
      <c r="D7637">
        <v>8</v>
      </c>
      <c r="F7637" s="56"/>
    </row>
    <row r="7638" spans="1:6" ht="15">
      <c r="A7638" s="51">
        <v>295881</v>
      </c>
      <c r="B7638" t="s">
        <v>1818</v>
      </c>
      <c r="C7638" s="39" t="s">
        <v>138</v>
      </c>
      <c r="D7638">
        <v>9</v>
      </c>
      <c r="F7638" s="56"/>
    </row>
    <row r="7639" spans="1:6" ht="15">
      <c r="A7639" s="51">
        <v>295882</v>
      </c>
      <c r="B7639" t="s">
        <v>1029</v>
      </c>
      <c r="C7639" s="39" t="s">
        <v>2298</v>
      </c>
      <c r="D7639" t="s">
        <v>4246</v>
      </c>
      <c r="F7639" s="56"/>
    </row>
    <row r="7640" spans="1:6" ht="15">
      <c r="A7640" s="51">
        <v>295883</v>
      </c>
      <c r="B7640" t="s">
        <v>1999</v>
      </c>
      <c r="C7640" s="39" t="s">
        <v>2003</v>
      </c>
      <c r="D7640" t="s">
        <v>4246</v>
      </c>
      <c r="F7640" s="56"/>
    </row>
    <row r="7641" spans="1:6" ht="15">
      <c r="A7641" s="51">
        <v>295884</v>
      </c>
      <c r="B7641" t="s">
        <v>2207</v>
      </c>
      <c r="C7641" s="39" t="s">
        <v>2003</v>
      </c>
      <c r="D7641" t="s">
        <v>4244</v>
      </c>
      <c r="F7641" s="56"/>
    </row>
    <row r="7642" spans="1:6" ht="15">
      <c r="A7642" s="51">
        <v>295885</v>
      </c>
      <c r="B7642" t="s">
        <v>1413</v>
      </c>
      <c r="C7642" s="39" t="s">
        <v>1290</v>
      </c>
      <c r="D7642">
        <v>8</v>
      </c>
      <c r="F7642" s="56"/>
    </row>
    <row r="7643" spans="1:6" ht="15">
      <c r="A7643" s="51">
        <v>295886</v>
      </c>
      <c r="B7643" t="s">
        <v>4079</v>
      </c>
      <c r="C7643" s="39" t="s">
        <v>1290</v>
      </c>
      <c r="D7643">
        <v>9</v>
      </c>
      <c r="F7643" s="56"/>
    </row>
    <row r="7644" spans="1:6" ht="15">
      <c r="A7644" s="51">
        <v>295887</v>
      </c>
      <c r="B7644" t="s">
        <v>2619</v>
      </c>
      <c r="C7644" s="39" t="s">
        <v>4080</v>
      </c>
      <c r="D7644">
        <v>8</v>
      </c>
      <c r="F7644" s="56"/>
    </row>
    <row r="7645" spans="1:6" ht="15">
      <c r="A7645" s="51">
        <v>295888</v>
      </c>
      <c r="B7645" t="s">
        <v>4081</v>
      </c>
      <c r="C7645" s="39" t="s">
        <v>4080</v>
      </c>
      <c r="D7645">
        <v>9</v>
      </c>
      <c r="F7645" s="56"/>
    </row>
    <row r="7646" spans="1:6" ht="15">
      <c r="A7646" s="51">
        <v>295889</v>
      </c>
      <c r="B7646" t="s">
        <v>374</v>
      </c>
      <c r="C7646" s="39" t="s">
        <v>2362</v>
      </c>
      <c r="D7646" t="s">
        <v>4243</v>
      </c>
      <c r="F7646" s="56"/>
    </row>
    <row r="7647" spans="1:6" ht="15">
      <c r="A7647" s="51">
        <v>295890</v>
      </c>
      <c r="B7647" t="s">
        <v>150</v>
      </c>
      <c r="C7647" s="39" t="s">
        <v>2362</v>
      </c>
      <c r="D7647" t="s">
        <v>4243</v>
      </c>
      <c r="F7647" s="56"/>
    </row>
    <row r="7648" spans="1:6" ht="15">
      <c r="A7648" s="51">
        <v>295891</v>
      </c>
      <c r="B7648" t="s">
        <v>152</v>
      </c>
      <c r="C7648" s="39" t="s">
        <v>2362</v>
      </c>
      <c r="D7648">
        <v>7</v>
      </c>
      <c r="F7648" s="56"/>
    </row>
    <row r="7649" spans="1:6" ht="15">
      <c r="A7649" s="51">
        <v>295892</v>
      </c>
      <c r="B7649" t="s">
        <v>1247</v>
      </c>
      <c r="C7649" s="39" t="s">
        <v>4082</v>
      </c>
      <c r="D7649" t="s">
        <v>4244</v>
      </c>
      <c r="F7649" s="56"/>
    </row>
    <row r="7650" spans="1:6" ht="15">
      <c r="A7650" s="51">
        <v>295893</v>
      </c>
      <c r="B7650" t="s">
        <v>1249</v>
      </c>
      <c r="C7650" s="39" t="s">
        <v>4082</v>
      </c>
      <c r="D7650">
        <v>7</v>
      </c>
      <c r="F7650" s="56"/>
    </row>
    <row r="7651" spans="1:6" ht="15">
      <c r="A7651" s="51">
        <v>295894</v>
      </c>
      <c r="B7651" t="s">
        <v>1539</v>
      </c>
      <c r="C7651" s="39" t="s">
        <v>4082</v>
      </c>
      <c r="D7651">
        <v>9</v>
      </c>
      <c r="F7651" s="56"/>
    </row>
    <row r="7652" spans="1:6" ht="15">
      <c r="A7652" s="51">
        <v>295895</v>
      </c>
      <c r="B7652" t="s">
        <v>379</v>
      </c>
      <c r="C7652" s="39" t="s">
        <v>380</v>
      </c>
      <c r="D7652" t="s">
        <v>4246</v>
      </c>
      <c r="F7652" s="56"/>
    </row>
    <row r="7653" spans="1:6" ht="15">
      <c r="A7653" s="51">
        <v>295896</v>
      </c>
      <c r="B7653" t="s">
        <v>381</v>
      </c>
      <c r="C7653" s="39" t="s">
        <v>380</v>
      </c>
      <c r="D7653" t="s">
        <v>4243</v>
      </c>
      <c r="F7653" s="56"/>
    </row>
    <row r="7654" spans="1:6" ht="15">
      <c r="A7654" s="51">
        <v>295897</v>
      </c>
      <c r="B7654" t="s">
        <v>1556</v>
      </c>
      <c r="C7654" s="39" t="s">
        <v>3812</v>
      </c>
      <c r="D7654">
        <v>8</v>
      </c>
      <c r="F7654" s="56"/>
    </row>
    <row r="7655" spans="1:6" ht="15">
      <c r="A7655" s="51">
        <v>295898</v>
      </c>
      <c r="B7655" t="s">
        <v>3697</v>
      </c>
      <c r="C7655" s="39" t="s">
        <v>3812</v>
      </c>
      <c r="D7655">
        <v>9</v>
      </c>
      <c r="F7655" s="56"/>
    </row>
    <row r="7656" spans="1:6" ht="15">
      <c r="A7656" s="51">
        <v>295899</v>
      </c>
      <c r="B7656" t="s">
        <v>2018</v>
      </c>
      <c r="C7656" s="39" t="s">
        <v>3663</v>
      </c>
      <c r="D7656">
        <v>7</v>
      </c>
      <c r="F7656" s="56"/>
    </row>
    <row r="7657" spans="1:6" ht="15">
      <c r="A7657" s="51">
        <v>295900</v>
      </c>
      <c r="B7657" t="s">
        <v>4083</v>
      </c>
      <c r="C7657" s="39" t="s">
        <v>3663</v>
      </c>
      <c r="D7657">
        <v>8</v>
      </c>
      <c r="F7657" s="56"/>
    </row>
    <row r="7658" spans="1:6" ht="15">
      <c r="A7658" s="51">
        <v>295901</v>
      </c>
      <c r="B7658" t="s">
        <v>393</v>
      </c>
      <c r="C7658" s="39" t="s">
        <v>394</v>
      </c>
      <c r="D7658">
        <v>7</v>
      </c>
      <c r="F7658" s="56"/>
    </row>
    <row r="7659" spans="1:6" ht="15">
      <c r="A7659" s="51">
        <v>295902</v>
      </c>
      <c r="B7659" t="s">
        <v>1668</v>
      </c>
      <c r="C7659" s="39" t="s">
        <v>4084</v>
      </c>
      <c r="D7659">
        <v>8</v>
      </c>
      <c r="F7659" s="56"/>
    </row>
    <row r="7660" spans="1:6" ht="15">
      <c r="A7660" s="51">
        <v>295903</v>
      </c>
      <c r="B7660" t="s">
        <v>4085</v>
      </c>
      <c r="C7660" s="39" t="s">
        <v>4084</v>
      </c>
      <c r="D7660">
        <v>9</v>
      </c>
      <c r="F7660" s="56"/>
    </row>
    <row r="7661" spans="1:6" ht="15">
      <c r="A7661" s="51">
        <v>295904</v>
      </c>
      <c r="B7661" t="s">
        <v>1566</v>
      </c>
      <c r="C7661" s="39" t="s">
        <v>1442</v>
      </c>
      <c r="D7661" t="s">
        <v>4244</v>
      </c>
      <c r="F7661" s="56"/>
    </row>
    <row r="7662" spans="1:6" ht="15">
      <c r="A7662" s="51">
        <v>295905</v>
      </c>
      <c r="B7662" t="s">
        <v>1225</v>
      </c>
      <c r="C7662" s="39" t="s">
        <v>402</v>
      </c>
      <c r="D7662" t="s">
        <v>4245</v>
      </c>
      <c r="F7662" s="56"/>
    </row>
    <row r="7663" spans="1:6" ht="15">
      <c r="A7663" s="51">
        <v>295909</v>
      </c>
      <c r="B7663" t="s">
        <v>1571</v>
      </c>
      <c r="C7663" s="39" t="s">
        <v>696</v>
      </c>
      <c r="D7663" t="s">
        <v>4243</v>
      </c>
      <c r="F7663" s="56"/>
    </row>
    <row r="7664" spans="1:6" ht="15">
      <c r="A7664" s="51">
        <v>295906</v>
      </c>
      <c r="B7664" t="s">
        <v>2225</v>
      </c>
      <c r="C7664" s="39" t="s">
        <v>3471</v>
      </c>
      <c r="D7664" t="s">
        <v>4244</v>
      </c>
      <c r="F7664" s="56"/>
    </row>
    <row r="7665" spans="1:6" ht="15">
      <c r="A7665" s="51">
        <v>295907</v>
      </c>
      <c r="B7665" t="s">
        <v>1254</v>
      </c>
      <c r="C7665" s="39" t="s">
        <v>3471</v>
      </c>
      <c r="D7665" t="s">
        <v>4244</v>
      </c>
      <c r="F7665" s="56"/>
    </row>
    <row r="7666" spans="1:6" ht="15">
      <c r="A7666" s="51">
        <v>295908</v>
      </c>
      <c r="B7666" t="s">
        <v>1255</v>
      </c>
      <c r="C7666" s="39" t="s">
        <v>3471</v>
      </c>
      <c r="D7666">
        <v>7</v>
      </c>
      <c r="F7666" s="56"/>
    </row>
    <row r="7667" spans="1:6" ht="15">
      <c r="A7667" s="51">
        <v>295910</v>
      </c>
      <c r="B7667" t="s">
        <v>1844</v>
      </c>
      <c r="C7667" s="39" t="s">
        <v>2317</v>
      </c>
      <c r="D7667" t="s">
        <v>4246</v>
      </c>
      <c r="F7667" s="56"/>
    </row>
    <row r="7668" spans="1:6" ht="15">
      <c r="A7668" s="51">
        <v>295911</v>
      </c>
      <c r="B7668" t="s">
        <v>2486</v>
      </c>
      <c r="C7668" s="39" t="s">
        <v>2317</v>
      </c>
      <c r="D7668" t="s">
        <v>4244</v>
      </c>
      <c r="F7668" s="56"/>
    </row>
    <row r="7669" spans="1:6" ht="15">
      <c r="A7669" s="51">
        <v>295912</v>
      </c>
      <c r="B7669" t="s">
        <v>1467</v>
      </c>
      <c r="C7669" s="39" t="s">
        <v>4086</v>
      </c>
      <c r="D7669">
        <v>8</v>
      </c>
      <c r="F7669" s="56"/>
    </row>
    <row r="7670" spans="1:6" ht="15">
      <c r="A7670" s="51">
        <v>295913</v>
      </c>
      <c r="B7670" t="s">
        <v>967</v>
      </c>
      <c r="C7670" s="39" t="s">
        <v>228</v>
      </c>
      <c r="D7670">
        <v>9</v>
      </c>
      <c r="F7670" s="56"/>
    </row>
    <row r="7671" spans="1:6" ht="15">
      <c r="A7671" s="51">
        <v>295914</v>
      </c>
      <c r="B7671" t="s">
        <v>1470</v>
      </c>
      <c r="C7671" s="39" t="s">
        <v>228</v>
      </c>
      <c r="D7671">
        <v>9</v>
      </c>
      <c r="F7671" s="56"/>
    </row>
    <row r="7672" spans="1:6" ht="15">
      <c r="A7672" s="51">
        <v>295915</v>
      </c>
      <c r="B7672" t="s">
        <v>2492</v>
      </c>
      <c r="C7672" s="39" t="s">
        <v>1474</v>
      </c>
      <c r="D7672" t="s">
        <v>4244</v>
      </c>
      <c r="F7672" s="56"/>
    </row>
    <row r="7673" spans="1:6" ht="15">
      <c r="A7673" s="51">
        <v>295916</v>
      </c>
      <c r="B7673" t="s">
        <v>2047</v>
      </c>
      <c r="C7673" s="39" t="s">
        <v>1474</v>
      </c>
      <c r="D7673" t="s">
        <v>4244</v>
      </c>
      <c r="F7673" s="56"/>
    </row>
    <row r="7674" spans="1:6" ht="15">
      <c r="A7674" s="51">
        <v>295917</v>
      </c>
      <c r="B7674" t="s">
        <v>2049</v>
      </c>
      <c r="C7674" s="39" t="s">
        <v>1474</v>
      </c>
      <c r="D7674" t="s">
        <v>4243</v>
      </c>
      <c r="F7674" s="56"/>
    </row>
    <row r="7675" spans="1:6" ht="15">
      <c r="A7675" s="51">
        <v>295918</v>
      </c>
      <c r="B7675" t="s">
        <v>4087</v>
      </c>
      <c r="C7675" s="39" t="s">
        <v>4088</v>
      </c>
      <c r="D7675">
        <v>8</v>
      </c>
      <c r="F7675" s="56"/>
    </row>
    <row r="7676" spans="1:6" ht="15">
      <c r="A7676" s="51">
        <v>295919</v>
      </c>
      <c r="B7676" t="s">
        <v>230</v>
      </c>
      <c r="C7676" s="39" t="s">
        <v>231</v>
      </c>
      <c r="D7676" t="s">
        <v>4244</v>
      </c>
      <c r="F7676" s="56"/>
    </row>
    <row r="7677" spans="1:6" ht="15">
      <c r="A7677" s="51">
        <v>295920</v>
      </c>
      <c r="B7677" t="s">
        <v>234</v>
      </c>
      <c r="C7677" s="39" t="s">
        <v>235</v>
      </c>
      <c r="D7677" t="s">
        <v>4244</v>
      </c>
      <c r="F7677" s="56"/>
    </row>
    <row r="7678" spans="1:6" ht="15">
      <c r="A7678" s="51">
        <v>295921</v>
      </c>
      <c r="B7678" t="s">
        <v>236</v>
      </c>
      <c r="C7678" s="39" t="s">
        <v>235</v>
      </c>
      <c r="D7678" t="s">
        <v>4244</v>
      </c>
      <c r="F7678" s="56"/>
    </row>
    <row r="7679" spans="1:6" ht="15">
      <c r="A7679" s="51">
        <v>295922</v>
      </c>
      <c r="B7679" t="s">
        <v>1111</v>
      </c>
      <c r="C7679" s="39" t="s">
        <v>1855</v>
      </c>
      <c r="D7679">
        <v>9</v>
      </c>
      <c r="F7679" s="56"/>
    </row>
    <row r="7680" spans="1:6" ht="15">
      <c r="A7680" s="51">
        <v>295923</v>
      </c>
      <c r="B7680" t="s">
        <v>240</v>
      </c>
      <c r="C7680" s="39" t="s">
        <v>4089</v>
      </c>
      <c r="D7680" t="s">
        <v>4249</v>
      </c>
      <c r="F7680" s="56"/>
    </row>
    <row r="7681" spans="1:6" ht="15">
      <c r="A7681" s="51">
        <v>295924</v>
      </c>
      <c r="B7681" t="s">
        <v>242</v>
      </c>
      <c r="C7681" s="39" t="s">
        <v>1488</v>
      </c>
      <c r="D7681" t="s">
        <v>4246</v>
      </c>
      <c r="F7681" s="56"/>
    </row>
    <row r="7682" spans="1:6" ht="15">
      <c r="A7682" s="51">
        <v>295925</v>
      </c>
      <c r="B7682" t="s">
        <v>245</v>
      </c>
      <c r="C7682" s="39" t="s">
        <v>1488</v>
      </c>
      <c r="D7682" t="s">
        <v>4246</v>
      </c>
      <c r="F7682" s="56"/>
    </row>
    <row r="7683" spans="1:6" ht="15">
      <c r="A7683" s="51">
        <v>295926</v>
      </c>
      <c r="B7683" t="s">
        <v>2765</v>
      </c>
      <c r="C7683" s="39" t="s">
        <v>1488</v>
      </c>
      <c r="D7683">
        <v>8</v>
      </c>
      <c r="F7683" s="56"/>
    </row>
    <row r="7684" spans="1:6" ht="15">
      <c r="A7684" s="51">
        <v>295927</v>
      </c>
      <c r="B7684" t="s">
        <v>425</v>
      </c>
      <c r="C7684" s="39" t="s">
        <v>426</v>
      </c>
      <c r="D7684" t="s">
        <v>4244</v>
      </c>
      <c r="F7684" s="56"/>
    </row>
    <row r="7685" spans="1:6" ht="15">
      <c r="A7685" s="51">
        <v>295928</v>
      </c>
      <c r="B7685" t="s">
        <v>1122</v>
      </c>
      <c r="C7685" s="39" t="s">
        <v>4090</v>
      </c>
      <c r="D7685" t="s">
        <v>4246</v>
      </c>
      <c r="F7685" s="56"/>
    </row>
    <row r="7686" spans="1:6" ht="15">
      <c r="A7686" s="51">
        <v>295929</v>
      </c>
      <c r="B7686" t="s">
        <v>1124</v>
      </c>
      <c r="C7686" s="39" t="s">
        <v>4090</v>
      </c>
      <c r="D7686" t="s">
        <v>4244</v>
      </c>
      <c r="F7686" s="56"/>
    </row>
    <row r="7687" spans="1:6" ht="15">
      <c r="A7687" s="51">
        <v>295930</v>
      </c>
      <c r="B7687" t="s">
        <v>1127</v>
      </c>
      <c r="C7687" s="39" t="s">
        <v>4090</v>
      </c>
      <c r="D7687">
        <v>7</v>
      </c>
      <c r="F7687" s="56"/>
    </row>
    <row r="7688" spans="1:6" ht="15">
      <c r="A7688" s="51">
        <v>295931</v>
      </c>
      <c r="B7688" t="s">
        <v>1584</v>
      </c>
      <c r="C7688" s="39" t="s">
        <v>4090</v>
      </c>
      <c r="D7688">
        <v>8</v>
      </c>
      <c r="F7688" s="56"/>
    </row>
    <row r="7689" spans="1:6" ht="15">
      <c r="A7689" s="51">
        <v>295932</v>
      </c>
      <c r="B7689" t="s">
        <v>1585</v>
      </c>
      <c r="C7689" s="39" t="s">
        <v>4090</v>
      </c>
      <c r="D7689">
        <v>9</v>
      </c>
      <c r="F7689" s="56"/>
    </row>
    <row r="7690" spans="1:6" ht="15">
      <c r="A7690" s="51">
        <v>295933</v>
      </c>
      <c r="B7690" t="s">
        <v>431</v>
      </c>
      <c r="C7690" s="39" t="s">
        <v>3580</v>
      </c>
      <c r="D7690" t="s">
        <v>4246</v>
      </c>
      <c r="F7690" s="56"/>
    </row>
    <row r="7691" spans="1:6" ht="15">
      <c r="A7691" s="51">
        <v>295934</v>
      </c>
      <c r="B7691" t="s">
        <v>436</v>
      </c>
      <c r="C7691" s="39" t="s">
        <v>437</v>
      </c>
      <c r="D7691" t="s">
        <v>4248</v>
      </c>
      <c r="F7691" s="56"/>
    </row>
    <row r="7692" spans="1:6" ht="15">
      <c r="A7692" s="51">
        <v>295935</v>
      </c>
      <c r="B7692" t="s">
        <v>257</v>
      </c>
      <c r="C7692" s="39" t="s">
        <v>258</v>
      </c>
      <c r="D7692">
        <v>9</v>
      </c>
      <c r="F7692" s="56"/>
    </row>
    <row r="7693" spans="1:6" ht="15">
      <c r="A7693" s="51">
        <v>295937</v>
      </c>
      <c r="B7693" t="s">
        <v>455</v>
      </c>
      <c r="C7693" s="39" t="s">
        <v>2270</v>
      </c>
      <c r="D7693" t="s">
        <v>4243</v>
      </c>
      <c r="F7693" s="56"/>
    </row>
    <row r="7694" spans="1:6" ht="15">
      <c r="A7694" s="51">
        <v>295938</v>
      </c>
      <c r="B7694" t="s">
        <v>4091</v>
      </c>
      <c r="C7694" s="39" t="s">
        <v>2319</v>
      </c>
      <c r="D7694" t="s">
        <v>4246</v>
      </c>
      <c r="F7694" s="56"/>
    </row>
    <row r="7695" spans="1:6" ht="15">
      <c r="A7695" s="51">
        <v>295939</v>
      </c>
      <c r="B7695" t="s">
        <v>2277</v>
      </c>
      <c r="C7695" s="39" t="s">
        <v>4092</v>
      </c>
      <c r="D7695">
        <v>8</v>
      </c>
      <c r="F7695" s="56"/>
    </row>
    <row r="7696" spans="1:6" ht="15">
      <c r="A7696" s="51">
        <v>295940</v>
      </c>
      <c r="B7696" t="s">
        <v>4093</v>
      </c>
      <c r="C7696" s="39" t="s">
        <v>4092</v>
      </c>
      <c r="D7696">
        <v>9</v>
      </c>
      <c r="F7696" s="56"/>
    </row>
    <row r="7697" spans="1:6" ht="15">
      <c r="A7697" s="51">
        <v>295941</v>
      </c>
      <c r="B7697" t="s">
        <v>972</v>
      </c>
      <c r="C7697" s="39" t="s">
        <v>1350</v>
      </c>
      <c r="D7697" t="s">
        <v>468</v>
      </c>
      <c r="F7697" s="56"/>
    </row>
    <row r="7698" spans="1:6" ht="15">
      <c r="A7698" s="51">
        <v>295945</v>
      </c>
      <c r="B7698" t="s">
        <v>2185</v>
      </c>
      <c r="C7698" s="39" t="s">
        <v>2804</v>
      </c>
      <c r="D7698" t="s">
        <v>4245</v>
      </c>
      <c r="F7698" s="56"/>
    </row>
    <row r="7699" spans="1:6" ht="15">
      <c r="A7699" s="51">
        <v>295946</v>
      </c>
      <c r="B7699" t="s">
        <v>994</v>
      </c>
      <c r="C7699" s="39" t="s">
        <v>2804</v>
      </c>
      <c r="D7699" t="s">
        <v>4245</v>
      </c>
      <c r="F7699" s="56"/>
    </row>
    <row r="7700" spans="1:6" ht="15">
      <c r="A7700" s="51">
        <v>295947</v>
      </c>
      <c r="B7700" t="s">
        <v>2686</v>
      </c>
      <c r="C7700" s="39" t="s">
        <v>1524</v>
      </c>
      <c r="D7700" t="s">
        <v>4245</v>
      </c>
      <c r="F7700" s="56"/>
    </row>
    <row r="7701" spans="1:6" ht="15">
      <c r="B7701" t="s">
        <v>2508</v>
      </c>
      <c r="C7701" s="39" t="s">
        <v>258</v>
      </c>
      <c r="D7701">
        <v>9</v>
      </c>
      <c r="F7701" s="56"/>
    </row>
    <row r="7702" spans="1:6" ht="15">
      <c r="A7702" s="51">
        <v>295948</v>
      </c>
      <c r="B7702" t="s">
        <v>2687</v>
      </c>
      <c r="C7702" s="39" t="s">
        <v>1524</v>
      </c>
      <c r="D7702" t="s">
        <v>4244</v>
      </c>
      <c r="F7702" s="56"/>
    </row>
    <row r="7703" spans="1:6" ht="15">
      <c r="A7703" s="51">
        <v>295949</v>
      </c>
      <c r="B7703" t="s">
        <v>3591</v>
      </c>
      <c r="C7703" s="39" t="s">
        <v>1524</v>
      </c>
      <c r="D7703" t="s">
        <v>4243</v>
      </c>
      <c r="F7703" s="56"/>
    </row>
    <row r="7704" spans="1:6" ht="15">
      <c r="A7704" s="51">
        <v>295950</v>
      </c>
      <c r="B7704" t="s">
        <v>1146</v>
      </c>
      <c r="C7704" s="39" t="s">
        <v>3590</v>
      </c>
      <c r="D7704" t="s">
        <v>4247</v>
      </c>
      <c r="F7704" s="56"/>
    </row>
    <row r="7705" spans="1:6" ht="15">
      <c r="A7705" s="51">
        <v>295951</v>
      </c>
      <c r="B7705" t="s">
        <v>1361</v>
      </c>
      <c r="C7705" s="39" t="s">
        <v>3590</v>
      </c>
      <c r="D7705" t="s">
        <v>4244</v>
      </c>
      <c r="F7705" s="56"/>
    </row>
    <row r="7706" spans="1:6" ht="15">
      <c r="A7706" s="51">
        <v>295942</v>
      </c>
      <c r="B7706" t="s">
        <v>4094</v>
      </c>
      <c r="C7706" s="39" t="s">
        <v>3590</v>
      </c>
      <c r="D7706">
        <v>7</v>
      </c>
      <c r="F7706" s="56"/>
    </row>
    <row r="7707" spans="1:6" ht="15">
      <c r="A7707" s="51">
        <v>295943</v>
      </c>
      <c r="B7707" t="s">
        <v>4095</v>
      </c>
      <c r="C7707" s="39" t="s">
        <v>1524</v>
      </c>
      <c r="D7707">
        <v>8</v>
      </c>
      <c r="F7707" s="56"/>
    </row>
    <row r="7708" spans="1:6" ht="15">
      <c r="A7708" s="51">
        <v>295944</v>
      </c>
      <c r="B7708" t="s">
        <v>4096</v>
      </c>
      <c r="C7708" s="39" t="s">
        <v>1524</v>
      </c>
      <c r="D7708">
        <v>9</v>
      </c>
      <c r="F7708" s="56"/>
    </row>
    <row r="7709" spans="1:6" ht="15">
      <c r="A7709" s="51">
        <v>295954</v>
      </c>
      <c r="B7709" t="s">
        <v>338</v>
      </c>
      <c r="C7709" s="39" t="s">
        <v>3453</v>
      </c>
      <c r="D7709" t="s">
        <v>4243</v>
      </c>
      <c r="F7709" s="56"/>
    </row>
    <row r="7710" spans="1:6" ht="15">
      <c r="A7710" s="51">
        <v>1914141</v>
      </c>
      <c r="B7710" t="s">
        <v>3529</v>
      </c>
      <c r="C7710" s="39" t="s">
        <v>1692</v>
      </c>
      <c r="D7710">
        <v>8</v>
      </c>
      <c r="F7710" s="56"/>
    </row>
    <row r="7711" spans="1:6" ht="15">
      <c r="A7711" s="51">
        <v>1914142</v>
      </c>
      <c r="B7711" t="s">
        <v>3532</v>
      </c>
      <c r="C7711" s="39" t="s">
        <v>1692</v>
      </c>
      <c r="D7711">
        <v>9</v>
      </c>
      <c r="F7711" s="56"/>
    </row>
    <row r="7712" spans="1:6" ht="15">
      <c r="A7712" s="51">
        <v>295955</v>
      </c>
      <c r="B7712" t="s">
        <v>345</v>
      </c>
      <c r="C7712" s="39" t="s">
        <v>346</v>
      </c>
      <c r="D7712" t="s">
        <v>4246</v>
      </c>
      <c r="F7712" s="56"/>
    </row>
    <row r="7713" spans="1:6" ht="15">
      <c r="A7713" s="51">
        <v>295956</v>
      </c>
      <c r="B7713" t="s">
        <v>347</v>
      </c>
      <c r="C7713" s="39" t="s">
        <v>346</v>
      </c>
      <c r="D7713" t="s">
        <v>4246</v>
      </c>
      <c r="F7713" s="56"/>
    </row>
    <row r="7714" spans="1:6" ht="15">
      <c r="A7714" s="51">
        <v>295957</v>
      </c>
      <c r="B7714" t="s">
        <v>354</v>
      </c>
      <c r="C7714" s="39" t="s">
        <v>355</v>
      </c>
      <c r="D7714" t="s">
        <v>4247</v>
      </c>
      <c r="F7714" s="56"/>
    </row>
    <row r="7715" spans="1:6" ht="15">
      <c r="A7715" s="51">
        <v>295958</v>
      </c>
      <c r="B7715" t="s">
        <v>850</v>
      </c>
      <c r="C7715" s="39" t="s">
        <v>1980</v>
      </c>
      <c r="D7715" t="s">
        <v>4243</v>
      </c>
      <c r="F7715" s="56"/>
    </row>
    <row r="7716" spans="1:6" ht="15">
      <c r="A7716" s="51">
        <v>295962</v>
      </c>
      <c r="B7716" t="s">
        <v>131</v>
      </c>
      <c r="C7716" s="39" t="s">
        <v>132</v>
      </c>
      <c r="D7716" t="s">
        <v>471</v>
      </c>
      <c r="F7716" s="56"/>
    </row>
    <row r="7717" spans="1:6" ht="15">
      <c r="A7717" s="51">
        <v>295959</v>
      </c>
      <c r="B7717" t="s">
        <v>4097</v>
      </c>
      <c r="C7717" s="39" t="s">
        <v>134</v>
      </c>
      <c r="D7717">
        <v>8</v>
      </c>
      <c r="F7717" s="56"/>
    </row>
    <row r="7718" spans="1:6" ht="15">
      <c r="A7718" s="51">
        <v>295960</v>
      </c>
      <c r="B7718" t="s">
        <v>4098</v>
      </c>
      <c r="C7718" s="39" t="s">
        <v>134</v>
      </c>
      <c r="D7718">
        <v>9</v>
      </c>
      <c r="F7718" s="56"/>
    </row>
    <row r="7719" spans="1:6" ht="15">
      <c r="A7719" s="51">
        <v>295961</v>
      </c>
      <c r="B7719" t="s">
        <v>3102</v>
      </c>
      <c r="C7719" s="39" t="s">
        <v>3103</v>
      </c>
      <c r="D7719">
        <v>9</v>
      </c>
      <c r="F7719" s="56"/>
    </row>
    <row r="7720" spans="1:6" ht="15">
      <c r="A7720" s="51">
        <v>295963</v>
      </c>
      <c r="B7720" t="s">
        <v>1023</v>
      </c>
      <c r="C7720" s="39" t="s">
        <v>1024</v>
      </c>
      <c r="D7720" t="s">
        <v>4243</v>
      </c>
      <c r="F7720" s="56"/>
    </row>
    <row r="7721" spans="1:6" ht="15">
      <c r="A7721" s="51">
        <v>295969</v>
      </c>
      <c r="B7721" t="s">
        <v>372</v>
      </c>
      <c r="C7721" s="39" t="s">
        <v>896</v>
      </c>
      <c r="D7721">
        <v>8</v>
      </c>
      <c r="F7721" s="56"/>
    </row>
    <row r="7722" spans="1:6" ht="15">
      <c r="A7722" s="51">
        <v>295970</v>
      </c>
      <c r="B7722" t="s">
        <v>143</v>
      </c>
      <c r="C7722" s="39" t="s">
        <v>373</v>
      </c>
      <c r="D7722" t="s">
        <v>4248</v>
      </c>
      <c r="F7722" s="56"/>
    </row>
    <row r="7723" spans="1:6" ht="15">
      <c r="A7723" s="51">
        <v>295971</v>
      </c>
      <c r="B7723" t="s">
        <v>2840</v>
      </c>
      <c r="C7723" s="39" t="s">
        <v>2003</v>
      </c>
      <c r="D7723" t="s">
        <v>4248</v>
      </c>
      <c r="F7723" s="56"/>
    </row>
    <row r="7724" spans="1:6" ht="15">
      <c r="A7724" s="51">
        <v>295972</v>
      </c>
      <c r="B7724" t="s">
        <v>2000</v>
      </c>
      <c r="C7724" s="39" t="s">
        <v>2003</v>
      </c>
      <c r="D7724" t="s">
        <v>4246</v>
      </c>
      <c r="F7724" s="56"/>
    </row>
    <row r="7725" spans="1:6" ht="15">
      <c r="A7725" s="51">
        <v>295973</v>
      </c>
      <c r="B7725" t="s">
        <v>1649</v>
      </c>
      <c r="C7725" s="39" t="s">
        <v>2003</v>
      </c>
      <c r="D7725" t="s">
        <v>4244</v>
      </c>
      <c r="F7725" s="56"/>
    </row>
    <row r="7726" spans="1:6" ht="15">
      <c r="A7726" s="51">
        <v>295974</v>
      </c>
      <c r="B7726" t="s">
        <v>2001</v>
      </c>
      <c r="C7726" s="39" t="s">
        <v>2003</v>
      </c>
      <c r="D7726" t="s">
        <v>4243</v>
      </c>
      <c r="F7726" s="56"/>
    </row>
    <row r="7727" spans="1:6" ht="15">
      <c r="A7727" s="51">
        <v>295975</v>
      </c>
      <c r="B7727" t="s">
        <v>147</v>
      </c>
      <c r="C7727" s="39" t="s">
        <v>148</v>
      </c>
      <c r="D7727" t="s">
        <v>4245</v>
      </c>
      <c r="F7727" s="56"/>
    </row>
    <row r="7728" spans="1:6" ht="15">
      <c r="A7728" s="51">
        <v>295976</v>
      </c>
      <c r="B7728" t="s">
        <v>149</v>
      </c>
      <c r="C7728" s="39" t="s">
        <v>148</v>
      </c>
      <c r="D7728" t="s">
        <v>4246</v>
      </c>
      <c r="F7728" s="56"/>
    </row>
    <row r="7729" spans="1:6" ht="15">
      <c r="A7729" s="51">
        <v>295964</v>
      </c>
      <c r="B7729" t="s">
        <v>4099</v>
      </c>
      <c r="C7729" s="39" t="s">
        <v>4100</v>
      </c>
      <c r="D7729">
        <v>8</v>
      </c>
      <c r="F7729" s="56"/>
    </row>
    <row r="7730" spans="1:6" ht="15">
      <c r="A7730" s="51">
        <v>295965</v>
      </c>
      <c r="B7730" t="s">
        <v>4101</v>
      </c>
      <c r="C7730" s="39" t="s">
        <v>2009</v>
      </c>
      <c r="D7730">
        <v>7</v>
      </c>
      <c r="F7730" s="56"/>
    </row>
    <row r="7731" spans="1:6" ht="15">
      <c r="A7731" s="51">
        <v>295977</v>
      </c>
      <c r="B7731" t="s">
        <v>376</v>
      </c>
      <c r="C7731" s="39" t="s">
        <v>1538</v>
      </c>
      <c r="D7731" t="s">
        <v>4246</v>
      </c>
      <c r="F7731" s="56"/>
    </row>
    <row r="7732" spans="1:6" ht="15">
      <c r="A7732" s="51">
        <v>295978</v>
      </c>
      <c r="B7732" t="s">
        <v>377</v>
      </c>
      <c r="C7732" s="39" t="s">
        <v>1538</v>
      </c>
      <c r="D7732" t="s">
        <v>4247</v>
      </c>
      <c r="F7732" s="56"/>
    </row>
    <row r="7733" spans="1:6" ht="15">
      <c r="A7733" s="51">
        <v>295979</v>
      </c>
      <c r="B7733" t="s">
        <v>378</v>
      </c>
      <c r="C7733" s="39" t="s">
        <v>1538</v>
      </c>
      <c r="D7733" t="s">
        <v>4243</v>
      </c>
      <c r="F7733" s="56"/>
    </row>
    <row r="7734" spans="1:6" ht="15">
      <c r="A7734" s="51">
        <v>295966</v>
      </c>
      <c r="B7734" t="s">
        <v>4102</v>
      </c>
      <c r="C7734" s="39" t="s">
        <v>1538</v>
      </c>
      <c r="D7734">
        <v>7</v>
      </c>
      <c r="F7734" s="56"/>
    </row>
    <row r="7735" spans="1:6" ht="15">
      <c r="A7735" s="51">
        <v>295967</v>
      </c>
      <c r="B7735" t="s">
        <v>3105</v>
      </c>
      <c r="C7735" s="39" t="s">
        <v>4103</v>
      </c>
      <c r="D7735">
        <v>9</v>
      </c>
      <c r="F7735" s="56"/>
    </row>
    <row r="7736" spans="1:6" ht="15">
      <c r="A7736" s="51">
        <v>295980</v>
      </c>
      <c r="B7736" t="s">
        <v>1543</v>
      </c>
      <c r="C7736" s="39" t="s">
        <v>380</v>
      </c>
      <c r="D7736" t="s">
        <v>4246</v>
      </c>
      <c r="F7736" s="56"/>
    </row>
    <row r="7737" spans="1:6" ht="15">
      <c r="A7737" s="51">
        <v>295981</v>
      </c>
      <c r="B7737" t="s">
        <v>1544</v>
      </c>
      <c r="C7737" s="39" t="s">
        <v>380</v>
      </c>
      <c r="D7737" t="s">
        <v>4244</v>
      </c>
      <c r="F7737" s="56"/>
    </row>
    <row r="7738" spans="1:6" ht="15">
      <c r="A7738" s="51">
        <v>295982</v>
      </c>
      <c r="B7738" t="s">
        <v>1545</v>
      </c>
      <c r="C7738" s="39" t="s">
        <v>380</v>
      </c>
      <c r="D7738">
        <v>7</v>
      </c>
      <c r="F7738" s="56"/>
    </row>
    <row r="7739" spans="1:6" ht="15">
      <c r="A7739" s="51">
        <v>295968</v>
      </c>
      <c r="B7739" t="s">
        <v>4104</v>
      </c>
      <c r="C7739" s="39" t="s">
        <v>1542</v>
      </c>
      <c r="D7739">
        <v>8</v>
      </c>
      <c r="F7739" s="56"/>
    </row>
    <row r="7740" spans="1:6" ht="15">
      <c r="A7740" s="51">
        <v>295983</v>
      </c>
      <c r="B7740" t="s">
        <v>2850</v>
      </c>
      <c r="C7740" s="39" t="s">
        <v>2016</v>
      </c>
      <c r="D7740" t="s">
        <v>4244</v>
      </c>
      <c r="F7740" s="56"/>
    </row>
    <row r="7741" spans="1:6" ht="15">
      <c r="A7741" s="51">
        <v>295984</v>
      </c>
      <c r="B7741" t="s">
        <v>2210</v>
      </c>
      <c r="C7741" s="39" t="s">
        <v>2016</v>
      </c>
      <c r="D7741" t="s">
        <v>4244</v>
      </c>
      <c r="F7741" s="56"/>
    </row>
    <row r="7742" spans="1:6" ht="15">
      <c r="A7742" s="51">
        <v>295985</v>
      </c>
      <c r="B7742" t="s">
        <v>3043</v>
      </c>
      <c r="C7742" s="39" t="s">
        <v>1559</v>
      </c>
      <c r="D7742">
        <v>7</v>
      </c>
      <c r="F7742" s="56"/>
    </row>
    <row r="7743" spans="1:6" ht="15">
      <c r="A7743" s="51">
        <v>295986</v>
      </c>
      <c r="B7743" t="s">
        <v>393</v>
      </c>
      <c r="C7743" s="39" t="s">
        <v>394</v>
      </c>
      <c r="D7743">
        <v>7</v>
      </c>
      <c r="F7743" s="56"/>
    </row>
    <row r="7744" spans="1:6" ht="15">
      <c r="A7744" s="51">
        <v>295987</v>
      </c>
      <c r="B7744" t="s">
        <v>4105</v>
      </c>
      <c r="C7744" s="39" t="s">
        <v>405</v>
      </c>
      <c r="D7744">
        <v>8</v>
      </c>
      <c r="F7744" s="56"/>
    </row>
    <row r="7745" spans="1:6" ht="15">
      <c r="A7745" s="51">
        <v>295988</v>
      </c>
      <c r="B7745" t="s">
        <v>4106</v>
      </c>
      <c r="C7745" s="39" t="s">
        <v>1764</v>
      </c>
      <c r="D7745">
        <v>8</v>
      </c>
      <c r="F7745" s="56"/>
    </row>
    <row r="7746" spans="1:6" ht="15">
      <c r="A7746" s="51">
        <v>295989</v>
      </c>
      <c r="B7746" t="s">
        <v>4049</v>
      </c>
      <c r="C7746" s="39" t="s">
        <v>1764</v>
      </c>
      <c r="D7746">
        <v>9</v>
      </c>
      <c r="F7746" s="56"/>
    </row>
    <row r="7747" spans="1:6" ht="15">
      <c r="A7747" s="51">
        <v>296000</v>
      </c>
      <c r="B7747" t="s">
        <v>1571</v>
      </c>
      <c r="C7747" s="39" t="s">
        <v>696</v>
      </c>
      <c r="D7747" t="s">
        <v>4243</v>
      </c>
      <c r="F7747" s="56"/>
    </row>
    <row r="7748" spans="1:6" ht="15">
      <c r="A7748" s="51">
        <v>295993</v>
      </c>
      <c r="B7748" t="s">
        <v>1254</v>
      </c>
      <c r="C7748" s="39" t="s">
        <v>3471</v>
      </c>
      <c r="D7748" t="s">
        <v>4244</v>
      </c>
      <c r="F7748" s="56"/>
    </row>
    <row r="7749" spans="1:6" ht="15">
      <c r="A7749" s="51">
        <v>295994</v>
      </c>
      <c r="B7749" t="s">
        <v>1255</v>
      </c>
      <c r="C7749" s="39" t="s">
        <v>3471</v>
      </c>
      <c r="D7749">
        <v>7</v>
      </c>
      <c r="F7749" s="56"/>
    </row>
    <row r="7750" spans="1:6" ht="15">
      <c r="A7750" s="51">
        <v>295990</v>
      </c>
      <c r="B7750" t="s">
        <v>4107</v>
      </c>
      <c r="C7750" s="39" t="s">
        <v>3471</v>
      </c>
      <c r="D7750">
        <v>8</v>
      </c>
      <c r="F7750" s="56"/>
    </row>
    <row r="7751" spans="1:6" ht="15">
      <c r="A7751" s="51">
        <v>295991</v>
      </c>
      <c r="B7751" t="s">
        <v>4108</v>
      </c>
      <c r="C7751" s="39" t="s">
        <v>4109</v>
      </c>
      <c r="D7751">
        <v>9</v>
      </c>
      <c r="F7751" s="56"/>
    </row>
    <row r="7752" spans="1:6" ht="15">
      <c r="A7752" s="51">
        <v>295995</v>
      </c>
      <c r="B7752" t="s">
        <v>3907</v>
      </c>
      <c r="C7752" s="39" t="s">
        <v>3193</v>
      </c>
      <c r="D7752" t="s">
        <v>4244</v>
      </c>
      <c r="F7752" s="56"/>
    </row>
    <row r="7753" spans="1:6" ht="15">
      <c r="A7753" s="51">
        <v>295996</v>
      </c>
      <c r="B7753" t="s">
        <v>3364</v>
      </c>
      <c r="C7753" s="39" t="s">
        <v>3193</v>
      </c>
      <c r="D7753" t="s">
        <v>4244</v>
      </c>
      <c r="F7753" s="56"/>
    </row>
    <row r="7754" spans="1:6" ht="15">
      <c r="A7754" s="51">
        <v>295992</v>
      </c>
      <c r="B7754" t="s">
        <v>4110</v>
      </c>
      <c r="C7754" s="39" t="s">
        <v>3193</v>
      </c>
      <c r="D7754">
        <v>8</v>
      </c>
      <c r="F7754" s="56"/>
    </row>
    <row r="7755" spans="1:6" ht="15">
      <c r="A7755" s="51">
        <v>295998</v>
      </c>
      <c r="B7755" t="s">
        <v>1097</v>
      </c>
      <c r="C7755" s="39" t="s">
        <v>2314</v>
      </c>
      <c r="D7755" t="s">
        <v>1596</v>
      </c>
      <c r="F7755" s="56"/>
    </row>
    <row r="7756" spans="1:6" ht="15">
      <c r="A7756" s="51">
        <v>295999</v>
      </c>
      <c r="B7756" t="s">
        <v>1099</v>
      </c>
      <c r="C7756" s="39" t="s">
        <v>2314</v>
      </c>
      <c r="D7756" t="s">
        <v>471</v>
      </c>
      <c r="F7756" s="56"/>
    </row>
    <row r="7757" spans="1:6" ht="15">
      <c r="A7757" s="51">
        <v>296001</v>
      </c>
      <c r="B7757" t="s">
        <v>1475</v>
      </c>
      <c r="C7757" s="39" t="s">
        <v>2041</v>
      </c>
      <c r="D7757" t="s">
        <v>4246</v>
      </c>
      <c r="F7757" s="56"/>
    </row>
    <row r="7758" spans="1:6" ht="15">
      <c r="A7758" s="51">
        <v>296002</v>
      </c>
      <c r="B7758" t="s">
        <v>1476</v>
      </c>
      <c r="C7758" s="39" t="s">
        <v>2041</v>
      </c>
      <c r="D7758" t="s">
        <v>4244</v>
      </c>
      <c r="F7758" s="56"/>
    </row>
    <row r="7759" spans="1:6" ht="15">
      <c r="A7759" s="51">
        <v>295997</v>
      </c>
      <c r="B7759" t="s">
        <v>4111</v>
      </c>
      <c r="C7759" s="39" t="s">
        <v>4112</v>
      </c>
      <c r="D7759">
        <v>8</v>
      </c>
      <c r="F7759" s="56"/>
    </row>
    <row r="7760" spans="1:6" ht="15">
      <c r="A7760" s="51">
        <v>296006</v>
      </c>
      <c r="B7760" t="s">
        <v>234</v>
      </c>
      <c r="C7760" s="39" t="s">
        <v>235</v>
      </c>
      <c r="D7760" t="s">
        <v>4244</v>
      </c>
      <c r="F7760" s="56"/>
    </row>
    <row r="7761" spans="1:6" ht="15">
      <c r="A7761" s="51">
        <v>296007</v>
      </c>
      <c r="B7761" t="s">
        <v>236</v>
      </c>
      <c r="C7761" s="39" t="s">
        <v>235</v>
      </c>
      <c r="D7761" t="s">
        <v>4244</v>
      </c>
      <c r="F7761" s="56"/>
    </row>
    <row r="7762" spans="1:6" ht="15">
      <c r="A7762" s="51">
        <v>296003</v>
      </c>
      <c r="B7762" t="s">
        <v>3487</v>
      </c>
      <c r="C7762" s="39" t="s">
        <v>3485</v>
      </c>
      <c r="D7762">
        <v>9</v>
      </c>
      <c r="F7762" s="56"/>
    </row>
    <row r="7763" spans="1:6" ht="15">
      <c r="A7763" s="51">
        <v>296004</v>
      </c>
      <c r="B7763" t="s">
        <v>4113</v>
      </c>
      <c r="C7763" s="39" t="s">
        <v>4114</v>
      </c>
      <c r="D7763">
        <v>9</v>
      </c>
      <c r="F7763" s="56"/>
    </row>
    <row r="7764" spans="1:6" ht="15">
      <c r="A7764" s="51">
        <v>296005</v>
      </c>
      <c r="B7764" t="s">
        <v>4115</v>
      </c>
      <c r="C7764" s="39" t="s">
        <v>4114</v>
      </c>
      <c r="D7764">
        <v>9</v>
      </c>
      <c r="F7764" s="56"/>
    </row>
    <row r="7765" spans="1:6" ht="15">
      <c r="B7765" t="s">
        <v>3500</v>
      </c>
      <c r="C7765" s="39" t="s">
        <v>258</v>
      </c>
      <c r="D7765">
        <v>9</v>
      </c>
      <c r="F7765" s="56"/>
    </row>
    <row r="7766" spans="1:6" ht="15">
      <c r="A7766" s="51">
        <v>296011</v>
      </c>
      <c r="B7766" t="s">
        <v>240</v>
      </c>
      <c r="C7766" s="39" t="s">
        <v>2244</v>
      </c>
      <c r="D7766">
        <v>8</v>
      </c>
      <c r="F7766" s="56"/>
    </row>
    <row r="7767" spans="1:6" ht="15">
      <c r="A7767" s="51">
        <v>296008</v>
      </c>
      <c r="B7767" t="s">
        <v>4116</v>
      </c>
      <c r="C7767" s="39" t="s">
        <v>2966</v>
      </c>
      <c r="D7767" t="s">
        <v>4249</v>
      </c>
      <c r="F7767" s="56"/>
    </row>
    <row r="7768" spans="1:6" ht="15">
      <c r="A7768" s="51">
        <v>296012</v>
      </c>
      <c r="B7768" t="s">
        <v>242</v>
      </c>
      <c r="C7768" s="39" t="s">
        <v>1118</v>
      </c>
      <c r="D7768" t="s">
        <v>4243</v>
      </c>
      <c r="F7768" s="56"/>
    </row>
    <row r="7769" spans="1:6" ht="15">
      <c r="A7769" s="51">
        <v>296013</v>
      </c>
      <c r="B7769" t="s">
        <v>245</v>
      </c>
      <c r="C7769" s="39" t="s">
        <v>1118</v>
      </c>
      <c r="D7769" t="s">
        <v>4243</v>
      </c>
      <c r="F7769" s="56"/>
    </row>
    <row r="7770" spans="1:6" ht="15">
      <c r="A7770" s="51">
        <v>296009</v>
      </c>
      <c r="B7770" t="s">
        <v>4117</v>
      </c>
      <c r="C7770" s="39" t="s">
        <v>1118</v>
      </c>
      <c r="D7770">
        <v>8</v>
      </c>
      <c r="F7770" s="56"/>
    </row>
    <row r="7771" spans="1:6" ht="15">
      <c r="A7771" s="51">
        <v>296014</v>
      </c>
      <c r="B7771" t="s">
        <v>1778</v>
      </c>
      <c r="C7771" s="39" t="s">
        <v>1589</v>
      </c>
      <c r="D7771">
        <v>7</v>
      </c>
      <c r="F7771" s="56"/>
    </row>
    <row r="7772" spans="1:6" ht="15">
      <c r="A7772" s="51">
        <v>296010</v>
      </c>
      <c r="B7772" t="s">
        <v>4118</v>
      </c>
      <c r="C7772" s="39" t="s">
        <v>1589</v>
      </c>
      <c r="D7772">
        <v>8</v>
      </c>
      <c r="F7772" s="56"/>
    </row>
    <row r="7773" spans="1:6" ht="15">
      <c r="A7773" s="51">
        <v>296015</v>
      </c>
      <c r="B7773" t="s">
        <v>432</v>
      </c>
      <c r="C7773" s="39" t="s">
        <v>433</v>
      </c>
      <c r="D7773" t="s">
        <v>4245</v>
      </c>
      <c r="F7773" s="56"/>
    </row>
    <row r="7774" spans="1:6" ht="15">
      <c r="A7774" s="51">
        <v>296016</v>
      </c>
      <c r="B7774" t="s">
        <v>2086</v>
      </c>
      <c r="C7774" s="39" t="s">
        <v>2087</v>
      </c>
      <c r="D7774" t="s">
        <v>4247</v>
      </c>
      <c r="F7774" s="56"/>
    </row>
    <row r="7775" spans="1:6" ht="15">
      <c r="A7775" s="51">
        <v>296017</v>
      </c>
      <c r="B7775" t="s">
        <v>2088</v>
      </c>
      <c r="C7775" s="39" t="s">
        <v>2087</v>
      </c>
      <c r="D7775" t="s">
        <v>4244</v>
      </c>
      <c r="F7775" s="56"/>
    </row>
    <row r="7776" spans="1:6" ht="15">
      <c r="A7776" s="51">
        <v>296018</v>
      </c>
      <c r="B7776" t="s">
        <v>2089</v>
      </c>
      <c r="C7776" s="39" t="s">
        <v>2087</v>
      </c>
      <c r="D7776">
        <v>7</v>
      </c>
      <c r="F7776" s="56"/>
    </row>
    <row r="7777" spans="1:6" ht="15">
      <c r="A7777" s="51">
        <v>296019</v>
      </c>
      <c r="B7777" t="s">
        <v>455</v>
      </c>
      <c r="C7777" s="39" t="s">
        <v>550</v>
      </c>
      <c r="D7777" t="s">
        <v>4244</v>
      </c>
      <c r="F7777" s="56"/>
    </row>
    <row r="7778" spans="1:6" ht="15">
      <c r="A7778" s="51">
        <v>295693</v>
      </c>
      <c r="B7778" t="s">
        <v>2604</v>
      </c>
      <c r="C7778" s="39" t="s">
        <v>3256</v>
      </c>
      <c r="D7778" t="s">
        <v>4243</v>
      </c>
      <c r="F7778" s="56"/>
    </row>
    <row r="7779" spans="1:6" ht="15">
      <c r="A7779" s="51">
        <v>295692</v>
      </c>
      <c r="B7779" t="s">
        <v>4119</v>
      </c>
      <c r="C7779" s="39" t="s">
        <v>835</v>
      </c>
      <c r="D7779">
        <v>9</v>
      </c>
      <c r="F7779" s="56"/>
    </row>
    <row r="7780" spans="1:6" ht="15">
      <c r="A7780" s="51">
        <v>295694</v>
      </c>
      <c r="B7780" t="s">
        <v>2672</v>
      </c>
      <c r="C7780" s="39" t="s">
        <v>971</v>
      </c>
      <c r="D7780" t="s">
        <v>4246</v>
      </c>
      <c r="F7780" s="56"/>
    </row>
    <row r="7781" spans="1:6" ht="15">
      <c r="A7781" s="51">
        <v>295695</v>
      </c>
      <c r="B7781" t="s">
        <v>1342</v>
      </c>
      <c r="C7781" s="39" t="s">
        <v>971</v>
      </c>
      <c r="D7781" t="s">
        <v>4246</v>
      </c>
      <c r="F7781" s="56"/>
    </row>
    <row r="7782" spans="1:6" ht="15">
      <c r="A7782" s="51">
        <v>295696</v>
      </c>
      <c r="B7782" t="s">
        <v>3518</v>
      </c>
      <c r="C7782" s="39" t="s">
        <v>971</v>
      </c>
      <c r="D7782" t="s">
        <v>4244</v>
      </c>
      <c r="F7782" s="56"/>
    </row>
    <row r="7783" spans="1:6" ht="15">
      <c r="A7783" s="51">
        <v>295697</v>
      </c>
      <c r="B7783" t="s">
        <v>4120</v>
      </c>
      <c r="C7783" s="39" t="s">
        <v>971</v>
      </c>
      <c r="D7783" t="s">
        <v>4243</v>
      </c>
      <c r="F7783" s="56"/>
    </row>
    <row r="7784" spans="1:6" ht="15">
      <c r="A7784" s="51">
        <v>295698</v>
      </c>
      <c r="B7784" t="s">
        <v>1142</v>
      </c>
      <c r="C7784" s="39" t="s">
        <v>971</v>
      </c>
      <c r="D7784" t="s">
        <v>4246</v>
      </c>
      <c r="F7784" s="56"/>
    </row>
    <row r="7785" spans="1:6" ht="15">
      <c r="A7785" s="51">
        <v>295699</v>
      </c>
      <c r="B7785" t="s">
        <v>1143</v>
      </c>
      <c r="C7785" s="39" t="s">
        <v>971</v>
      </c>
      <c r="D7785" t="s">
        <v>4247</v>
      </c>
      <c r="F7785" s="56"/>
    </row>
    <row r="7786" spans="1:6" ht="15">
      <c r="A7786" s="51">
        <v>295700</v>
      </c>
      <c r="B7786" t="s">
        <v>3790</v>
      </c>
      <c r="C7786" s="39" t="s">
        <v>1352</v>
      </c>
      <c r="D7786" t="s">
        <v>469</v>
      </c>
      <c r="F7786" s="56"/>
    </row>
    <row r="7787" spans="1:6" ht="15">
      <c r="A7787" s="51">
        <v>295701</v>
      </c>
      <c r="B7787" t="s">
        <v>1791</v>
      </c>
      <c r="C7787" s="39" t="s">
        <v>1792</v>
      </c>
      <c r="D7787">
        <v>9</v>
      </c>
      <c r="F7787" s="56"/>
    </row>
    <row r="7788" spans="1:6" ht="15">
      <c r="A7788" s="51">
        <v>295702</v>
      </c>
      <c r="B7788" t="s">
        <v>2688</v>
      </c>
      <c r="C7788" s="39" t="s">
        <v>1363</v>
      </c>
      <c r="D7788" t="s">
        <v>4245</v>
      </c>
      <c r="F7788" s="56"/>
    </row>
    <row r="7789" spans="1:6" ht="15">
      <c r="A7789" s="51">
        <v>295703</v>
      </c>
      <c r="B7789" t="s">
        <v>1967</v>
      </c>
      <c r="C7789" s="39" t="s">
        <v>1363</v>
      </c>
      <c r="D7789" t="s">
        <v>4245</v>
      </c>
      <c r="F7789" s="56"/>
    </row>
    <row r="7790" spans="1:6" ht="15">
      <c r="A7790" s="51">
        <v>295704</v>
      </c>
      <c r="B7790" t="s">
        <v>2606</v>
      </c>
      <c r="C7790" s="39" t="s">
        <v>1363</v>
      </c>
      <c r="D7790" t="s">
        <v>4244</v>
      </c>
      <c r="F7790" s="56"/>
    </row>
    <row r="7791" spans="1:6" ht="15">
      <c r="A7791" s="51">
        <v>295707</v>
      </c>
      <c r="B7791" t="s">
        <v>338</v>
      </c>
      <c r="C7791" s="39" t="s">
        <v>99</v>
      </c>
      <c r="D7791">
        <v>7</v>
      </c>
      <c r="F7791" s="56"/>
    </row>
    <row r="7792" spans="1:6" ht="15">
      <c r="A7792" s="51">
        <v>295708</v>
      </c>
      <c r="B7792" t="s">
        <v>101</v>
      </c>
      <c r="C7792" s="39" t="s">
        <v>104</v>
      </c>
      <c r="D7792" t="s">
        <v>4243</v>
      </c>
      <c r="F7792" s="56"/>
    </row>
    <row r="7793" spans="1:6" ht="15">
      <c r="A7793" s="51">
        <v>295709</v>
      </c>
      <c r="B7793" t="s">
        <v>340</v>
      </c>
      <c r="C7793" s="39" t="s">
        <v>999</v>
      </c>
      <c r="D7793" t="s">
        <v>468</v>
      </c>
      <c r="F7793" s="56"/>
    </row>
    <row r="7794" spans="1:6" ht="15">
      <c r="A7794" s="51">
        <v>295710</v>
      </c>
      <c r="B7794" t="s">
        <v>1000</v>
      </c>
      <c r="C7794" s="39" t="s">
        <v>999</v>
      </c>
      <c r="D7794" t="s">
        <v>469</v>
      </c>
      <c r="F7794" s="56"/>
    </row>
    <row r="7795" spans="1:6" ht="15">
      <c r="A7795" s="51">
        <v>295711</v>
      </c>
      <c r="B7795" t="s">
        <v>348</v>
      </c>
      <c r="C7795" s="39" t="s">
        <v>999</v>
      </c>
      <c r="D7795" t="s">
        <v>1596</v>
      </c>
      <c r="F7795" s="56"/>
    </row>
    <row r="7796" spans="1:6" ht="15">
      <c r="A7796" s="51">
        <v>295712</v>
      </c>
      <c r="B7796" t="s">
        <v>350</v>
      </c>
      <c r="C7796" s="39" t="s">
        <v>999</v>
      </c>
      <c r="D7796" t="s">
        <v>1596</v>
      </c>
      <c r="F7796" s="56"/>
    </row>
    <row r="7797" spans="1:6" ht="15">
      <c r="A7797" s="51">
        <v>295713</v>
      </c>
      <c r="B7797" t="s">
        <v>116</v>
      </c>
      <c r="C7797" s="39" t="s">
        <v>4121</v>
      </c>
      <c r="D7797" t="s">
        <v>4243</v>
      </c>
      <c r="F7797" s="56"/>
    </row>
    <row r="7798" spans="1:6" ht="15">
      <c r="A7798" s="51">
        <v>295714</v>
      </c>
      <c r="B7798" t="s">
        <v>1705</v>
      </c>
      <c r="C7798" s="39" t="s">
        <v>542</v>
      </c>
      <c r="D7798" t="s">
        <v>4246</v>
      </c>
      <c r="F7798" s="56"/>
    </row>
    <row r="7799" spans="1:6" ht="15">
      <c r="A7799" s="51">
        <v>295715</v>
      </c>
      <c r="B7799" t="s">
        <v>1009</v>
      </c>
      <c r="C7799" s="39" t="s">
        <v>349</v>
      </c>
      <c r="D7799" t="s">
        <v>4247</v>
      </c>
      <c r="F7799" s="56"/>
    </row>
    <row r="7800" spans="1:6" ht="15">
      <c r="A7800" s="51">
        <v>295716</v>
      </c>
      <c r="B7800" t="s">
        <v>119</v>
      </c>
      <c r="C7800" s="39" t="s">
        <v>349</v>
      </c>
      <c r="D7800" t="s">
        <v>4247</v>
      </c>
      <c r="F7800" s="56"/>
    </row>
    <row r="7801" spans="1:6" ht="15">
      <c r="A7801" s="51">
        <v>295717</v>
      </c>
      <c r="B7801" t="s">
        <v>121</v>
      </c>
      <c r="C7801" s="39" t="s">
        <v>349</v>
      </c>
      <c r="D7801" t="s">
        <v>4243</v>
      </c>
      <c r="F7801" s="56"/>
    </row>
    <row r="7802" spans="1:6" ht="15">
      <c r="A7802" s="51">
        <v>295718</v>
      </c>
      <c r="B7802" t="s">
        <v>1977</v>
      </c>
      <c r="C7802" s="39" t="s">
        <v>349</v>
      </c>
      <c r="D7802">
        <v>7</v>
      </c>
      <c r="F7802" s="56"/>
    </row>
    <row r="7803" spans="1:6" ht="15">
      <c r="A7803" s="51">
        <v>295706</v>
      </c>
      <c r="B7803" t="s">
        <v>4122</v>
      </c>
      <c r="C7803" s="39" t="s">
        <v>4123</v>
      </c>
      <c r="D7803">
        <v>8</v>
      </c>
      <c r="F7803" s="56"/>
    </row>
    <row r="7804" spans="1:6" ht="15">
      <c r="B7804" t="s">
        <v>2611</v>
      </c>
      <c r="C7804" s="39" t="s">
        <v>851</v>
      </c>
      <c r="D7804">
        <v>9</v>
      </c>
      <c r="F7804" s="56"/>
    </row>
    <row r="7805" spans="1:6" ht="15">
      <c r="A7805" s="51">
        <v>295719</v>
      </c>
      <c r="B7805" t="s">
        <v>3738</v>
      </c>
      <c r="C7805" s="39" t="s">
        <v>781</v>
      </c>
      <c r="D7805" t="s">
        <v>4245</v>
      </c>
      <c r="F7805" s="56"/>
    </row>
    <row r="7806" spans="1:6" ht="15">
      <c r="A7806" s="51">
        <v>295720</v>
      </c>
      <c r="B7806" t="s">
        <v>4124</v>
      </c>
      <c r="C7806" s="39" t="s">
        <v>781</v>
      </c>
      <c r="D7806" t="s">
        <v>4244</v>
      </c>
      <c r="F7806" s="56"/>
    </row>
    <row r="7807" spans="1:6" ht="15">
      <c r="A7807" s="51">
        <v>295721</v>
      </c>
      <c r="B7807" t="s">
        <v>1167</v>
      </c>
      <c r="C7807" s="39" t="s">
        <v>781</v>
      </c>
      <c r="D7807" t="s">
        <v>4243</v>
      </c>
      <c r="F7807" s="56"/>
    </row>
    <row r="7808" spans="1:6" ht="15">
      <c r="A7808" s="51">
        <v>295723</v>
      </c>
      <c r="B7808" t="s">
        <v>129</v>
      </c>
      <c r="C7808" s="39" t="s">
        <v>130</v>
      </c>
      <c r="D7808" t="s">
        <v>4243</v>
      </c>
      <c r="F7808" s="56"/>
    </row>
    <row r="7809" spans="1:6" ht="15">
      <c r="A7809" s="51">
        <v>295724</v>
      </c>
      <c r="B7809" t="s">
        <v>358</v>
      </c>
      <c r="C7809" s="39" t="s">
        <v>362</v>
      </c>
      <c r="D7809" t="s">
        <v>4247</v>
      </c>
      <c r="F7809" s="56"/>
    </row>
    <row r="7810" spans="1:6" ht="15">
      <c r="A7810" s="51">
        <v>295725</v>
      </c>
      <c r="B7810" t="s">
        <v>360</v>
      </c>
      <c r="C7810" s="39" t="s">
        <v>362</v>
      </c>
      <c r="D7810" t="s">
        <v>4247</v>
      </c>
      <c r="F7810" s="56"/>
    </row>
    <row r="7811" spans="1:6" ht="15">
      <c r="A7811" s="51">
        <v>295727</v>
      </c>
      <c r="B7811" t="s">
        <v>131</v>
      </c>
      <c r="C7811" s="39" t="s">
        <v>132</v>
      </c>
      <c r="D7811" t="s">
        <v>471</v>
      </c>
      <c r="F7811" s="56"/>
    </row>
    <row r="7812" spans="1:6" ht="15">
      <c r="A7812" s="51">
        <v>295728</v>
      </c>
      <c r="B7812" t="s">
        <v>1023</v>
      </c>
      <c r="C7812" s="39" t="s">
        <v>1024</v>
      </c>
      <c r="D7812" t="s">
        <v>4243</v>
      </c>
      <c r="F7812" s="56"/>
    </row>
    <row r="7813" spans="1:6" ht="15">
      <c r="A7813" s="51">
        <v>295726</v>
      </c>
      <c r="B7813" t="s">
        <v>4033</v>
      </c>
      <c r="C7813" s="39" t="s">
        <v>1026</v>
      </c>
      <c r="D7813" t="s">
        <v>4249</v>
      </c>
      <c r="F7813" s="56"/>
    </row>
    <row r="7814" spans="1:6" ht="15">
      <c r="A7814" s="51">
        <v>295730</v>
      </c>
      <c r="B7814" t="s">
        <v>372</v>
      </c>
      <c r="C7814" s="39" t="s">
        <v>896</v>
      </c>
      <c r="D7814">
        <v>8</v>
      </c>
      <c r="F7814" s="56"/>
    </row>
    <row r="7815" spans="1:6" ht="15">
      <c r="A7815" s="51">
        <v>295731</v>
      </c>
      <c r="B7815" t="s">
        <v>1177</v>
      </c>
      <c r="C7815" s="39" t="s">
        <v>373</v>
      </c>
      <c r="D7815" t="s">
        <v>4248</v>
      </c>
      <c r="F7815" s="56"/>
    </row>
    <row r="7816" spans="1:6" ht="15">
      <c r="A7816" s="51">
        <v>295732</v>
      </c>
      <c r="B7816" t="s">
        <v>374</v>
      </c>
      <c r="C7816" s="39" t="s">
        <v>1035</v>
      </c>
      <c r="D7816" t="s">
        <v>1595</v>
      </c>
      <c r="F7816" s="56"/>
    </row>
    <row r="7817" spans="1:6" ht="15">
      <c r="A7817" s="51">
        <v>295733</v>
      </c>
      <c r="B7817" t="s">
        <v>150</v>
      </c>
      <c r="C7817" s="39" t="s">
        <v>1035</v>
      </c>
      <c r="D7817" t="s">
        <v>1595</v>
      </c>
      <c r="F7817" s="56"/>
    </row>
    <row r="7818" spans="1:6" ht="15">
      <c r="A7818" s="51">
        <v>295734</v>
      </c>
      <c r="B7818" t="s">
        <v>152</v>
      </c>
      <c r="C7818" s="39" t="s">
        <v>1035</v>
      </c>
      <c r="D7818" t="s">
        <v>469</v>
      </c>
      <c r="F7818" s="56"/>
    </row>
    <row r="7819" spans="1:6" ht="15">
      <c r="A7819" s="51">
        <v>295735</v>
      </c>
      <c r="B7819" t="s">
        <v>376</v>
      </c>
      <c r="C7819" s="39" t="s">
        <v>1035</v>
      </c>
      <c r="D7819" t="s">
        <v>468</v>
      </c>
      <c r="F7819" s="56"/>
    </row>
    <row r="7820" spans="1:6" ht="15">
      <c r="A7820" s="51">
        <v>295736</v>
      </c>
      <c r="B7820" t="s">
        <v>377</v>
      </c>
      <c r="C7820" s="39" t="s">
        <v>1035</v>
      </c>
      <c r="D7820" t="s">
        <v>468</v>
      </c>
      <c r="F7820" s="56"/>
    </row>
    <row r="7821" spans="1:6" ht="15">
      <c r="A7821" s="51">
        <v>295737</v>
      </c>
      <c r="B7821" t="s">
        <v>1041</v>
      </c>
      <c r="C7821" s="39" t="s">
        <v>1042</v>
      </c>
      <c r="D7821" t="s">
        <v>4247</v>
      </c>
      <c r="F7821" s="56"/>
    </row>
    <row r="7822" spans="1:6" ht="15">
      <c r="A7822" s="51">
        <v>295738</v>
      </c>
      <c r="B7822" t="s">
        <v>1043</v>
      </c>
      <c r="C7822" s="39" t="s">
        <v>1042</v>
      </c>
      <c r="D7822" t="s">
        <v>4247</v>
      </c>
      <c r="F7822" s="56"/>
    </row>
    <row r="7823" spans="1:6" ht="15">
      <c r="A7823" s="51">
        <v>295739</v>
      </c>
      <c r="B7823" t="s">
        <v>2727</v>
      </c>
      <c r="C7823" s="39" t="s">
        <v>1042</v>
      </c>
      <c r="D7823" t="s">
        <v>4243</v>
      </c>
      <c r="F7823" s="56"/>
    </row>
    <row r="7824" spans="1:6" ht="15">
      <c r="A7824" s="51">
        <v>295740</v>
      </c>
      <c r="B7824" t="s">
        <v>3109</v>
      </c>
      <c r="C7824" s="39" t="s">
        <v>3110</v>
      </c>
      <c r="D7824">
        <v>7</v>
      </c>
      <c r="F7824" s="56"/>
    </row>
    <row r="7825" spans="1:6" ht="15">
      <c r="A7825" s="51">
        <v>295741</v>
      </c>
      <c r="B7825" t="s">
        <v>2728</v>
      </c>
      <c r="C7825" s="39" t="s">
        <v>1424</v>
      </c>
      <c r="D7825" t="s">
        <v>4243</v>
      </c>
      <c r="F7825" s="56"/>
    </row>
    <row r="7826" spans="1:6" ht="15">
      <c r="A7826" s="51">
        <v>295743</v>
      </c>
      <c r="B7826" t="s">
        <v>854</v>
      </c>
      <c r="C7826" s="39" t="s">
        <v>4125</v>
      </c>
      <c r="D7826" t="s">
        <v>4247</v>
      </c>
      <c r="F7826" s="56"/>
    </row>
    <row r="7827" spans="1:6" ht="15">
      <c r="A7827" s="51">
        <v>295744</v>
      </c>
      <c r="B7827" t="s">
        <v>4126</v>
      </c>
      <c r="C7827" s="39" t="s">
        <v>4125</v>
      </c>
      <c r="D7827">
        <v>7</v>
      </c>
      <c r="F7827" s="56"/>
    </row>
    <row r="7828" spans="1:6" ht="15">
      <c r="A7828" s="51">
        <v>295742</v>
      </c>
      <c r="B7828" t="s">
        <v>4041</v>
      </c>
      <c r="C7828" s="39" t="s">
        <v>4125</v>
      </c>
      <c r="D7828">
        <v>8</v>
      </c>
      <c r="F7828" s="56"/>
    </row>
    <row r="7829" spans="1:6" ht="15">
      <c r="A7829" s="51">
        <v>295745</v>
      </c>
      <c r="B7829" t="s">
        <v>2631</v>
      </c>
      <c r="C7829" s="39" t="s">
        <v>1052</v>
      </c>
      <c r="D7829">
        <v>7</v>
      </c>
      <c r="F7829" s="56"/>
    </row>
    <row r="7830" spans="1:6" ht="15">
      <c r="A7830" s="51">
        <v>295746</v>
      </c>
      <c r="B7830" t="s">
        <v>3043</v>
      </c>
      <c r="C7830" s="39" t="s">
        <v>955</v>
      </c>
      <c r="D7830">
        <v>7</v>
      </c>
      <c r="F7830" s="56"/>
    </row>
    <row r="7831" spans="1:6" ht="15">
      <c r="A7831" s="51">
        <v>295747</v>
      </c>
      <c r="B7831" t="s">
        <v>389</v>
      </c>
      <c r="C7831" s="39" t="s">
        <v>3357</v>
      </c>
      <c r="D7831" t="s">
        <v>4244</v>
      </c>
      <c r="F7831" s="56"/>
    </row>
    <row r="7832" spans="1:6" ht="15">
      <c r="A7832" s="51">
        <v>295748</v>
      </c>
      <c r="B7832" t="s">
        <v>179</v>
      </c>
      <c r="C7832" s="39" t="s">
        <v>3357</v>
      </c>
      <c r="D7832" t="s">
        <v>4244</v>
      </c>
      <c r="F7832" s="56"/>
    </row>
    <row r="7833" spans="1:6" ht="15">
      <c r="A7833" s="51">
        <v>295749</v>
      </c>
      <c r="B7833" t="s">
        <v>4127</v>
      </c>
      <c r="C7833" s="39" t="s">
        <v>183</v>
      </c>
      <c r="D7833">
        <v>7</v>
      </c>
      <c r="F7833" s="56"/>
    </row>
    <row r="7834" spans="1:6" ht="15">
      <c r="A7834" s="51">
        <v>295750</v>
      </c>
      <c r="B7834" t="s">
        <v>182</v>
      </c>
      <c r="C7834" s="39" t="s">
        <v>183</v>
      </c>
      <c r="D7834">
        <v>8</v>
      </c>
      <c r="F7834" s="56"/>
    </row>
    <row r="7835" spans="1:6" ht="15">
      <c r="A7835" s="51">
        <v>295751</v>
      </c>
      <c r="B7835" t="s">
        <v>393</v>
      </c>
      <c r="C7835" s="39" t="s">
        <v>394</v>
      </c>
      <c r="D7835">
        <v>7</v>
      </c>
      <c r="F7835" s="56"/>
    </row>
    <row r="7836" spans="1:6" ht="15">
      <c r="A7836" s="51">
        <v>295752</v>
      </c>
      <c r="B7836" t="s">
        <v>1186</v>
      </c>
      <c r="C7836" s="39" t="s">
        <v>1437</v>
      </c>
      <c r="D7836" t="s">
        <v>4245</v>
      </c>
      <c r="F7836" s="56"/>
    </row>
    <row r="7837" spans="1:6" ht="15">
      <c r="A7837" s="51">
        <v>295753</v>
      </c>
      <c r="B7837" t="s">
        <v>1187</v>
      </c>
      <c r="C7837" s="39" t="s">
        <v>1437</v>
      </c>
      <c r="D7837" t="s">
        <v>4244</v>
      </c>
      <c r="F7837" s="56"/>
    </row>
    <row r="7838" spans="1:6" ht="15">
      <c r="A7838" s="51">
        <v>295754</v>
      </c>
      <c r="B7838" t="s">
        <v>1188</v>
      </c>
      <c r="C7838" s="39" t="s">
        <v>1437</v>
      </c>
      <c r="D7838" t="s">
        <v>4243</v>
      </c>
      <c r="F7838" s="56"/>
    </row>
    <row r="7839" spans="1:6" ht="15">
      <c r="A7839" s="51">
        <v>295755</v>
      </c>
      <c r="B7839" t="s">
        <v>1189</v>
      </c>
      <c r="C7839" s="39" t="s">
        <v>3394</v>
      </c>
      <c r="D7839" t="s">
        <v>4243</v>
      </c>
      <c r="F7839" s="56"/>
    </row>
    <row r="7840" spans="1:6" ht="15">
      <c r="A7840" s="51">
        <v>295756</v>
      </c>
      <c r="B7840" t="s">
        <v>1830</v>
      </c>
      <c r="C7840" s="39" t="s">
        <v>1442</v>
      </c>
      <c r="D7840" t="s">
        <v>4244</v>
      </c>
      <c r="F7840" s="56"/>
    </row>
    <row r="7841" spans="1:6" ht="15">
      <c r="A7841" s="51">
        <v>295757</v>
      </c>
      <c r="B7841" t="s">
        <v>1440</v>
      </c>
      <c r="C7841" s="39" t="s">
        <v>1442</v>
      </c>
      <c r="D7841" t="s">
        <v>4244</v>
      </c>
      <c r="F7841" s="56"/>
    </row>
    <row r="7842" spans="1:6" ht="15">
      <c r="A7842" s="51">
        <v>295758</v>
      </c>
      <c r="B7842" t="s">
        <v>1833</v>
      </c>
      <c r="C7842" s="39" t="s">
        <v>1442</v>
      </c>
      <c r="D7842">
        <v>8</v>
      </c>
      <c r="F7842" s="56"/>
    </row>
    <row r="7843" spans="1:6" ht="15">
      <c r="A7843" s="51">
        <v>295759</v>
      </c>
      <c r="B7843" t="s">
        <v>1190</v>
      </c>
      <c r="C7843" s="39" t="s">
        <v>908</v>
      </c>
      <c r="D7843" t="s">
        <v>4244</v>
      </c>
      <c r="F7843" s="56"/>
    </row>
    <row r="7844" spans="1:6" ht="15">
      <c r="A7844" s="51">
        <v>295760</v>
      </c>
      <c r="B7844" t="s">
        <v>1834</v>
      </c>
      <c r="C7844" s="39" t="s">
        <v>1835</v>
      </c>
      <c r="D7844" t="s">
        <v>4243</v>
      </c>
      <c r="F7844" s="56"/>
    </row>
    <row r="7845" spans="1:6" ht="15">
      <c r="A7845" s="51">
        <v>295761</v>
      </c>
      <c r="B7845" t="s">
        <v>1838</v>
      </c>
      <c r="C7845" s="39" t="s">
        <v>561</v>
      </c>
      <c r="D7845" t="s">
        <v>4247</v>
      </c>
      <c r="F7845" s="56"/>
    </row>
    <row r="7846" spans="1:6" ht="15">
      <c r="A7846" s="51">
        <v>295763</v>
      </c>
      <c r="B7846" t="s">
        <v>1254</v>
      </c>
      <c r="C7846" s="39" t="s">
        <v>3471</v>
      </c>
      <c r="D7846" t="s">
        <v>4244</v>
      </c>
      <c r="F7846" s="56"/>
    </row>
    <row r="7847" spans="1:6" ht="15">
      <c r="A7847" s="51">
        <v>295764</v>
      </c>
      <c r="B7847" t="s">
        <v>1085</v>
      </c>
      <c r="C7847" s="39" t="s">
        <v>1083</v>
      </c>
      <c r="D7847" t="s">
        <v>1595</v>
      </c>
      <c r="F7847" s="56"/>
    </row>
    <row r="7848" spans="1:6" ht="15">
      <c r="A7848" s="51">
        <v>295765</v>
      </c>
      <c r="B7848" t="s">
        <v>1086</v>
      </c>
      <c r="C7848" s="39" t="s">
        <v>1083</v>
      </c>
      <c r="D7848" t="s">
        <v>469</v>
      </c>
      <c r="F7848" s="56"/>
    </row>
    <row r="7849" spans="1:6" ht="15">
      <c r="A7849" s="51">
        <v>295766</v>
      </c>
      <c r="B7849" t="s">
        <v>1087</v>
      </c>
      <c r="C7849" s="39" t="s">
        <v>1083</v>
      </c>
      <c r="D7849" t="s">
        <v>471</v>
      </c>
      <c r="F7849" s="56"/>
    </row>
    <row r="7850" spans="1:6" ht="15">
      <c r="A7850" s="51">
        <v>295762</v>
      </c>
      <c r="B7850" t="s">
        <v>4128</v>
      </c>
      <c r="C7850" s="39" t="s">
        <v>1083</v>
      </c>
      <c r="D7850">
        <v>9</v>
      </c>
      <c r="F7850" s="56"/>
    </row>
    <row r="7851" spans="1:6" ht="15">
      <c r="A7851" s="51">
        <v>295767</v>
      </c>
      <c r="B7851" t="s">
        <v>1094</v>
      </c>
      <c r="C7851" s="39" t="s">
        <v>1095</v>
      </c>
      <c r="D7851" t="s">
        <v>469</v>
      </c>
      <c r="F7851" s="56"/>
    </row>
    <row r="7852" spans="1:6" ht="15">
      <c r="A7852" s="51">
        <v>295768</v>
      </c>
      <c r="B7852" t="s">
        <v>1096</v>
      </c>
      <c r="C7852" s="39" t="s">
        <v>1095</v>
      </c>
      <c r="D7852" t="s">
        <v>469</v>
      </c>
      <c r="F7852" s="56"/>
    </row>
    <row r="7853" spans="1:6" ht="15">
      <c r="A7853" s="51">
        <v>295770</v>
      </c>
      <c r="B7853" t="s">
        <v>223</v>
      </c>
      <c r="C7853" s="39" t="s">
        <v>224</v>
      </c>
      <c r="D7853" t="s">
        <v>4243</v>
      </c>
      <c r="F7853" s="56"/>
    </row>
    <row r="7854" spans="1:6" ht="15">
      <c r="A7854" s="51">
        <v>295771</v>
      </c>
      <c r="B7854" t="s">
        <v>2879</v>
      </c>
      <c r="C7854" s="39" t="s">
        <v>1098</v>
      </c>
      <c r="D7854" t="s">
        <v>466</v>
      </c>
      <c r="F7854" s="56"/>
    </row>
    <row r="7855" spans="1:6" ht="15">
      <c r="A7855" s="51">
        <v>295772</v>
      </c>
      <c r="B7855" t="s">
        <v>2230</v>
      </c>
      <c r="C7855" s="39" t="s">
        <v>1098</v>
      </c>
      <c r="D7855" t="s">
        <v>1595</v>
      </c>
      <c r="F7855" s="56"/>
    </row>
    <row r="7856" spans="1:6" ht="15">
      <c r="A7856" s="51">
        <v>295773</v>
      </c>
      <c r="B7856" t="s">
        <v>2880</v>
      </c>
      <c r="C7856" s="39" t="s">
        <v>1098</v>
      </c>
      <c r="D7856" t="s">
        <v>469</v>
      </c>
      <c r="F7856" s="56"/>
    </row>
    <row r="7857" spans="1:6" ht="15">
      <c r="A7857" s="51">
        <v>295774</v>
      </c>
      <c r="B7857" t="s">
        <v>1100</v>
      </c>
      <c r="C7857" s="39" t="s">
        <v>1098</v>
      </c>
      <c r="D7857" t="s">
        <v>1595</v>
      </c>
      <c r="F7857" s="56"/>
    </row>
    <row r="7858" spans="1:6" ht="15">
      <c r="A7858" s="51">
        <v>295775</v>
      </c>
      <c r="B7858" t="s">
        <v>1101</v>
      </c>
      <c r="C7858" s="39" t="s">
        <v>1098</v>
      </c>
      <c r="D7858" t="s">
        <v>1595</v>
      </c>
      <c r="F7858" s="56"/>
    </row>
    <row r="7859" spans="1:6" ht="15">
      <c r="A7859" s="51">
        <v>295776</v>
      </c>
      <c r="B7859" t="s">
        <v>2888</v>
      </c>
      <c r="C7859" s="39" t="s">
        <v>1098</v>
      </c>
      <c r="D7859" t="s">
        <v>471</v>
      </c>
      <c r="F7859" s="56"/>
    </row>
    <row r="7860" spans="1:6" ht="15">
      <c r="A7860" s="51">
        <v>295769</v>
      </c>
      <c r="B7860" t="s">
        <v>4129</v>
      </c>
      <c r="C7860" s="39" t="s">
        <v>4130</v>
      </c>
      <c r="D7860">
        <v>8</v>
      </c>
      <c r="F7860" s="56"/>
    </row>
    <row r="7861" spans="1:6" ht="15">
      <c r="A7861" s="51">
        <v>295777</v>
      </c>
      <c r="B7861" t="s">
        <v>2052</v>
      </c>
      <c r="C7861" s="39" t="s">
        <v>1107</v>
      </c>
      <c r="D7861" t="s">
        <v>4245</v>
      </c>
      <c r="F7861" s="56"/>
    </row>
    <row r="7862" spans="1:6" ht="15">
      <c r="A7862" s="51">
        <v>295778</v>
      </c>
      <c r="B7862" t="s">
        <v>2752</v>
      </c>
      <c r="C7862" s="39" t="s">
        <v>1107</v>
      </c>
      <c r="D7862" t="s">
        <v>4245</v>
      </c>
      <c r="F7862" s="56"/>
    </row>
    <row r="7863" spans="1:6" ht="15">
      <c r="A7863" s="51">
        <v>295779</v>
      </c>
      <c r="B7863" t="s">
        <v>3063</v>
      </c>
      <c r="C7863" s="39" t="s">
        <v>1107</v>
      </c>
      <c r="D7863" t="s">
        <v>4246</v>
      </c>
      <c r="F7863" s="56"/>
    </row>
    <row r="7864" spans="1:6" ht="15">
      <c r="A7864" s="51">
        <v>295781</v>
      </c>
      <c r="B7864" t="s">
        <v>1196</v>
      </c>
      <c r="C7864" s="39" t="s">
        <v>235</v>
      </c>
      <c r="D7864" t="s">
        <v>4244</v>
      </c>
      <c r="F7864" s="56"/>
    </row>
    <row r="7865" spans="1:6" ht="15">
      <c r="A7865" s="51">
        <v>295782</v>
      </c>
      <c r="B7865" t="s">
        <v>1197</v>
      </c>
      <c r="C7865" s="39" t="s">
        <v>235</v>
      </c>
      <c r="D7865" t="s">
        <v>4244</v>
      </c>
      <c r="F7865" s="56"/>
    </row>
    <row r="7866" spans="1:6" ht="15">
      <c r="A7866" s="51">
        <v>295784</v>
      </c>
      <c r="B7866" t="s">
        <v>2765</v>
      </c>
      <c r="C7866" s="39" t="s">
        <v>1123</v>
      </c>
      <c r="D7866" t="s">
        <v>4247</v>
      </c>
      <c r="F7866" s="56"/>
    </row>
    <row r="7867" spans="1:6" ht="15">
      <c r="A7867" s="51">
        <v>295785</v>
      </c>
      <c r="B7867" t="s">
        <v>3064</v>
      </c>
      <c r="C7867" s="39" t="s">
        <v>1123</v>
      </c>
      <c r="D7867" t="s">
        <v>4243</v>
      </c>
      <c r="F7867" s="56"/>
    </row>
    <row r="7868" spans="1:6" ht="15">
      <c r="A7868" s="51">
        <v>295786</v>
      </c>
      <c r="B7868" t="s">
        <v>2250</v>
      </c>
      <c r="C7868" s="39" t="s">
        <v>1123</v>
      </c>
      <c r="D7868">
        <v>7</v>
      </c>
      <c r="F7868" s="56"/>
    </row>
    <row r="7869" spans="1:6" ht="15">
      <c r="A7869" s="51">
        <v>295783</v>
      </c>
      <c r="B7869" t="s">
        <v>4131</v>
      </c>
      <c r="C7869" s="39" t="s">
        <v>1123</v>
      </c>
      <c r="D7869">
        <v>8</v>
      </c>
      <c r="F7869" s="56"/>
    </row>
    <row r="7870" spans="1:6" ht="15">
      <c r="A7870" s="51">
        <v>295787</v>
      </c>
      <c r="B7870" t="s">
        <v>432</v>
      </c>
      <c r="C7870" s="39" t="s">
        <v>433</v>
      </c>
      <c r="D7870" t="s">
        <v>4245</v>
      </c>
      <c r="F7870" s="56"/>
    </row>
    <row r="7871" spans="1:6" ht="15">
      <c r="A7871" s="51">
        <v>295790</v>
      </c>
      <c r="B7871" t="s">
        <v>455</v>
      </c>
      <c r="C7871" s="39" t="s">
        <v>550</v>
      </c>
      <c r="D7871" t="s">
        <v>4244</v>
      </c>
      <c r="F7871" s="56"/>
    </row>
    <row r="7872" spans="1:6" ht="15">
      <c r="A7872" s="51">
        <v>295791</v>
      </c>
      <c r="B7872" t="s">
        <v>457</v>
      </c>
      <c r="C7872" s="39" t="s">
        <v>278</v>
      </c>
      <c r="D7872" t="s">
        <v>468</v>
      </c>
      <c r="F7872" s="56"/>
    </row>
    <row r="7873" spans="1:6" ht="15">
      <c r="A7873" s="51">
        <v>295792</v>
      </c>
      <c r="B7873" t="s">
        <v>458</v>
      </c>
      <c r="C7873" s="39" t="s">
        <v>278</v>
      </c>
      <c r="D7873" t="s">
        <v>468</v>
      </c>
      <c r="F7873" s="56"/>
    </row>
    <row r="7874" spans="1:6" ht="15">
      <c r="A7874" s="51">
        <v>295793</v>
      </c>
      <c r="B7874" t="s">
        <v>887</v>
      </c>
      <c r="C7874" s="39" t="s">
        <v>283</v>
      </c>
      <c r="D7874">
        <v>8</v>
      </c>
      <c r="F7874" s="56"/>
    </row>
    <row r="7875" spans="1:6" ht="15">
      <c r="A7875" s="51">
        <v>295794</v>
      </c>
      <c r="B7875" t="s">
        <v>2093</v>
      </c>
      <c r="C7875" s="39" t="s">
        <v>898</v>
      </c>
      <c r="D7875" t="s">
        <v>4246</v>
      </c>
      <c r="F7875" s="56"/>
    </row>
    <row r="7876" spans="1:6" ht="15">
      <c r="A7876" s="51">
        <v>295795</v>
      </c>
      <c r="B7876" t="s">
        <v>2095</v>
      </c>
      <c r="C7876" s="39" t="s">
        <v>898</v>
      </c>
      <c r="D7876" t="s">
        <v>4247</v>
      </c>
      <c r="F7876" s="56"/>
    </row>
    <row r="7877" spans="1:6" ht="15">
      <c r="A7877" s="51">
        <v>295796</v>
      </c>
      <c r="B7877" t="s">
        <v>460</v>
      </c>
      <c r="C7877" s="39" t="s">
        <v>898</v>
      </c>
      <c r="D7877" t="s">
        <v>4244</v>
      </c>
      <c r="F7877" s="56"/>
    </row>
    <row r="7878" spans="1:6" ht="15">
      <c r="A7878" s="51">
        <v>309693</v>
      </c>
      <c r="B7878" t="s">
        <v>103</v>
      </c>
      <c r="C7878" s="39" t="s">
        <v>3453</v>
      </c>
      <c r="D7878" t="s">
        <v>4243</v>
      </c>
      <c r="F7878" s="56"/>
    </row>
    <row r="7879" spans="1:6" ht="15">
      <c r="A7879" s="51">
        <v>309694</v>
      </c>
      <c r="B7879" t="s">
        <v>111</v>
      </c>
      <c r="C7879" s="39" t="s">
        <v>1692</v>
      </c>
      <c r="D7879" t="s">
        <v>4246</v>
      </c>
      <c r="F7879" s="56"/>
    </row>
    <row r="7880" spans="1:6" ht="15">
      <c r="A7880" s="51">
        <v>309695</v>
      </c>
      <c r="B7880" t="s">
        <v>112</v>
      </c>
      <c r="C7880" s="39" t="s">
        <v>1692</v>
      </c>
      <c r="D7880" t="s">
        <v>4244</v>
      </c>
      <c r="F7880" s="56"/>
    </row>
    <row r="7881" spans="1:6" ht="15">
      <c r="A7881" s="51">
        <v>309696</v>
      </c>
      <c r="B7881" t="s">
        <v>113</v>
      </c>
      <c r="C7881" s="39" t="s">
        <v>1692</v>
      </c>
      <c r="D7881" t="s">
        <v>4243</v>
      </c>
      <c r="F7881" s="56"/>
    </row>
    <row r="7882" spans="1:6" ht="15">
      <c r="A7882" s="51">
        <v>309697</v>
      </c>
      <c r="B7882" t="s">
        <v>844</v>
      </c>
      <c r="C7882" s="39" t="s">
        <v>1692</v>
      </c>
      <c r="D7882">
        <v>8</v>
      </c>
      <c r="F7882" s="56"/>
    </row>
    <row r="7883" spans="1:6" ht="15">
      <c r="A7883" s="51">
        <v>309698</v>
      </c>
      <c r="B7883" t="s">
        <v>347</v>
      </c>
      <c r="C7883" s="39" t="s">
        <v>1692</v>
      </c>
      <c r="D7883">
        <v>8</v>
      </c>
      <c r="F7883" s="56"/>
    </row>
    <row r="7884" spans="1:6" ht="15">
      <c r="A7884" s="51">
        <v>309699</v>
      </c>
      <c r="B7884" t="s">
        <v>1371</v>
      </c>
      <c r="C7884" s="39" t="s">
        <v>1692</v>
      </c>
      <c r="D7884">
        <v>8</v>
      </c>
      <c r="F7884" s="56"/>
    </row>
    <row r="7885" spans="1:6" ht="15">
      <c r="A7885" s="51">
        <v>309700</v>
      </c>
      <c r="B7885" t="s">
        <v>1704</v>
      </c>
      <c r="C7885" s="39" t="s">
        <v>1692</v>
      </c>
      <c r="D7885">
        <v>8</v>
      </c>
      <c r="F7885" s="56"/>
    </row>
    <row r="7886" spans="1:6" ht="15">
      <c r="A7886" s="51">
        <v>309701</v>
      </c>
      <c r="B7886" t="s">
        <v>114</v>
      </c>
      <c r="C7886" s="39" t="s">
        <v>1692</v>
      </c>
      <c r="D7886">
        <v>8</v>
      </c>
      <c r="F7886" s="56"/>
    </row>
    <row r="7887" spans="1:6" ht="15">
      <c r="A7887" s="51">
        <v>309702</v>
      </c>
      <c r="B7887" t="s">
        <v>3563</v>
      </c>
      <c r="C7887" s="39" t="s">
        <v>1692</v>
      </c>
      <c r="D7887">
        <v>9</v>
      </c>
      <c r="F7887" s="56"/>
    </row>
    <row r="7888" spans="1:6" ht="15">
      <c r="A7888" s="51">
        <v>309703</v>
      </c>
      <c r="B7888" t="s">
        <v>1707</v>
      </c>
      <c r="C7888" s="39" t="s">
        <v>1706</v>
      </c>
      <c r="D7888">
        <v>8</v>
      </c>
      <c r="F7888" s="56"/>
    </row>
    <row r="7889" spans="1:6" ht="15">
      <c r="A7889" s="51">
        <v>309704</v>
      </c>
      <c r="B7889" t="s">
        <v>1977</v>
      </c>
      <c r="C7889" s="39" t="s">
        <v>3564</v>
      </c>
      <c r="D7889">
        <v>8</v>
      </c>
      <c r="F7889" s="56"/>
    </row>
    <row r="7890" spans="1:6" ht="15">
      <c r="A7890" s="51">
        <v>309705</v>
      </c>
      <c r="B7890" t="s">
        <v>1712</v>
      </c>
      <c r="C7890" s="39" t="s">
        <v>3565</v>
      </c>
      <c r="D7890">
        <v>8</v>
      </c>
      <c r="F7890" s="56"/>
    </row>
    <row r="7891" spans="1:6" ht="15">
      <c r="A7891" s="51">
        <v>309706</v>
      </c>
      <c r="B7891" t="s">
        <v>849</v>
      </c>
      <c r="C7891" s="39" t="s">
        <v>3565</v>
      </c>
      <c r="D7891">
        <v>9</v>
      </c>
      <c r="F7891" s="56"/>
    </row>
    <row r="7892" spans="1:6" ht="15">
      <c r="A7892" s="51">
        <v>309707</v>
      </c>
      <c r="B7892" t="s">
        <v>1648</v>
      </c>
      <c r="C7892" s="39" t="s">
        <v>138</v>
      </c>
      <c r="D7892">
        <v>9</v>
      </c>
      <c r="F7892" s="56"/>
    </row>
    <row r="7893" spans="1:6" ht="15">
      <c r="A7893" s="51">
        <v>309708</v>
      </c>
      <c r="B7893" t="s">
        <v>1023</v>
      </c>
      <c r="C7893" s="39" t="s">
        <v>1024</v>
      </c>
      <c r="D7893" t="s">
        <v>4243</v>
      </c>
      <c r="F7893" s="56"/>
    </row>
    <row r="7894" spans="1:6" ht="15">
      <c r="A7894" s="51">
        <v>309709</v>
      </c>
      <c r="B7894" t="s">
        <v>150</v>
      </c>
      <c r="C7894" s="39" t="s">
        <v>2362</v>
      </c>
      <c r="D7894" t="s">
        <v>4243</v>
      </c>
      <c r="F7894" s="56"/>
    </row>
    <row r="7895" spans="1:6" ht="15">
      <c r="A7895" s="51">
        <v>309710</v>
      </c>
      <c r="B7895" t="s">
        <v>152</v>
      </c>
      <c r="C7895" s="39" t="s">
        <v>2362</v>
      </c>
      <c r="D7895">
        <v>7</v>
      </c>
      <c r="F7895" s="56"/>
    </row>
    <row r="7896" spans="1:6" ht="15">
      <c r="A7896" s="51">
        <v>309711</v>
      </c>
      <c r="B7896" t="s">
        <v>153</v>
      </c>
      <c r="C7896" s="39" t="s">
        <v>2362</v>
      </c>
      <c r="D7896">
        <v>8</v>
      </c>
      <c r="F7896" s="56"/>
    </row>
    <row r="7897" spans="1:6" ht="15">
      <c r="A7897" s="51">
        <v>309712</v>
      </c>
      <c r="B7897" t="s">
        <v>2008</v>
      </c>
      <c r="C7897" s="39" t="s">
        <v>2009</v>
      </c>
      <c r="D7897">
        <v>9</v>
      </c>
      <c r="F7897" s="56"/>
    </row>
    <row r="7898" spans="1:6" ht="15">
      <c r="A7898" s="51">
        <v>309713</v>
      </c>
      <c r="B7898" t="s">
        <v>3153</v>
      </c>
      <c r="C7898" s="39" t="s">
        <v>3154</v>
      </c>
      <c r="D7898" t="s">
        <v>4243</v>
      </c>
      <c r="F7898" s="56"/>
    </row>
    <row r="7899" spans="1:6" ht="15">
      <c r="A7899" s="51">
        <v>309714</v>
      </c>
      <c r="B7899" t="s">
        <v>1548</v>
      </c>
      <c r="C7899" s="39" t="s">
        <v>1550</v>
      </c>
      <c r="D7899" t="s">
        <v>4247</v>
      </c>
      <c r="F7899" s="56"/>
    </row>
    <row r="7900" spans="1:6" ht="15">
      <c r="A7900" s="51">
        <v>309715</v>
      </c>
      <c r="B7900" t="s">
        <v>3566</v>
      </c>
      <c r="C7900" s="39" t="s">
        <v>1550</v>
      </c>
      <c r="D7900" t="s">
        <v>4243</v>
      </c>
      <c r="F7900" s="56"/>
    </row>
    <row r="7901" spans="1:6" ht="15">
      <c r="A7901" s="51">
        <v>309716</v>
      </c>
      <c r="B7901" t="s">
        <v>2214</v>
      </c>
      <c r="C7901" s="39" t="s">
        <v>3567</v>
      </c>
      <c r="D7901">
        <v>8</v>
      </c>
      <c r="F7901" s="56"/>
    </row>
    <row r="7902" spans="1:6" ht="15">
      <c r="A7902" s="51">
        <v>309717</v>
      </c>
      <c r="B7902" t="s">
        <v>3568</v>
      </c>
      <c r="C7902" s="39" t="s">
        <v>3567</v>
      </c>
      <c r="D7902">
        <v>8</v>
      </c>
      <c r="F7902" s="56"/>
    </row>
    <row r="7903" spans="1:6" ht="15">
      <c r="A7903" s="51">
        <v>309718</v>
      </c>
      <c r="B7903" t="s">
        <v>165</v>
      </c>
      <c r="C7903" s="39" t="s">
        <v>3567</v>
      </c>
      <c r="D7903">
        <v>8</v>
      </c>
      <c r="F7903" s="56"/>
    </row>
    <row r="7904" spans="1:6" ht="15">
      <c r="A7904" s="51">
        <v>309719</v>
      </c>
      <c r="B7904" t="s">
        <v>1571</v>
      </c>
      <c r="C7904" s="39" t="s">
        <v>696</v>
      </c>
      <c r="D7904" t="s">
        <v>4243</v>
      </c>
      <c r="F7904" s="56"/>
    </row>
    <row r="7905" spans="1:6" ht="15">
      <c r="A7905" s="51">
        <v>309720</v>
      </c>
      <c r="B7905" t="s">
        <v>3570</v>
      </c>
      <c r="C7905" s="39" t="s">
        <v>3571</v>
      </c>
      <c r="D7905" t="s">
        <v>4243</v>
      </c>
      <c r="F7905" s="56"/>
    </row>
    <row r="7906" spans="1:6" ht="15">
      <c r="A7906" s="51">
        <v>309721</v>
      </c>
      <c r="B7906" t="s">
        <v>3572</v>
      </c>
      <c r="C7906" s="39" t="s">
        <v>2317</v>
      </c>
      <c r="D7906" t="s">
        <v>4246</v>
      </c>
      <c r="F7906" s="56"/>
    </row>
    <row r="7907" spans="1:6" ht="15">
      <c r="A7907" s="51">
        <v>309722</v>
      </c>
      <c r="B7907" t="s">
        <v>3573</v>
      </c>
      <c r="C7907" s="39" t="s">
        <v>2317</v>
      </c>
      <c r="D7907" t="s">
        <v>4244</v>
      </c>
      <c r="F7907" s="56"/>
    </row>
    <row r="7908" spans="1:6" ht="15">
      <c r="A7908" s="51">
        <v>309723</v>
      </c>
      <c r="B7908" t="s">
        <v>3574</v>
      </c>
      <c r="C7908" s="39" t="s">
        <v>2317</v>
      </c>
      <c r="D7908" t="s">
        <v>4243</v>
      </c>
      <c r="F7908" s="56"/>
    </row>
    <row r="7909" spans="1:6" ht="15">
      <c r="A7909" s="51">
        <v>309724</v>
      </c>
      <c r="B7909" t="s">
        <v>2752</v>
      </c>
      <c r="C7909" s="39" t="s">
        <v>2317</v>
      </c>
      <c r="D7909">
        <v>8</v>
      </c>
      <c r="F7909" s="56"/>
    </row>
    <row r="7910" spans="1:6" ht="15">
      <c r="A7910" s="51">
        <v>309725</v>
      </c>
      <c r="B7910" t="s">
        <v>2234</v>
      </c>
      <c r="C7910" s="39" t="s">
        <v>2317</v>
      </c>
      <c r="D7910">
        <v>8</v>
      </c>
      <c r="F7910" s="56"/>
    </row>
    <row r="7911" spans="1:6" ht="15">
      <c r="A7911" s="51">
        <v>309726</v>
      </c>
      <c r="B7911" t="s">
        <v>3575</v>
      </c>
      <c r="C7911" s="39" t="s">
        <v>2317</v>
      </c>
      <c r="D7911">
        <v>8</v>
      </c>
      <c r="F7911" s="56"/>
    </row>
    <row r="7912" spans="1:6" ht="15">
      <c r="A7912" s="51">
        <v>309727</v>
      </c>
      <c r="B7912" t="s">
        <v>227</v>
      </c>
      <c r="C7912" s="39" t="s">
        <v>228</v>
      </c>
      <c r="D7912">
        <v>9</v>
      </c>
      <c r="F7912" s="56"/>
    </row>
    <row r="7913" spans="1:6" ht="15">
      <c r="A7913" s="51">
        <v>309728</v>
      </c>
      <c r="B7913" t="s">
        <v>1106</v>
      </c>
      <c r="C7913" s="39" t="s">
        <v>228</v>
      </c>
      <c r="D7913">
        <v>9</v>
      </c>
      <c r="F7913" s="56"/>
    </row>
    <row r="7914" spans="1:6" ht="15">
      <c r="A7914" s="51">
        <v>309729</v>
      </c>
      <c r="B7914" t="s">
        <v>3576</v>
      </c>
      <c r="C7914" s="39" t="s">
        <v>1195</v>
      </c>
      <c r="D7914" t="s">
        <v>4247</v>
      </c>
      <c r="F7914" s="56"/>
    </row>
    <row r="7915" spans="1:6" ht="15">
      <c r="A7915" s="51">
        <v>309730</v>
      </c>
      <c r="B7915" t="s">
        <v>230</v>
      </c>
      <c r="C7915" s="39" t="s">
        <v>231</v>
      </c>
      <c r="D7915" t="s">
        <v>4244</v>
      </c>
      <c r="F7915" s="56"/>
    </row>
    <row r="7916" spans="1:6" ht="15">
      <c r="A7916" s="51">
        <v>309731</v>
      </c>
      <c r="B7916" t="s">
        <v>2891</v>
      </c>
      <c r="C7916" s="39" t="s">
        <v>2238</v>
      </c>
      <c r="D7916" t="s">
        <v>4243</v>
      </c>
      <c r="F7916" s="56"/>
    </row>
    <row r="7917" spans="1:6" ht="15">
      <c r="A7917" s="51">
        <v>309732</v>
      </c>
      <c r="B7917" t="s">
        <v>3164</v>
      </c>
      <c r="C7917" s="39" t="s">
        <v>2238</v>
      </c>
      <c r="D7917" t="s">
        <v>4243</v>
      </c>
      <c r="F7917" s="56"/>
    </row>
    <row r="7918" spans="1:6" ht="15">
      <c r="A7918" s="51">
        <v>309733</v>
      </c>
      <c r="B7918" t="s">
        <v>1108</v>
      </c>
      <c r="C7918" s="39" t="s">
        <v>2238</v>
      </c>
      <c r="D7918">
        <v>8</v>
      </c>
      <c r="F7918" s="56"/>
    </row>
    <row r="7919" spans="1:6" ht="15">
      <c r="A7919" s="51">
        <v>309734</v>
      </c>
      <c r="B7919" t="s">
        <v>234</v>
      </c>
      <c r="C7919" s="39" t="s">
        <v>238</v>
      </c>
      <c r="D7919" t="s">
        <v>4246</v>
      </c>
      <c r="F7919" s="56"/>
    </row>
    <row r="7920" spans="1:6" ht="15">
      <c r="A7920" s="51">
        <v>309735</v>
      </c>
      <c r="B7920" t="s">
        <v>236</v>
      </c>
      <c r="C7920" s="39" t="s">
        <v>238</v>
      </c>
      <c r="D7920" t="s">
        <v>4247</v>
      </c>
      <c r="F7920" s="56"/>
    </row>
    <row r="7921" spans="1:6" ht="15">
      <c r="A7921" s="51">
        <v>309736</v>
      </c>
      <c r="B7921" t="s">
        <v>1260</v>
      </c>
      <c r="C7921" s="39" t="s">
        <v>238</v>
      </c>
      <c r="D7921" t="s">
        <v>4243</v>
      </c>
      <c r="F7921" s="56"/>
    </row>
    <row r="7922" spans="1:6" ht="15">
      <c r="A7922" s="51">
        <v>309737</v>
      </c>
      <c r="B7922" t="s">
        <v>1682</v>
      </c>
      <c r="C7922" s="39" t="s">
        <v>238</v>
      </c>
      <c r="D7922">
        <v>7</v>
      </c>
      <c r="F7922" s="56"/>
    </row>
    <row r="7923" spans="1:6" ht="15">
      <c r="A7923" s="51">
        <v>309738</v>
      </c>
      <c r="B7923" t="s">
        <v>3577</v>
      </c>
      <c r="C7923" s="39" t="s">
        <v>238</v>
      </c>
      <c r="D7923">
        <v>9</v>
      </c>
      <c r="F7923" s="56"/>
    </row>
    <row r="7924" spans="1:6" ht="15">
      <c r="A7924" s="51">
        <v>309739</v>
      </c>
      <c r="B7924" t="s">
        <v>244</v>
      </c>
      <c r="C7924" s="39" t="s">
        <v>1583</v>
      </c>
      <c r="D7924" t="s">
        <v>4245</v>
      </c>
      <c r="F7924" s="56"/>
    </row>
    <row r="7925" spans="1:6" ht="15">
      <c r="B7925" t="s">
        <v>2248</v>
      </c>
      <c r="C7925" s="39" t="s">
        <v>1583</v>
      </c>
      <c r="D7925" t="s">
        <v>4244</v>
      </c>
      <c r="F7925" s="56"/>
    </row>
    <row r="7926" spans="1:6" ht="15">
      <c r="B7926" t="s">
        <v>3578</v>
      </c>
      <c r="C7926" s="39" t="s">
        <v>1583</v>
      </c>
      <c r="D7926" t="s">
        <v>4243</v>
      </c>
      <c r="F7926" s="56"/>
    </row>
    <row r="7927" spans="1:6" ht="15">
      <c r="B7927" t="s">
        <v>3068</v>
      </c>
      <c r="C7927" s="39" t="s">
        <v>3579</v>
      </c>
      <c r="D7927" t="s">
        <v>4243</v>
      </c>
      <c r="F7927" s="56"/>
    </row>
    <row r="7928" spans="1:6" ht="15">
      <c r="A7928" s="51">
        <v>309743</v>
      </c>
      <c r="B7928" t="s">
        <v>425</v>
      </c>
      <c r="C7928" s="39" t="s">
        <v>1589</v>
      </c>
      <c r="D7928">
        <v>7</v>
      </c>
      <c r="F7928" s="56"/>
    </row>
    <row r="7929" spans="1:6" ht="15">
      <c r="A7929" s="51">
        <v>309744</v>
      </c>
      <c r="B7929" t="s">
        <v>1119</v>
      </c>
      <c r="C7929" s="39" t="s">
        <v>1589</v>
      </c>
      <c r="D7929">
        <v>9</v>
      </c>
      <c r="F7929" s="56"/>
    </row>
    <row r="7930" spans="1:6" ht="15">
      <c r="A7930" s="51">
        <v>309670</v>
      </c>
      <c r="B7930" t="s">
        <v>429</v>
      </c>
      <c r="C7930" s="39" t="s">
        <v>3580</v>
      </c>
      <c r="D7930" t="s">
        <v>4246</v>
      </c>
      <c r="F7930" s="56"/>
    </row>
    <row r="7931" spans="1:6" ht="15">
      <c r="A7931" s="51">
        <v>309674</v>
      </c>
      <c r="B7931" t="s">
        <v>3581</v>
      </c>
      <c r="C7931" s="39" t="s">
        <v>261</v>
      </c>
      <c r="D7931" t="s">
        <v>4245</v>
      </c>
      <c r="F7931" s="56"/>
    </row>
    <row r="7932" spans="1:6" ht="15">
      <c r="A7932" s="51">
        <v>309675</v>
      </c>
      <c r="B7932" t="s">
        <v>441</v>
      </c>
      <c r="C7932" s="39" t="s">
        <v>450</v>
      </c>
      <c r="D7932">
        <v>9</v>
      </c>
      <c r="F7932" s="56"/>
    </row>
    <row r="7933" spans="1:6" ht="15">
      <c r="A7933" s="51">
        <v>309676</v>
      </c>
      <c r="B7933" t="s">
        <v>3582</v>
      </c>
      <c r="C7933" s="39" t="s">
        <v>3583</v>
      </c>
      <c r="D7933">
        <v>9</v>
      </c>
      <c r="F7933" s="56"/>
    </row>
    <row r="7934" spans="1:6" ht="15">
      <c r="A7934" s="51">
        <v>309677</v>
      </c>
      <c r="B7934" t="s">
        <v>3584</v>
      </c>
      <c r="C7934" s="39" t="s">
        <v>3583</v>
      </c>
      <c r="D7934">
        <v>9</v>
      </c>
      <c r="F7934" s="56"/>
    </row>
    <row r="7935" spans="1:6" ht="15">
      <c r="A7935" s="51">
        <v>309678</v>
      </c>
      <c r="B7935" t="s">
        <v>4132</v>
      </c>
      <c r="C7935" s="39" t="s">
        <v>3583</v>
      </c>
      <c r="D7935">
        <v>9</v>
      </c>
      <c r="F7935" s="56"/>
    </row>
    <row r="7936" spans="1:6" ht="15">
      <c r="A7936" s="51">
        <v>309679</v>
      </c>
      <c r="B7936" t="s">
        <v>2084</v>
      </c>
      <c r="C7936" s="39" t="s">
        <v>3585</v>
      </c>
      <c r="D7936">
        <v>9</v>
      </c>
      <c r="F7936" s="56"/>
    </row>
    <row r="7937" spans="1:6" ht="15">
      <c r="A7937" s="51">
        <v>309680</v>
      </c>
      <c r="B7937" t="s">
        <v>3586</v>
      </c>
      <c r="C7937" s="39" t="s">
        <v>3585</v>
      </c>
      <c r="D7937">
        <v>9</v>
      </c>
      <c r="F7937" s="56"/>
    </row>
    <row r="7938" spans="1:6" ht="15">
      <c r="A7938" s="51">
        <v>309681</v>
      </c>
      <c r="B7938" t="s">
        <v>4133</v>
      </c>
      <c r="C7938" s="39" t="s">
        <v>4134</v>
      </c>
      <c r="D7938">
        <v>9</v>
      </c>
      <c r="F7938" s="56"/>
    </row>
    <row r="7939" spans="1:6" ht="15">
      <c r="A7939" s="51">
        <v>309682</v>
      </c>
      <c r="B7939" t="s">
        <v>1513</v>
      </c>
      <c r="C7939" s="39" t="s">
        <v>3425</v>
      </c>
      <c r="D7939">
        <v>9</v>
      </c>
      <c r="F7939" s="56"/>
    </row>
    <row r="7940" spans="1:6" ht="15">
      <c r="A7940" s="51">
        <v>309683</v>
      </c>
      <c r="B7940" t="s">
        <v>3177</v>
      </c>
      <c r="C7940" s="39" t="s">
        <v>3425</v>
      </c>
      <c r="D7940">
        <v>9</v>
      </c>
      <c r="F7940" s="56"/>
    </row>
    <row r="7941" spans="1:6" ht="15">
      <c r="A7941" s="51">
        <v>309684</v>
      </c>
      <c r="B7941" t="s">
        <v>3178</v>
      </c>
      <c r="C7941" s="39" t="s">
        <v>3425</v>
      </c>
      <c r="D7941">
        <v>9</v>
      </c>
      <c r="F7941" s="56"/>
    </row>
    <row r="7942" spans="1:6" ht="15">
      <c r="A7942" s="51">
        <v>309685</v>
      </c>
      <c r="B7942" t="s">
        <v>1592</v>
      </c>
      <c r="C7942" s="39" t="s">
        <v>3561</v>
      </c>
      <c r="D7942">
        <v>9</v>
      </c>
      <c r="F7942" s="56"/>
    </row>
    <row r="7943" spans="1:6" ht="15">
      <c r="A7943" s="51">
        <v>309686</v>
      </c>
      <c r="B7943" t="s">
        <v>3569</v>
      </c>
      <c r="C7943" s="39" t="s">
        <v>304</v>
      </c>
      <c r="D7943">
        <v>9</v>
      </c>
      <c r="F7943" s="56"/>
    </row>
    <row r="7944" spans="1:6" ht="15">
      <c r="A7944" s="51">
        <v>309687</v>
      </c>
      <c r="B7944" t="s">
        <v>303</v>
      </c>
      <c r="C7944" s="39" t="s">
        <v>304</v>
      </c>
      <c r="D7944">
        <v>9</v>
      </c>
      <c r="F7944" s="56"/>
    </row>
    <row r="7945" spans="1:6" ht="15">
      <c r="A7945" s="51">
        <v>309688</v>
      </c>
      <c r="B7945" t="s">
        <v>305</v>
      </c>
      <c r="C7945" s="39" t="s">
        <v>306</v>
      </c>
      <c r="D7945">
        <v>9</v>
      </c>
      <c r="F7945" s="56"/>
    </row>
    <row r="7946" spans="1:6" ht="15">
      <c r="A7946" s="51">
        <v>309690</v>
      </c>
      <c r="B7946" t="s">
        <v>2271</v>
      </c>
      <c r="C7946" s="39" t="s">
        <v>2319</v>
      </c>
      <c r="D7946" t="s">
        <v>4246</v>
      </c>
      <c r="F7946" s="56"/>
    </row>
    <row r="7947" spans="1:6" ht="15">
      <c r="A7947" s="51">
        <v>309691</v>
      </c>
      <c r="B7947" t="s">
        <v>1514</v>
      </c>
      <c r="C7947" s="39" t="s">
        <v>2319</v>
      </c>
      <c r="D7947" t="s">
        <v>4246</v>
      </c>
      <c r="F7947" s="56"/>
    </row>
    <row r="7948" spans="1:6" ht="15">
      <c r="A7948" s="51">
        <v>309692</v>
      </c>
      <c r="B7948" t="s">
        <v>3587</v>
      </c>
      <c r="C7948" s="39" t="s">
        <v>2319</v>
      </c>
      <c r="D7948" t="s">
        <v>4244</v>
      </c>
      <c r="F7948" s="56"/>
    </row>
    <row r="7949" spans="1:6" ht="15">
      <c r="A7949" s="51">
        <v>295285</v>
      </c>
      <c r="B7949" t="s">
        <v>87</v>
      </c>
      <c r="C7949" s="39" t="s">
        <v>88</v>
      </c>
      <c r="D7949">
        <v>8</v>
      </c>
      <c r="F7949" s="56"/>
    </row>
    <row r="7950" spans="1:6" ht="15">
      <c r="A7950" s="51">
        <v>295286</v>
      </c>
      <c r="B7950" t="s">
        <v>1142</v>
      </c>
      <c r="C7950" s="39" t="s">
        <v>521</v>
      </c>
      <c r="D7950" t="s">
        <v>4248</v>
      </c>
      <c r="F7950" s="56"/>
    </row>
    <row r="7951" spans="1:6" ht="15">
      <c r="A7951" s="51">
        <v>295287</v>
      </c>
      <c r="B7951" t="s">
        <v>1143</v>
      </c>
      <c r="C7951" s="39" t="s">
        <v>521</v>
      </c>
      <c r="D7951" t="s">
        <v>4245</v>
      </c>
      <c r="F7951" s="56"/>
    </row>
    <row r="7952" spans="1:6" ht="15">
      <c r="A7952" s="51">
        <v>295288</v>
      </c>
      <c r="B7952" t="s">
        <v>2674</v>
      </c>
      <c r="C7952" s="39" t="s">
        <v>521</v>
      </c>
      <c r="D7952" t="s">
        <v>4247</v>
      </c>
      <c r="F7952" s="56"/>
    </row>
    <row r="7953" spans="1:6" ht="15">
      <c r="A7953" s="51">
        <v>295289</v>
      </c>
      <c r="B7953" t="s">
        <v>1348</v>
      </c>
      <c r="C7953" s="39" t="s">
        <v>835</v>
      </c>
      <c r="D7953">
        <v>9</v>
      </c>
      <c r="F7953" s="56"/>
    </row>
    <row r="7954" spans="1:6" ht="15">
      <c r="A7954" s="51">
        <v>295290</v>
      </c>
      <c r="B7954" t="s">
        <v>319</v>
      </c>
      <c r="C7954" s="39" t="s">
        <v>320</v>
      </c>
      <c r="D7954" t="s">
        <v>4243</v>
      </c>
      <c r="F7954" s="56"/>
    </row>
    <row r="7955" spans="1:6" ht="15">
      <c r="A7955" s="51">
        <v>295291</v>
      </c>
      <c r="B7955" t="s">
        <v>1787</v>
      </c>
      <c r="C7955" s="39" t="s">
        <v>4135</v>
      </c>
      <c r="D7955" t="s">
        <v>4243</v>
      </c>
      <c r="F7955" s="56"/>
    </row>
    <row r="7956" spans="1:6" ht="15">
      <c r="A7956" s="51">
        <v>295292</v>
      </c>
      <c r="B7956" t="s">
        <v>1788</v>
      </c>
      <c r="C7956" s="39" t="s">
        <v>1352</v>
      </c>
      <c r="D7956" t="s">
        <v>469</v>
      </c>
      <c r="F7956" s="56"/>
    </row>
    <row r="7957" spans="1:6" ht="15">
      <c r="A7957" s="51">
        <v>295293</v>
      </c>
      <c r="B7957" t="s">
        <v>1789</v>
      </c>
      <c r="C7957" s="39" t="s">
        <v>1352</v>
      </c>
      <c r="D7957" t="s">
        <v>469</v>
      </c>
      <c r="F7957" s="56"/>
    </row>
    <row r="7958" spans="1:6" ht="15">
      <c r="A7958" s="51">
        <v>295294</v>
      </c>
      <c r="B7958" t="s">
        <v>975</v>
      </c>
      <c r="C7958" s="39" t="s">
        <v>536</v>
      </c>
      <c r="D7958" t="s">
        <v>4246</v>
      </c>
      <c r="F7958" s="56"/>
    </row>
    <row r="7959" spans="1:6" ht="15">
      <c r="A7959" s="51">
        <v>295295</v>
      </c>
      <c r="B7959" t="s">
        <v>323</v>
      </c>
      <c r="C7959" s="39" t="s">
        <v>536</v>
      </c>
      <c r="D7959" t="s">
        <v>4244</v>
      </c>
      <c r="F7959" s="56"/>
    </row>
    <row r="7960" spans="1:6" ht="15">
      <c r="A7960" s="51">
        <v>295296</v>
      </c>
      <c r="B7960" t="s">
        <v>836</v>
      </c>
      <c r="C7960" s="39" t="s">
        <v>536</v>
      </c>
      <c r="D7960" t="s">
        <v>4243</v>
      </c>
      <c r="F7960" s="56"/>
    </row>
    <row r="7961" spans="1:6" ht="15">
      <c r="A7961" s="51">
        <v>295297</v>
      </c>
      <c r="B7961" t="s">
        <v>1790</v>
      </c>
      <c r="C7961" s="39" t="s">
        <v>536</v>
      </c>
      <c r="D7961">
        <v>8</v>
      </c>
      <c r="F7961" s="56"/>
    </row>
    <row r="7962" spans="1:6" ht="15">
      <c r="A7962" s="51">
        <v>295298</v>
      </c>
      <c r="B7962" t="s">
        <v>977</v>
      </c>
      <c r="C7962" s="39" t="s">
        <v>324</v>
      </c>
      <c r="D7962" t="s">
        <v>4243</v>
      </c>
      <c r="F7962" s="56"/>
    </row>
    <row r="7963" spans="1:6" ht="15">
      <c r="A7963" s="51">
        <v>295299</v>
      </c>
      <c r="B7963" t="s">
        <v>978</v>
      </c>
      <c r="C7963" s="39" t="s">
        <v>324</v>
      </c>
      <c r="D7963">
        <v>7</v>
      </c>
      <c r="F7963" s="56"/>
    </row>
    <row r="7964" spans="1:6" ht="15">
      <c r="A7964" s="51">
        <v>295300</v>
      </c>
      <c r="B7964" t="s">
        <v>979</v>
      </c>
      <c r="C7964" s="39" t="s">
        <v>983</v>
      </c>
      <c r="D7964" t="s">
        <v>471</v>
      </c>
      <c r="F7964" s="56"/>
    </row>
    <row r="7965" spans="1:6" ht="15">
      <c r="A7965" s="51">
        <v>295301</v>
      </c>
      <c r="B7965" t="s">
        <v>2798</v>
      </c>
      <c r="C7965" s="39" t="s">
        <v>92</v>
      </c>
      <c r="D7965" t="s">
        <v>4246</v>
      </c>
      <c r="F7965" s="56"/>
    </row>
    <row r="7966" spans="1:6" ht="15">
      <c r="A7966" s="51">
        <v>295302</v>
      </c>
      <c r="B7966" t="s">
        <v>1233</v>
      </c>
      <c r="C7966" s="39" t="s">
        <v>92</v>
      </c>
      <c r="D7966" t="s">
        <v>4246</v>
      </c>
      <c r="F7966" s="56"/>
    </row>
    <row r="7967" spans="1:6" ht="15">
      <c r="A7967" s="51">
        <v>295303</v>
      </c>
      <c r="B7967" t="s">
        <v>1234</v>
      </c>
      <c r="C7967" s="39" t="s">
        <v>92</v>
      </c>
      <c r="D7967" t="s">
        <v>4244</v>
      </c>
      <c r="F7967" s="56"/>
    </row>
    <row r="7968" spans="1:6" ht="15">
      <c r="A7968" s="51">
        <v>295304</v>
      </c>
      <c r="B7968" t="s">
        <v>1235</v>
      </c>
      <c r="C7968" s="39" t="s">
        <v>92</v>
      </c>
      <c r="D7968" t="s">
        <v>4243</v>
      </c>
      <c r="F7968" s="56"/>
    </row>
    <row r="7969" spans="1:6" ht="15">
      <c r="A7969" s="51">
        <v>295306</v>
      </c>
      <c r="B7969" t="s">
        <v>1527</v>
      </c>
      <c r="C7969" s="39" t="s">
        <v>1236</v>
      </c>
      <c r="D7969" t="s">
        <v>4246</v>
      </c>
      <c r="F7969" s="56"/>
    </row>
    <row r="7970" spans="1:6" ht="15">
      <c r="A7970" s="51">
        <v>295307</v>
      </c>
      <c r="B7970" t="s">
        <v>995</v>
      </c>
      <c r="C7970" s="39" t="s">
        <v>1236</v>
      </c>
      <c r="D7970" t="s">
        <v>4246</v>
      </c>
      <c r="F7970" s="56"/>
    </row>
    <row r="7971" spans="1:6" ht="15">
      <c r="A7971" s="51">
        <v>295308</v>
      </c>
      <c r="B7971" t="s">
        <v>1529</v>
      </c>
      <c r="C7971" s="39" t="s">
        <v>1236</v>
      </c>
      <c r="D7971" t="s">
        <v>4244</v>
      </c>
      <c r="F7971" s="56"/>
    </row>
    <row r="7972" spans="1:6" ht="15">
      <c r="A7972" s="51">
        <v>295309</v>
      </c>
      <c r="B7972" t="s">
        <v>1530</v>
      </c>
      <c r="C7972" s="39" t="s">
        <v>1236</v>
      </c>
      <c r="D7972" t="s">
        <v>4243</v>
      </c>
      <c r="F7972" s="56"/>
    </row>
    <row r="7973" spans="1:6" ht="15">
      <c r="A7973" s="51">
        <v>295310</v>
      </c>
      <c r="B7973" t="s">
        <v>330</v>
      </c>
      <c r="C7973" s="39" t="s">
        <v>331</v>
      </c>
      <c r="D7973" t="s">
        <v>4244</v>
      </c>
      <c r="F7973" s="56"/>
    </row>
    <row r="7974" spans="1:6" ht="15">
      <c r="A7974" s="51">
        <v>295311</v>
      </c>
      <c r="B7974" t="s">
        <v>332</v>
      </c>
      <c r="C7974" s="39" t="s">
        <v>331</v>
      </c>
      <c r="D7974" t="s">
        <v>4244</v>
      </c>
      <c r="F7974" s="56"/>
    </row>
    <row r="7975" spans="1:6" ht="15">
      <c r="A7975" s="51">
        <v>295312</v>
      </c>
      <c r="B7975" t="s">
        <v>338</v>
      </c>
      <c r="C7975" s="39" t="s">
        <v>556</v>
      </c>
      <c r="D7975" t="s">
        <v>4243</v>
      </c>
      <c r="F7975" s="56"/>
    </row>
    <row r="7976" spans="1:6" ht="15">
      <c r="A7976" s="51">
        <v>295313</v>
      </c>
      <c r="B7976" t="s">
        <v>2459</v>
      </c>
      <c r="C7976" s="39" t="s">
        <v>571</v>
      </c>
      <c r="D7976" t="s">
        <v>4246</v>
      </c>
      <c r="F7976" s="56"/>
    </row>
    <row r="7977" spans="1:6" ht="15">
      <c r="A7977" s="51">
        <v>295314</v>
      </c>
      <c r="B7977" t="s">
        <v>2809</v>
      </c>
      <c r="C7977" s="39" t="s">
        <v>571</v>
      </c>
      <c r="D7977" t="s">
        <v>4247</v>
      </c>
      <c r="F7977" s="56"/>
    </row>
    <row r="7978" spans="1:6" ht="15">
      <c r="A7978" s="51">
        <v>295315</v>
      </c>
      <c r="B7978" t="s">
        <v>840</v>
      </c>
      <c r="C7978" s="39" t="s">
        <v>571</v>
      </c>
      <c r="D7978" t="s">
        <v>4243</v>
      </c>
      <c r="F7978" s="56"/>
    </row>
    <row r="7979" spans="1:6" ht="15">
      <c r="A7979" s="51">
        <v>295316</v>
      </c>
      <c r="B7979" t="s">
        <v>1241</v>
      </c>
      <c r="C7979" s="39" t="s">
        <v>3770</v>
      </c>
      <c r="D7979" t="s">
        <v>4244</v>
      </c>
      <c r="F7979" s="56"/>
    </row>
    <row r="7980" spans="1:6" ht="15">
      <c r="A7980" s="51">
        <v>295317</v>
      </c>
      <c r="B7980" t="s">
        <v>1150</v>
      </c>
      <c r="C7980" s="39" t="s">
        <v>3770</v>
      </c>
      <c r="D7980" t="s">
        <v>4244</v>
      </c>
      <c r="F7980" s="56"/>
    </row>
    <row r="7981" spans="1:6" ht="15">
      <c r="A7981" s="51">
        <v>295318</v>
      </c>
      <c r="B7981" t="s">
        <v>1151</v>
      </c>
      <c r="C7981" s="39" t="s">
        <v>3770</v>
      </c>
      <c r="D7981">
        <v>7</v>
      </c>
      <c r="F7981" s="56"/>
    </row>
    <row r="7982" spans="1:6" ht="15">
      <c r="A7982" s="51">
        <v>295319</v>
      </c>
      <c r="B7982" t="s">
        <v>4136</v>
      </c>
      <c r="C7982" s="39" t="s">
        <v>3770</v>
      </c>
      <c r="D7982">
        <v>8</v>
      </c>
      <c r="F7982" s="56"/>
    </row>
    <row r="7983" spans="1:6" ht="15">
      <c r="A7983" s="51">
        <v>295320</v>
      </c>
      <c r="B7983" t="s">
        <v>4137</v>
      </c>
      <c r="C7983" s="39" t="s">
        <v>3770</v>
      </c>
      <c r="D7983">
        <v>9</v>
      </c>
      <c r="F7983" s="56"/>
    </row>
    <row r="7984" spans="1:6" ht="15">
      <c r="A7984" s="51">
        <v>295321</v>
      </c>
      <c r="B7984" t="s">
        <v>1366</v>
      </c>
      <c r="C7984" s="39" t="s">
        <v>106</v>
      </c>
      <c r="D7984" t="s">
        <v>4245</v>
      </c>
      <c r="F7984" s="56"/>
    </row>
    <row r="7985" spans="1:6" ht="15">
      <c r="A7985" s="51">
        <v>295322</v>
      </c>
      <c r="B7985" t="s">
        <v>341</v>
      </c>
      <c r="C7985" s="39" t="s">
        <v>106</v>
      </c>
      <c r="D7985" t="s">
        <v>4245</v>
      </c>
      <c r="F7985" s="56"/>
    </row>
    <row r="7986" spans="1:6" ht="15">
      <c r="A7986" s="51">
        <v>295323</v>
      </c>
      <c r="B7986" t="s">
        <v>109</v>
      </c>
      <c r="C7986" s="39" t="s">
        <v>106</v>
      </c>
      <c r="D7986" t="s">
        <v>4245</v>
      </c>
      <c r="F7986" s="56"/>
    </row>
    <row r="7987" spans="1:6" ht="15">
      <c r="A7987" s="51">
        <v>295324</v>
      </c>
      <c r="B7987" t="s">
        <v>345</v>
      </c>
      <c r="C7987" s="39" t="s">
        <v>108</v>
      </c>
      <c r="D7987" t="s">
        <v>4245</v>
      </c>
      <c r="F7987" s="56"/>
    </row>
    <row r="7988" spans="1:6" ht="15">
      <c r="A7988" s="51">
        <v>295325</v>
      </c>
      <c r="B7988" t="s">
        <v>347</v>
      </c>
      <c r="C7988" s="39" t="s">
        <v>108</v>
      </c>
      <c r="D7988" t="s">
        <v>4245</v>
      </c>
      <c r="F7988" s="56"/>
    </row>
    <row r="7989" spans="1:6" ht="15">
      <c r="A7989" s="51">
        <v>295326</v>
      </c>
      <c r="B7989" t="s">
        <v>1371</v>
      </c>
      <c r="C7989" s="39" t="s">
        <v>108</v>
      </c>
      <c r="D7989" t="s">
        <v>4244</v>
      </c>
      <c r="F7989" s="56"/>
    </row>
    <row r="7990" spans="1:6" ht="15">
      <c r="A7990" s="51">
        <v>295327</v>
      </c>
      <c r="B7990" t="s">
        <v>1704</v>
      </c>
      <c r="C7990" s="39" t="s">
        <v>108</v>
      </c>
      <c r="D7990" t="s">
        <v>4243</v>
      </c>
      <c r="F7990" s="56"/>
    </row>
    <row r="7991" spans="1:6" ht="15">
      <c r="A7991" s="51">
        <v>295328</v>
      </c>
      <c r="B7991" t="s">
        <v>1005</v>
      </c>
      <c r="C7991" s="39" t="s">
        <v>108</v>
      </c>
      <c r="D7991" t="s">
        <v>4245</v>
      </c>
      <c r="F7991" s="56"/>
    </row>
    <row r="7992" spans="1:6" ht="15">
      <c r="A7992" s="51">
        <v>295329</v>
      </c>
      <c r="B7992" t="s">
        <v>110</v>
      </c>
      <c r="C7992" s="39" t="s">
        <v>547</v>
      </c>
      <c r="D7992" t="s">
        <v>4244</v>
      </c>
      <c r="F7992" s="56"/>
    </row>
    <row r="7993" spans="1:6" ht="15">
      <c r="A7993" s="51">
        <v>295330</v>
      </c>
      <c r="B7993" t="s">
        <v>1158</v>
      </c>
      <c r="C7993" s="39" t="s">
        <v>547</v>
      </c>
      <c r="D7993" t="s">
        <v>4243</v>
      </c>
      <c r="F7993" s="56"/>
    </row>
    <row r="7994" spans="1:6" ht="15">
      <c r="A7994" s="51">
        <v>295331</v>
      </c>
      <c r="B7994" t="s">
        <v>350</v>
      </c>
      <c r="C7994" s="39" t="s">
        <v>542</v>
      </c>
      <c r="D7994" t="s">
        <v>4246</v>
      </c>
      <c r="F7994" s="56"/>
    </row>
    <row r="7995" spans="1:6" ht="15">
      <c r="A7995" s="51">
        <v>295332</v>
      </c>
      <c r="B7995" t="s">
        <v>351</v>
      </c>
      <c r="C7995" s="39" t="s">
        <v>542</v>
      </c>
      <c r="D7995" t="s">
        <v>4244</v>
      </c>
      <c r="F7995" s="56"/>
    </row>
    <row r="7996" spans="1:6" ht="15">
      <c r="A7996" s="51">
        <v>295333</v>
      </c>
      <c r="B7996" t="s">
        <v>352</v>
      </c>
      <c r="C7996" s="39" t="s">
        <v>542</v>
      </c>
      <c r="D7996" t="s">
        <v>4243</v>
      </c>
      <c r="F7996" s="56"/>
    </row>
    <row r="7997" spans="1:6" ht="15">
      <c r="A7997" s="51">
        <v>295334</v>
      </c>
      <c r="B7997" t="s">
        <v>1802</v>
      </c>
      <c r="C7997" s="39" t="s">
        <v>120</v>
      </c>
      <c r="D7997" t="s">
        <v>4245</v>
      </c>
      <c r="F7997" s="56"/>
    </row>
    <row r="7998" spans="1:6" ht="15">
      <c r="A7998" s="51">
        <v>295335</v>
      </c>
      <c r="B7998" t="s">
        <v>1705</v>
      </c>
      <c r="C7998" s="39" t="s">
        <v>120</v>
      </c>
      <c r="D7998" t="s">
        <v>4246</v>
      </c>
      <c r="F7998" s="56"/>
    </row>
    <row r="7999" spans="1:6" ht="15">
      <c r="A7999" s="51">
        <v>295336</v>
      </c>
      <c r="B7999" t="s">
        <v>1707</v>
      </c>
      <c r="C7999" s="39" t="s">
        <v>120</v>
      </c>
      <c r="D7999" t="s">
        <v>4244</v>
      </c>
      <c r="F7999" s="56"/>
    </row>
    <row r="8000" spans="1:6" ht="15">
      <c r="A8000" s="51">
        <v>295338</v>
      </c>
      <c r="B8000" t="s">
        <v>1165</v>
      </c>
      <c r="C8000" s="39" t="s">
        <v>618</v>
      </c>
      <c r="D8000" t="s">
        <v>4243</v>
      </c>
      <c r="F8000" s="56"/>
    </row>
    <row r="8001" spans="1:6" ht="15">
      <c r="A8001" s="51">
        <v>295339</v>
      </c>
      <c r="B8001" t="s">
        <v>122</v>
      </c>
      <c r="C8001" s="39" t="s">
        <v>618</v>
      </c>
      <c r="D8001" t="s">
        <v>4243</v>
      </c>
      <c r="F8001" s="56"/>
    </row>
    <row r="8002" spans="1:6" ht="15">
      <c r="A8002" s="51">
        <v>295340</v>
      </c>
      <c r="B8002" t="s">
        <v>126</v>
      </c>
      <c r="C8002" s="39" t="s">
        <v>1803</v>
      </c>
      <c r="D8002" t="s">
        <v>4246</v>
      </c>
      <c r="F8002" s="56"/>
    </row>
    <row r="8003" spans="1:6" ht="15">
      <c r="A8003" s="51">
        <v>295341</v>
      </c>
      <c r="B8003" t="s">
        <v>128</v>
      </c>
      <c r="C8003" s="39" t="s">
        <v>1803</v>
      </c>
      <c r="D8003" t="s">
        <v>4244</v>
      </c>
      <c r="F8003" s="56"/>
    </row>
    <row r="8004" spans="1:6" ht="15">
      <c r="A8004" s="51">
        <v>295342</v>
      </c>
      <c r="B8004" t="s">
        <v>4138</v>
      </c>
      <c r="C8004" s="39" t="s">
        <v>1803</v>
      </c>
      <c r="D8004">
        <v>7</v>
      </c>
      <c r="F8004" s="56"/>
    </row>
    <row r="8005" spans="1:6" ht="15">
      <c r="A8005" s="51">
        <v>295343</v>
      </c>
      <c r="B8005" t="s">
        <v>4139</v>
      </c>
      <c r="C8005" s="39" t="s">
        <v>1803</v>
      </c>
      <c r="D8005">
        <v>8</v>
      </c>
      <c r="F8005" s="56"/>
    </row>
    <row r="8006" spans="1:6" ht="15">
      <c r="A8006" s="51">
        <v>295344</v>
      </c>
      <c r="B8006" t="s">
        <v>4140</v>
      </c>
      <c r="C8006" s="39" t="s">
        <v>914</v>
      </c>
      <c r="D8006" t="s">
        <v>4244</v>
      </c>
      <c r="F8006" s="56"/>
    </row>
    <row r="8007" spans="1:6" ht="15">
      <c r="A8007" s="51">
        <v>295345</v>
      </c>
      <c r="B8007" t="s">
        <v>4141</v>
      </c>
      <c r="C8007" s="39" t="s">
        <v>914</v>
      </c>
      <c r="D8007" t="s">
        <v>4244</v>
      </c>
      <c r="F8007" s="56"/>
    </row>
    <row r="8008" spans="1:6" ht="15">
      <c r="A8008" s="51">
        <v>295346</v>
      </c>
      <c r="B8008" t="s">
        <v>4142</v>
      </c>
      <c r="C8008" s="39" t="s">
        <v>914</v>
      </c>
      <c r="D8008">
        <v>7</v>
      </c>
      <c r="F8008" s="56"/>
    </row>
    <row r="8009" spans="1:6" ht="15">
      <c r="A8009" s="51">
        <v>295347</v>
      </c>
      <c r="B8009" t="s">
        <v>1014</v>
      </c>
      <c r="C8009" s="39" t="s">
        <v>651</v>
      </c>
      <c r="D8009">
        <v>7</v>
      </c>
      <c r="F8009" s="56"/>
    </row>
    <row r="8010" spans="1:6" ht="15">
      <c r="A8010" s="51">
        <v>295348</v>
      </c>
      <c r="B8010" t="s">
        <v>1018</v>
      </c>
      <c r="C8010" s="39" t="s">
        <v>626</v>
      </c>
      <c r="D8010" t="s">
        <v>4243</v>
      </c>
      <c r="F8010" s="56"/>
    </row>
    <row r="8011" spans="1:6" ht="15">
      <c r="A8011" s="51">
        <v>295349</v>
      </c>
      <c r="B8011" t="s">
        <v>1021</v>
      </c>
      <c r="C8011" s="39" t="s">
        <v>626</v>
      </c>
      <c r="D8011" t="s">
        <v>4243</v>
      </c>
      <c r="F8011" s="56"/>
    </row>
    <row r="8012" spans="1:6" ht="15">
      <c r="A8012" s="51">
        <v>295350</v>
      </c>
      <c r="B8012" t="s">
        <v>4143</v>
      </c>
      <c r="C8012" s="39" t="s">
        <v>626</v>
      </c>
      <c r="D8012">
        <v>7</v>
      </c>
      <c r="F8012" s="56"/>
    </row>
    <row r="8013" spans="1:6" ht="15">
      <c r="A8013" s="51">
        <v>295351</v>
      </c>
      <c r="B8013" t="s">
        <v>2463</v>
      </c>
      <c r="C8013" s="39" t="s">
        <v>664</v>
      </c>
      <c r="D8013" t="s">
        <v>4243</v>
      </c>
      <c r="F8013" s="56"/>
    </row>
    <row r="8014" spans="1:6" ht="15">
      <c r="A8014" s="51">
        <v>295352</v>
      </c>
      <c r="B8014" t="s">
        <v>364</v>
      </c>
      <c r="C8014" s="39" t="s">
        <v>664</v>
      </c>
      <c r="D8014" t="s">
        <v>4243</v>
      </c>
      <c r="F8014" s="56"/>
    </row>
    <row r="8015" spans="1:6" ht="15">
      <c r="A8015" s="51">
        <v>295353</v>
      </c>
      <c r="B8015" t="s">
        <v>4144</v>
      </c>
      <c r="C8015" s="39" t="s">
        <v>664</v>
      </c>
      <c r="D8015">
        <v>7</v>
      </c>
      <c r="F8015" s="56"/>
    </row>
    <row r="8016" spans="1:6" ht="15">
      <c r="A8016" s="51">
        <v>295354</v>
      </c>
      <c r="B8016" t="s">
        <v>4145</v>
      </c>
      <c r="C8016" s="39" t="s">
        <v>4146</v>
      </c>
      <c r="D8016">
        <v>8</v>
      </c>
      <c r="F8016" s="56"/>
    </row>
    <row r="8017" spans="1:6" ht="15">
      <c r="A8017" s="51">
        <v>295355</v>
      </c>
      <c r="B8017" t="s">
        <v>4147</v>
      </c>
      <c r="C8017" s="39" t="s">
        <v>4146</v>
      </c>
      <c r="D8017">
        <v>9</v>
      </c>
      <c r="F8017" s="56"/>
    </row>
    <row r="8018" spans="1:6" ht="15">
      <c r="A8018" s="51">
        <v>295357</v>
      </c>
      <c r="B8018" t="s">
        <v>372</v>
      </c>
      <c r="C8018" s="39" t="s">
        <v>896</v>
      </c>
      <c r="D8018">
        <v>8</v>
      </c>
      <c r="F8018" s="56"/>
    </row>
    <row r="8019" spans="1:6" ht="15">
      <c r="A8019" s="51">
        <v>295358</v>
      </c>
      <c r="B8019" t="s">
        <v>2718</v>
      </c>
      <c r="C8019" s="39" t="s">
        <v>373</v>
      </c>
      <c r="D8019" t="s">
        <v>4248</v>
      </c>
      <c r="F8019" s="56"/>
    </row>
    <row r="8020" spans="1:6" ht="15">
      <c r="A8020" s="51">
        <v>295359</v>
      </c>
      <c r="B8020" t="s">
        <v>147</v>
      </c>
      <c r="C8020" s="39" t="s">
        <v>148</v>
      </c>
      <c r="D8020" t="s">
        <v>4245</v>
      </c>
      <c r="F8020" s="56"/>
    </row>
    <row r="8021" spans="1:6" ht="15">
      <c r="A8021" s="51">
        <v>295360</v>
      </c>
      <c r="B8021" t="s">
        <v>149</v>
      </c>
      <c r="C8021" s="39" t="s">
        <v>148</v>
      </c>
      <c r="D8021" t="s">
        <v>4246</v>
      </c>
      <c r="F8021" s="56"/>
    </row>
    <row r="8022" spans="1:6" ht="15">
      <c r="A8022" s="51">
        <v>295361</v>
      </c>
      <c r="B8022" t="s">
        <v>4148</v>
      </c>
      <c r="C8022" s="39" t="s">
        <v>1215</v>
      </c>
      <c r="D8022" t="s">
        <v>4244</v>
      </c>
      <c r="F8022" s="56"/>
    </row>
    <row r="8023" spans="1:6" ht="15">
      <c r="A8023" s="51">
        <v>295362</v>
      </c>
      <c r="B8023" t="s">
        <v>4149</v>
      </c>
      <c r="C8023" s="39" t="s">
        <v>1215</v>
      </c>
      <c r="D8023" t="s">
        <v>4244</v>
      </c>
      <c r="F8023" s="56"/>
    </row>
    <row r="8024" spans="1:6" ht="15">
      <c r="A8024" s="51">
        <v>295363</v>
      </c>
      <c r="B8024" t="s">
        <v>1034</v>
      </c>
      <c r="C8024" s="39" t="s">
        <v>375</v>
      </c>
      <c r="D8024" t="s">
        <v>4243</v>
      </c>
      <c r="F8024" s="56"/>
    </row>
    <row r="8025" spans="1:6" ht="15">
      <c r="A8025" s="51">
        <v>295364</v>
      </c>
      <c r="B8025" t="s">
        <v>1036</v>
      </c>
      <c r="C8025" s="39" t="s">
        <v>375</v>
      </c>
      <c r="D8025" t="s">
        <v>4243</v>
      </c>
      <c r="F8025" s="56"/>
    </row>
    <row r="8026" spans="1:6" ht="15">
      <c r="A8026" s="51">
        <v>295365</v>
      </c>
      <c r="B8026" t="s">
        <v>2006</v>
      </c>
      <c r="C8026" s="39" t="s">
        <v>375</v>
      </c>
      <c r="D8026">
        <v>7</v>
      </c>
      <c r="F8026" s="56"/>
    </row>
    <row r="8027" spans="1:6" ht="15">
      <c r="A8027" s="51">
        <v>295366</v>
      </c>
      <c r="B8027" t="s">
        <v>2618</v>
      </c>
      <c r="C8027" s="39" t="s">
        <v>157</v>
      </c>
      <c r="D8027" t="s">
        <v>4245</v>
      </c>
      <c r="F8027" s="56"/>
    </row>
    <row r="8028" spans="1:6" ht="15">
      <c r="A8028" s="51">
        <v>295367</v>
      </c>
      <c r="B8028" t="s">
        <v>2007</v>
      </c>
      <c r="C8028" s="39" t="s">
        <v>157</v>
      </c>
      <c r="D8028" t="s">
        <v>4245</v>
      </c>
      <c r="F8028" s="56"/>
    </row>
    <row r="8029" spans="1:6" ht="15">
      <c r="A8029" s="51">
        <v>295368</v>
      </c>
      <c r="B8029" t="s">
        <v>2619</v>
      </c>
      <c r="C8029" s="39" t="s">
        <v>157</v>
      </c>
      <c r="D8029" t="s">
        <v>4244</v>
      </c>
      <c r="F8029" s="56"/>
    </row>
    <row r="8030" spans="1:6" ht="15">
      <c r="A8030" s="51">
        <v>295369</v>
      </c>
      <c r="B8030" t="s">
        <v>4150</v>
      </c>
      <c r="C8030" s="39" t="s">
        <v>157</v>
      </c>
      <c r="D8030" t="s">
        <v>4243</v>
      </c>
      <c r="F8030" s="56"/>
    </row>
    <row r="8031" spans="1:6" ht="15">
      <c r="A8031" s="51">
        <v>295370</v>
      </c>
      <c r="B8031" t="s">
        <v>374</v>
      </c>
      <c r="C8031" s="39" t="s">
        <v>157</v>
      </c>
      <c r="D8031" t="s">
        <v>4245</v>
      </c>
      <c r="F8031" s="56"/>
    </row>
    <row r="8032" spans="1:6" ht="15">
      <c r="A8032" s="51">
        <v>295371</v>
      </c>
      <c r="B8032" t="s">
        <v>150</v>
      </c>
      <c r="C8032" s="39" t="s">
        <v>157</v>
      </c>
      <c r="D8032" t="s">
        <v>4245</v>
      </c>
      <c r="F8032" s="56"/>
    </row>
    <row r="8033" spans="1:6" ht="15">
      <c r="A8033" s="51">
        <v>295372</v>
      </c>
      <c r="B8033" t="s">
        <v>152</v>
      </c>
      <c r="C8033" s="39" t="s">
        <v>157</v>
      </c>
      <c r="D8033" t="s">
        <v>4244</v>
      </c>
      <c r="F8033" s="56"/>
    </row>
    <row r="8034" spans="1:6" ht="15">
      <c r="A8034" s="51">
        <v>295373</v>
      </c>
      <c r="B8034" t="s">
        <v>377</v>
      </c>
      <c r="C8034" s="39" t="s">
        <v>3855</v>
      </c>
      <c r="D8034" t="s">
        <v>4245</v>
      </c>
      <c r="F8034" s="56"/>
    </row>
    <row r="8035" spans="1:6" ht="15">
      <c r="A8035" s="51">
        <v>295374</v>
      </c>
      <c r="B8035" t="s">
        <v>378</v>
      </c>
      <c r="C8035" s="39" t="s">
        <v>3855</v>
      </c>
      <c r="D8035" t="s">
        <v>4244</v>
      </c>
      <c r="F8035" s="56"/>
    </row>
    <row r="8036" spans="1:6" ht="15">
      <c r="A8036" s="51">
        <v>295375</v>
      </c>
      <c r="B8036" t="s">
        <v>1216</v>
      </c>
      <c r="C8036" s="39" t="s">
        <v>3855</v>
      </c>
      <c r="D8036" t="s">
        <v>4243</v>
      </c>
      <c r="F8036" s="56"/>
    </row>
    <row r="8037" spans="1:6" ht="15">
      <c r="A8037" s="51">
        <v>295376</v>
      </c>
      <c r="B8037" t="s">
        <v>156</v>
      </c>
      <c r="C8037" s="39" t="s">
        <v>3855</v>
      </c>
      <c r="D8037" t="s">
        <v>4245</v>
      </c>
      <c r="F8037" s="56"/>
    </row>
    <row r="8038" spans="1:6" ht="15">
      <c r="A8038" s="51">
        <v>295377</v>
      </c>
      <c r="B8038" t="s">
        <v>158</v>
      </c>
      <c r="C8038" s="39" t="s">
        <v>3855</v>
      </c>
      <c r="D8038" t="s">
        <v>4244</v>
      </c>
      <c r="F8038" s="56"/>
    </row>
    <row r="8039" spans="1:6" ht="15">
      <c r="A8039" s="51">
        <v>295378</v>
      </c>
      <c r="B8039" t="s">
        <v>159</v>
      </c>
      <c r="C8039" s="39" t="s">
        <v>3855</v>
      </c>
      <c r="D8039" t="s">
        <v>4243</v>
      </c>
      <c r="F8039" s="56"/>
    </row>
    <row r="8040" spans="1:6" ht="15">
      <c r="A8040" s="51">
        <v>295379</v>
      </c>
      <c r="B8040" t="s">
        <v>1747</v>
      </c>
      <c r="C8040" s="39" t="s">
        <v>4151</v>
      </c>
      <c r="D8040">
        <v>9</v>
      </c>
      <c r="F8040" s="56"/>
    </row>
    <row r="8041" spans="1:6" ht="15">
      <c r="A8041" s="51">
        <v>295380</v>
      </c>
      <c r="B8041" t="s">
        <v>384</v>
      </c>
      <c r="C8041" s="39" t="s">
        <v>385</v>
      </c>
      <c r="D8041">
        <v>7</v>
      </c>
      <c r="F8041" s="56"/>
    </row>
    <row r="8042" spans="1:6" ht="15">
      <c r="A8042" s="51">
        <v>295381</v>
      </c>
      <c r="B8042" t="s">
        <v>2212</v>
      </c>
      <c r="C8042" s="39" t="s">
        <v>924</v>
      </c>
      <c r="D8042" t="s">
        <v>4246</v>
      </c>
      <c r="F8042" s="56"/>
    </row>
    <row r="8043" spans="1:6" ht="15">
      <c r="A8043" s="51">
        <v>295382</v>
      </c>
      <c r="B8043" t="s">
        <v>160</v>
      </c>
      <c r="C8043" s="39" t="s">
        <v>924</v>
      </c>
      <c r="D8043" t="s">
        <v>4246</v>
      </c>
      <c r="F8043" s="56"/>
    </row>
    <row r="8044" spans="1:6" ht="15">
      <c r="A8044" s="51">
        <v>295383</v>
      </c>
      <c r="B8044" t="s">
        <v>162</v>
      </c>
      <c r="C8044" s="39" t="s">
        <v>924</v>
      </c>
      <c r="D8044" t="s">
        <v>4243</v>
      </c>
      <c r="F8044" s="56"/>
    </row>
    <row r="8045" spans="1:6" ht="15">
      <c r="A8045" s="51">
        <v>295384</v>
      </c>
      <c r="B8045" t="s">
        <v>163</v>
      </c>
      <c r="C8045" s="39" t="s">
        <v>924</v>
      </c>
      <c r="D8045">
        <v>7</v>
      </c>
      <c r="F8045" s="56"/>
    </row>
    <row r="8046" spans="1:6" ht="15">
      <c r="A8046" s="51">
        <v>295385</v>
      </c>
      <c r="B8046" t="s">
        <v>1055</v>
      </c>
      <c r="C8046" s="39" t="s">
        <v>166</v>
      </c>
      <c r="D8046" t="s">
        <v>4245</v>
      </c>
      <c r="F8046" s="56"/>
    </row>
    <row r="8047" spans="1:6" ht="15">
      <c r="A8047" s="51">
        <v>295386</v>
      </c>
      <c r="B8047" t="s">
        <v>1056</v>
      </c>
      <c r="C8047" s="39" t="s">
        <v>166</v>
      </c>
      <c r="D8047" t="s">
        <v>4244</v>
      </c>
      <c r="F8047" s="56"/>
    </row>
    <row r="8048" spans="1:6" ht="15">
      <c r="A8048" s="51">
        <v>295387</v>
      </c>
      <c r="B8048" t="s">
        <v>1058</v>
      </c>
      <c r="C8048" s="39" t="s">
        <v>166</v>
      </c>
      <c r="D8048" t="s">
        <v>4243</v>
      </c>
      <c r="F8048" s="56"/>
    </row>
    <row r="8049" spans="1:6" ht="15">
      <c r="A8049" s="51">
        <v>295388</v>
      </c>
      <c r="B8049" t="s">
        <v>4152</v>
      </c>
      <c r="C8049" s="39" t="s">
        <v>166</v>
      </c>
      <c r="D8049">
        <v>9</v>
      </c>
      <c r="F8049" s="56"/>
    </row>
    <row r="8050" spans="1:6" ht="15">
      <c r="A8050" s="51">
        <v>295389</v>
      </c>
      <c r="B8050" t="s">
        <v>179</v>
      </c>
      <c r="C8050" s="39" t="s">
        <v>390</v>
      </c>
      <c r="D8050" t="s">
        <v>4247</v>
      </c>
      <c r="F8050" s="56"/>
    </row>
    <row r="8051" spans="1:6" ht="15">
      <c r="A8051" s="51">
        <v>295390</v>
      </c>
      <c r="B8051" t="s">
        <v>391</v>
      </c>
      <c r="C8051" s="39" t="s">
        <v>390</v>
      </c>
      <c r="D8051" t="s">
        <v>4243</v>
      </c>
      <c r="F8051" s="56"/>
    </row>
    <row r="8052" spans="1:6" ht="15">
      <c r="A8052" s="51">
        <v>295391</v>
      </c>
      <c r="B8052" t="s">
        <v>392</v>
      </c>
      <c r="C8052" s="39" t="s">
        <v>390</v>
      </c>
      <c r="D8052">
        <v>7</v>
      </c>
      <c r="F8052" s="56"/>
    </row>
    <row r="8053" spans="1:6" ht="15">
      <c r="A8053" s="51">
        <v>295392</v>
      </c>
      <c r="B8053" t="s">
        <v>857</v>
      </c>
      <c r="C8053" s="39" t="s">
        <v>390</v>
      </c>
      <c r="D8053">
        <v>9</v>
      </c>
      <c r="F8053" s="56"/>
    </row>
    <row r="8054" spans="1:6" ht="15">
      <c r="A8054" s="51">
        <v>295393</v>
      </c>
      <c r="B8054" t="s">
        <v>182</v>
      </c>
      <c r="C8054" s="39" t="s">
        <v>183</v>
      </c>
      <c r="D8054">
        <v>7</v>
      </c>
      <c r="F8054" s="56"/>
    </row>
    <row r="8055" spans="1:6" ht="15">
      <c r="A8055" s="51">
        <v>295394</v>
      </c>
      <c r="B8055" t="s">
        <v>186</v>
      </c>
      <c r="C8055" s="39" t="s">
        <v>1437</v>
      </c>
      <c r="D8055" t="s">
        <v>4245</v>
      </c>
      <c r="F8055" s="56"/>
    </row>
    <row r="8056" spans="1:6" ht="15">
      <c r="A8056" s="51">
        <v>295395</v>
      </c>
      <c r="B8056" t="s">
        <v>187</v>
      </c>
      <c r="C8056" s="39" t="s">
        <v>1437</v>
      </c>
      <c r="D8056" t="s">
        <v>4244</v>
      </c>
      <c r="F8056" s="56"/>
    </row>
    <row r="8057" spans="1:6" ht="15">
      <c r="A8057" s="51">
        <v>295396</v>
      </c>
      <c r="B8057" t="s">
        <v>1186</v>
      </c>
      <c r="C8057" s="39" t="s">
        <v>1437</v>
      </c>
      <c r="D8057" t="s">
        <v>4245</v>
      </c>
      <c r="F8057" s="56"/>
    </row>
    <row r="8058" spans="1:6" ht="15">
      <c r="A8058" s="51">
        <v>295397</v>
      </c>
      <c r="B8058" t="s">
        <v>1187</v>
      </c>
      <c r="C8058" s="39" t="s">
        <v>1437</v>
      </c>
      <c r="D8058" t="s">
        <v>4244</v>
      </c>
      <c r="F8058" s="56"/>
    </row>
    <row r="8059" spans="1:6" ht="15">
      <c r="A8059" s="51">
        <v>295398</v>
      </c>
      <c r="B8059" t="s">
        <v>2474</v>
      </c>
      <c r="C8059" s="39" t="s">
        <v>189</v>
      </c>
      <c r="D8059" t="s">
        <v>4247</v>
      </c>
      <c r="F8059" s="56"/>
    </row>
    <row r="8060" spans="1:6" ht="15">
      <c r="A8060" s="51">
        <v>295399</v>
      </c>
      <c r="B8060" t="s">
        <v>2475</v>
      </c>
      <c r="C8060" s="39" t="s">
        <v>189</v>
      </c>
      <c r="D8060" t="s">
        <v>4243</v>
      </c>
      <c r="F8060" s="56"/>
    </row>
    <row r="8061" spans="1:6" ht="15">
      <c r="A8061" s="51">
        <v>295400</v>
      </c>
      <c r="B8061" t="s">
        <v>2476</v>
      </c>
      <c r="C8061" s="39" t="s">
        <v>189</v>
      </c>
      <c r="D8061">
        <v>7</v>
      </c>
      <c r="F8061" s="56"/>
    </row>
    <row r="8062" spans="1:6" ht="15">
      <c r="A8062" s="51">
        <v>295401</v>
      </c>
      <c r="B8062" t="s">
        <v>2477</v>
      </c>
      <c r="C8062" s="39" t="s">
        <v>189</v>
      </c>
      <c r="D8062">
        <v>9</v>
      </c>
      <c r="F8062" s="56"/>
    </row>
    <row r="8063" spans="1:6" ht="15">
      <c r="A8063" s="51">
        <v>295402</v>
      </c>
      <c r="B8063" t="s">
        <v>2028</v>
      </c>
      <c r="C8063" s="39" t="s">
        <v>4153</v>
      </c>
      <c r="D8063">
        <v>9</v>
      </c>
      <c r="F8063" s="56"/>
    </row>
    <row r="8064" spans="1:6" ht="15">
      <c r="A8064" s="51">
        <v>295403</v>
      </c>
      <c r="B8064" t="s">
        <v>1667</v>
      </c>
      <c r="C8064" s="39" t="s">
        <v>192</v>
      </c>
      <c r="D8064" t="s">
        <v>4247</v>
      </c>
      <c r="F8064" s="56"/>
    </row>
    <row r="8065" spans="1:6" ht="15">
      <c r="A8065" s="51">
        <v>295404</v>
      </c>
      <c r="B8065" t="s">
        <v>403</v>
      </c>
      <c r="C8065" s="39" t="s">
        <v>192</v>
      </c>
      <c r="D8065" t="s">
        <v>4247</v>
      </c>
      <c r="F8065" s="56"/>
    </row>
    <row r="8066" spans="1:6" ht="15">
      <c r="A8066" s="51">
        <v>295405</v>
      </c>
      <c r="B8066" t="s">
        <v>1668</v>
      </c>
      <c r="C8066" s="39" t="s">
        <v>192</v>
      </c>
      <c r="D8066" t="s">
        <v>4243</v>
      </c>
      <c r="F8066" s="56"/>
    </row>
    <row r="8067" spans="1:6" ht="15">
      <c r="A8067" s="51">
        <v>295406</v>
      </c>
      <c r="B8067" t="s">
        <v>3679</v>
      </c>
      <c r="C8067" s="39" t="s">
        <v>192</v>
      </c>
      <c r="D8067">
        <v>7</v>
      </c>
      <c r="F8067" s="56"/>
    </row>
    <row r="8068" spans="1:6" ht="15">
      <c r="A8068" s="51">
        <v>295407</v>
      </c>
      <c r="B8068" t="s">
        <v>1567</v>
      </c>
      <c r="C8068" s="39" t="s">
        <v>1831</v>
      </c>
      <c r="D8068" t="s">
        <v>4247</v>
      </c>
      <c r="F8068" s="56"/>
    </row>
    <row r="8069" spans="1:6" ht="15">
      <c r="A8069" s="51">
        <v>295408</v>
      </c>
      <c r="B8069" t="s">
        <v>3116</v>
      </c>
      <c r="C8069" s="39" t="s">
        <v>1831</v>
      </c>
      <c r="D8069" t="s">
        <v>4243</v>
      </c>
      <c r="F8069" s="56"/>
    </row>
    <row r="8070" spans="1:6" ht="15">
      <c r="A8070" s="51">
        <v>295409</v>
      </c>
      <c r="B8070" t="s">
        <v>1838</v>
      </c>
      <c r="C8070" s="39" t="s">
        <v>561</v>
      </c>
      <c r="D8070" t="s">
        <v>4247</v>
      </c>
      <c r="F8070" s="56"/>
    </row>
    <row r="8071" spans="1:6" ht="15">
      <c r="A8071" s="51">
        <v>295410</v>
      </c>
      <c r="B8071" t="s">
        <v>409</v>
      </c>
      <c r="C8071" s="39" t="s">
        <v>410</v>
      </c>
      <c r="D8071" t="s">
        <v>4246</v>
      </c>
      <c r="F8071" s="56"/>
    </row>
    <row r="8072" spans="1:6" ht="15">
      <c r="A8072" s="51">
        <v>295411</v>
      </c>
      <c r="B8072" t="s">
        <v>411</v>
      </c>
      <c r="C8072" s="39" t="s">
        <v>410</v>
      </c>
      <c r="D8072" t="s">
        <v>4243</v>
      </c>
      <c r="F8072" s="56"/>
    </row>
    <row r="8073" spans="1:6" ht="15">
      <c r="A8073" s="51">
        <v>295412</v>
      </c>
      <c r="B8073" t="s">
        <v>412</v>
      </c>
      <c r="C8073" s="39" t="s">
        <v>410</v>
      </c>
      <c r="D8073">
        <v>7</v>
      </c>
      <c r="F8073" s="56"/>
    </row>
    <row r="8074" spans="1:6" ht="15">
      <c r="A8074" s="51">
        <v>295413</v>
      </c>
      <c r="B8074" t="s">
        <v>223</v>
      </c>
      <c r="C8074" s="39" t="s">
        <v>224</v>
      </c>
      <c r="D8074" t="s">
        <v>4243</v>
      </c>
      <c r="F8074" s="56"/>
    </row>
    <row r="8075" spans="1:6" ht="15">
      <c r="A8075" s="51">
        <v>295414</v>
      </c>
      <c r="B8075" t="s">
        <v>1100</v>
      </c>
      <c r="C8075" s="39" t="s">
        <v>1098</v>
      </c>
      <c r="D8075" t="s">
        <v>466</v>
      </c>
      <c r="F8075" s="56"/>
    </row>
    <row r="8076" spans="1:6" ht="15">
      <c r="A8076" s="51">
        <v>295415</v>
      </c>
      <c r="B8076" t="s">
        <v>1101</v>
      </c>
      <c r="C8076" s="39" t="s">
        <v>1098</v>
      </c>
      <c r="D8076" t="s">
        <v>1595</v>
      </c>
      <c r="F8076" s="56"/>
    </row>
    <row r="8077" spans="1:6" ht="15">
      <c r="A8077" s="51">
        <v>295416</v>
      </c>
      <c r="B8077" t="s">
        <v>2636</v>
      </c>
      <c r="C8077" s="39" t="s">
        <v>1227</v>
      </c>
      <c r="D8077">
        <v>8</v>
      </c>
      <c r="F8077" s="56"/>
    </row>
    <row r="8078" spans="1:6" ht="15">
      <c r="A8078" s="51">
        <v>295417</v>
      </c>
      <c r="B8078" t="s">
        <v>420</v>
      </c>
      <c r="C8078" s="39" t="s">
        <v>1227</v>
      </c>
      <c r="D8078">
        <v>8</v>
      </c>
      <c r="F8078" s="56"/>
    </row>
    <row r="8079" spans="1:6" ht="15">
      <c r="A8079" s="51">
        <v>295418</v>
      </c>
      <c r="B8079" t="s">
        <v>3063</v>
      </c>
      <c r="C8079" s="39" t="s">
        <v>1107</v>
      </c>
      <c r="D8079" t="s">
        <v>4245</v>
      </c>
      <c r="F8079" s="56"/>
    </row>
    <row r="8080" spans="1:6" ht="15">
      <c r="A8080" s="51">
        <v>295419</v>
      </c>
      <c r="B8080" t="s">
        <v>2639</v>
      </c>
      <c r="C8080" s="39" t="s">
        <v>1107</v>
      </c>
      <c r="D8080" t="s">
        <v>4245</v>
      </c>
      <c r="F8080" s="56"/>
    </row>
    <row r="8081" spans="1:6" ht="15">
      <c r="A8081" s="51">
        <v>295421</v>
      </c>
      <c r="B8081" t="s">
        <v>1199</v>
      </c>
      <c r="C8081" s="39" t="s">
        <v>233</v>
      </c>
      <c r="D8081" t="s">
        <v>4244</v>
      </c>
      <c r="F8081" s="56"/>
    </row>
    <row r="8082" spans="1:6" ht="15">
      <c r="A8082" s="51">
        <v>295422</v>
      </c>
      <c r="B8082" t="s">
        <v>1111</v>
      </c>
      <c r="C8082" s="39" t="s">
        <v>1855</v>
      </c>
      <c r="D8082">
        <v>9</v>
      </c>
      <c r="F8082" s="56"/>
    </row>
    <row r="8083" spans="1:6" ht="15">
      <c r="A8083" s="51">
        <v>295423</v>
      </c>
      <c r="B8083" t="s">
        <v>242</v>
      </c>
      <c r="C8083" s="39" t="s">
        <v>243</v>
      </c>
      <c r="D8083" t="s">
        <v>4245</v>
      </c>
      <c r="F8083" s="56"/>
    </row>
    <row r="8084" spans="1:6" ht="15">
      <c r="A8084" s="51">
        <v>295424</v>
      </c>
      <c r="B8084" t="s">
        <v>245</v>
      </c>
      <c r="C8084" s="39" t="s">
        <v>243</v>
      </c>
      <c r="D8084" t="s">
        <v>4247</v>
      </c>
      <c r="F8084" s="56"/>
    </row>
    <row r="8085" spans="1:6" ht="15">
      <c r="A8085" s="51">
        <v>295425</v>
      </c>
      <c r="B8085" t="s">
        <v>1778</v>
      </c>
      <c r="C8085" s="39" t="s">
        <v>1589</v>
      </c>
      <c r="D8085">
        <v>7</v>
      </c>
      <c r="F8085" s="56"/>
    </row>
    <row r="8086" spans="1:6" ht="15">
      <c r="A8086" s="51">
        <v>295426</v>
      </c>
      <c r="B8086" t="s">
        <v>432</v>
      </c>
      <c r="C8086" s="39" t="s">
        <v>433</v>
      </c>
      <c r="D8086" t="s">
        <v>4245</v>
      </c>
      <c r="F8086" s="56"/>
    </row>
    <row r="8087" spans="1:6" ht="15">
      <c r="A8087" s="51">
        <v>295427</v>
      </c>
      <c r="B8087" t="s">
        <v>882</v>
      </c>
      <c r="C8087" s="39" t="s">
        <v>437</v>
      </c>
      <c r="D8087" t="s">
        <v>4248</v>
      </c>
      <c r="F8087" s="56"/>
    </row>
    <row r="8088" spans="1:6" ht="15">
      <c r="A8088" s="51">
        <v>295428</v>
      </c>
      <c r="B8088" t="s">
        <v>2554</v>
      </c>
      <c r="C8088" s="39" t="s">
        <v>884</v>
      </c>
      <c r="D8088">
        <v>7</v>
      </c>
      <c r="F8088" s="56"/>
    </row>
    <row r="8089" spans="1:6" ht="15">
      <c r="A8089" s="51">
        <v>295429</v>
      </c>
      <c r="B8089" t="s">
        <v>438</v>
      </c>
      <c r="C8089" s="39" t="s">
        <v>884</v>
      </c>
      <c r="D8089">
        <v>7</v>
      </c>
      <c r="F8089" s="56"/>
    </row>
    <row r="8090" spans="1:6" ht="15">
      <c r="A8090" s="51">
        <v>1405105</v>
      </c>
      <c r="B8090" t="s">
        <v>2508</v>
      </c>
      <c r="C8090" s="39" t="s">
        <v>258</v>
      </c>
      <c r="D8090">
        <v>9</v>
      </c>
      <c r="F8090" s="56"/>
    </row>
    <row r="8091" spans="1:6" ht="15">
      <c r="A8091" s="51">
        <v>295430</v>
      </c>
      <c r="B8091" t="s">
        <v>265</v>
      </c>
      <c r="C8091" s="39" t="s">
        <v>669</v>
      </c>
      <c r="D8091" t="s">
        <v>4246</v>
      </c>
      <c r="F8091" s="56"/>
    </row>
    <row r="8092" spans="1:6" ht="15">
      <c r="A8092" s="51">
        <v>295431</v>
      </c>
      <c r="B8092" t="s">
        <v>72</v>
      </c>
      <c r="C8092" s="39" t="s">
        <v>669</v>
      </c>
      <c r="D8092" t="s">
        <v>4244</v>
      </c>
      <c r="F8092" s="56"/>
    </row>
    <row r="8093" spans="1:6" ht="15">
      <c r="A8093" s="51">
        <v>295432</v>
      </c>
      <c r="B8093" t="s">
        <v>266</v>
      </c>
      <c r="C8093" s="39" t="s">
        <v>669</v>
      </c>
      <c r="D8093" t="s">
        <v>4243</v>
      </c>
      <c r="F8093" s="56"/>
    </row>
    <row r="8094" spans="1:6" ht="15">
      <c r="A8094" s="51">
        <v>295433</v>
      </c>
      <c r="B8094" t="s">
        <v>273</v>
      </c>
      <c r="C8094" s="39" t="s">
        <v>274</v>
      </c>
      <c r="D8094" t="s">
        <v>4243</v>
      </c>
      <c r="F8094" s="56"/>
    </row>
    <row r="8095" spans="1:6" ht="15">
      <c r="A8095" s="51">
        <v>295434</v>
      </c>
      <c r="B8095" t="s">
        <v>74</v>
      </c>
      <c r="C8095" s="39" t="s">
        <v>274</v>
      </c>
      <c r="D8095" t="s">
        <v>4243</v>
      </c>
      <c r="F8095" s="56"/>
    </row>
    <row r="8096" spans="1:6" ht="15">
      <c r="A8096" s="51">
        <v>295435</v>
      </c>
      <c r="B8096" t="s">
        <v>75</v>
      </c>
      <c r="C8096" s="39" t="s">
        <v>274</v>
      </c>
      <c r="D8096">
        <v>7</v>
      </c>
      <c r="F8096" s="56"/>
    </row>
    <row r="8097" spans="1:6" ht="15">
      <c r="A8097" s="51">
        <v>295437</v>
      </c>
      <c r="B8097" t="s">
        <v>455</v>
      </c>
      <c r="C8097" s="39" t="s">
        <v>550</v>
      </c>
      <c r="D8097" t="s">
        <v>4244</v>
      </c>
      <c r="F8097" s="56"/>
    </row>
    <row r="8098" spans="1:6" ht="15">
      <c r="A8098" s="51">
        <v>295438</v>
      </c>
      <c r="B8098" t="s">
        <v>2510</v>
      </c>
      <c r="C8098" s="39" t="s">
        <v>2907</v>
      </c>
      <c r="D8098">
        <v>8</v>
      </c>
      <c r="F8098" s="56"/>
    </row>
    <row r="8099" spans="1:6" ht="15">
      <c r="A8099" s="51">
        <v>295439</v>
      </c>
      <c r="B8099" t="s">
        <v>1516</v>
      </c>
      <c r="C8099" s="39" t="s">
        <v>283</v>
      </c>
      <c r="D8099">
        <v>8</v>
      </c>
      <c r="F8099" s="56"/>
    </row>
    <row r="8100" spans="1:6" ht="15">
      <c r="A8100" s="51">
        <v>295440</v>
      </c>
      <c r="B8100" t="s">
        <v>2774</v>
      </c>
      <c r="C8100" s="39" t="s">
        <v>898</v>
      </c>
      <c r="D8100" t="s">
        <v>4247</v>
      </c>
      <c r="F8100" s="56"/>
    </row>
    <row r="8101" spans="1:6" ht="15">
      <c r="A8101" s="51">
        <v>295441</v>
      </c>
      <c r="B8101" t="s">
        <v>2277</v>
      </c>
      <c r="C8101" s="39" t="s">
        <v>898</v>
      </c>
      <c r="D8101" t="s">
        <v>4243</v>
      </c>
      <c r="F8101" s="56"/>
    </row>
    <row r="8102" spans="1:6" ht="15">
      <c r="A8102" s="51">
        <v>295442</v>
      </c>
      <c r="B8102" t="s">
        <v>294</v>
      </c>
      <c r="C8102" s="39" t="s">
        <v>898</v>
      </c>
      <c r="D8102" t="s">
        <v>4247</v>
      </c>
      <c r="F8102" s="56"/>
    </row>
    <row r="8103" spans="1:6" ht="15">
      <c r="A8103" s="51">
        <v>295443</v>
      </c>
      <c r="B8103" t="s">
        <v>296</v>
      </c>
      <c r="C8103" s="39" t="s">
        <v>898</v>
      </c>
      <c r="D8103" t="s">
        <v>4243</v>
      </c>
      <c r="F8103" s="56"/>
    </row>
    <row r="8104" spans="1:6" ht="15">
      <c r="A8104" s="51">
        <v>3250304</v>
      </c>
      <c r="B8104" t="s">
        <v>466</v>
      </c>
      <c r="C8104" s="39" t="s">
        <v>138</v>
      </c>
      <c r="D8104">
        <v>9</v>
      </c>
      <c r="F8104" s="56"/>
    </row>
    <row r="8105" spans="1:6" ht="15">
      <c r="A8105" s="51">
        <v>3250303</v>
      </c>
      <c r="B8105" t="s">
        <v>1595</v>
      </c>
      <c r="C8105" s="39" t="s">
        <v>1598</v>
      </c>
      <c r="D8105" t="s">
        <v>4248</v>
      </c>
      <c r="F8105" s="56"/>
    </row>
    <row r="8106" spans="1:6" ht="15">
      <c r="A8106" s="51">
        <v>3250289</v>
      </c>
      <c r="B8106" t="s">
        <v>468</v>
      </c>
      <c r="C8106" s="39" t="s">
        <v>1601</v>
      </c>
      <c r="D8106" t="s">
        <v>4245</v>
      </c>
      <c r="F8106" s="56"/>
    </row>
    <row r="8107" spans="1:6" ht="15">
      <c r="A8107" s="51">
        <v>3250305</v>
      </c>
      <c r="B8107" t="s">
        <v>1596</v>
      </c>
      <c r="C8107" s="39" t="s">
        <v>3378</v>
      </c>
      <c r="D8107" t="s">
        <v>4245</v>
      </c>
      <c r="F8107" s="56"/>
    </row>
    <row r="8108" spans="1:6" ht="15">
      <c r="A8108" s="51">
        <v>1407903</v>
      </c>
      <c r="B8108" t="s">
        <v>469</v>
      </c>
      <c r="C8108" s="39" t="s">
        <v>283</v>
      </c>
      <c r="D8108">
        <v>8</v>
      </c>
      <c r="F8108" s="56"/>
    </row>
    <row r="8109" spans="1:6" ht="15">
      <c r="A8109" s="51">
        <v>3250417</v>
      </c>
      <c r="B8109" t="s">
        <v>888</v>
      </c>
      <c r="C8109" s="39" t="s">
        <v>4154</v>
      </c>
      <c r="D8109">
        <v>7</v>
      </c>
      <c r="F8109" s="56"/>
    </row>
    <row r="8110" spans="1:6" ht="15">
      <c r="A8110" s="51">
        <v>3250352</v>
      </c>
      <c r="B8110" t="s">
        <v>484</v>
      </c>
      <c r="C8110" s="39" t="s">
        <v>1684</v>
      </c>
      <c r="D8110">
        <v>7</v>
      </c>
      <c r="F8110" s="56"/>
    </row>
    <row r="8111" spans="1:6" ht="15">
      <c r="A8111" s="51">
        <v>1407891</v>
      </c>
      <c r="B8111" t="s">
        <v>2292</v>
      </c>
      <c r="C8111" s="39" t="s">
        <v>507</v>
      </c>
      <c r="D8111">
        <v>9</v>
      </c>
      <c r="F8111" s="56"/>
    </row>
    <row r="8112" spans="1:6" ht="15">
      <c r="B8112" t="s">
        <v>491</v>
      </c>
      <c r="C8112" s="39" t="s">
        <v>1634</v>
      </c>
      <c r="D8112" t="s">
        <v>4243</v>
      </c>
      <c r="F8112" s="56"/>
    </row>
    <row r="8113" spans="1:6" ht="15">
      <c r="A8113" s="51">
        <v>3250323</v>
      </c>
      <c r="B8113" t="s">
        <v>493</v>
      </c>
      <c r="C8113" s="39" t="s">
        <v>2912</v>
      </c>
      <c r="D8113" t="s">
        <v>4246</v>
      </c>
      <c r="F8113" s="56"/>
    </row>
    <row r="8114" spans="1:6" ht="15">
      <c r="A8114" s="51">
        <v>3250322</v>
      </c>
      <c r="B8114" t="s">
        <v>494</v>
      </c>
      <c r="C8114" s="39" t="s">
        <v>2912</v>
      </c>
      <c r="D8114" t="s">
        <v>4246</v>
      </c>
      <c r="F8114" s="56"/>
    </row>
    <row r="8115" spans="1:6" ht="15">
      <c r="A8115" s="51">
        <v>3250394</v>
      </c>
      <c r="B8115" t="s">
        <v>497</v>
      </c>
      <c r="C8115" s="39" t="s">
        <v>498</v>
      </c>
      <c r="D8115" t="s">
        <v>4243</v>
      </c>
      <c r="F8115" s="56"/>
    </row>
    <row r="8116" spans="1:6" ht="15">
      <c r="A8116" s="51">
        <v>3250395</v>
      </c>
      <c r="B8116" t="s">
        <v>499</v>
      </c>
      <c r="C8116" s="39" t="s">
        <v>498</v>
      </c>
      <c r="D8116" t="s">
        <v>4243</v>
      </c>
      <c r="F8116" s="56"/>
    </row>
    <row r="8117" spans="1:6" ht="15">
      <c r="A8117" s="51">
        <v>3250396</v>
      </c>
      <c r="B8117" t="s">
        <v>500</v>
      </c>
      <c r="C8117" s="39" t="s">
        <v>498</v>
      </c>
      <c r="D8117">
        <v>8</v>
      </c>
      <c r="F8117" s="56"/>
    </row>
    <row r="8118" spans="1:6" ht="15">
      <c r="A8118" s="51">
        <v>3250331</v>
      </c>
      <c r="B8118" t="s">
        <v>892</v>
      </c>
      <c r="C8118" s="39" t="s">
        <v>1215</v>
      </c>
      <c r="D8118" t="s">
        <v>4244</v>
      </c>
      <c r="F8118" s="56"/>
    </row>
    <row r="8119" spans="1:6" ht="15">
      <c r="A8119" s="51">
        <v>3250332</v>
      </c>
      <c r="B8119" t="s">
        <v>508</v>
      </c>
      <c r="C8119" s="39" t="s">
        <v>3379</v>
      </c>
      <c r="D8119">
        <v>7</v>
      </c>
      <c r="F8119" s="56"/>
    </row>
    <row r="8120" spans="1:6" ht="15">
      <c r="A8120" s="51">
        <v>3264870</v>
      </c>
      <c r="B8120" t="s">
        <v>511</v>
      </c>
      <c r="C8120" s="39" t="s">
        <v>3380</v>
      </c>
      <c r="D8120">
        <v>7</v>
      </c>
      <c r="F8120" s="56"/>
    </row>
    <row r="8121" spans="1:6" ht="15">
      <c r="A8121" s="51">
        <v>3264871</v>
      </c>
      <c r="B8121" t="s">
        <v>2568</v>
      </c>
      <c r="C8121" s="39" t="s">
        <v>157</v>
      </c>
      <c r="D8121" t="s">
        <v>4245</v>
      </c>
      <c r="F8121" s="56"/>
    </row>
    <row r="8122" spans="1:6" ht="15">
      <c r="A8122" s="51">
        <v>3250287</v>
      </c>
      <c r="B8122" t="s">
        <v>2299</v>
      </c>
      <c r="C8122" s="39" t="s">
        <v>157</v>
      </c>
      <c r="D8122" t="s">
        <v>4245</v>
      </c>
      <c r="F8122" s="56"/>
    </row>
    <row r="8123" spans="1:6" ht="15">
      <c r="A8123" s="51">
        <v>3250288</v>
      </c>
      <c r="B8123" t="s">
        <v>2300</v>
      </c>
      <c r="C8123" s="39" t="s">
        <v>157</v>
      </c>
      <c r="D8123" t="s">
        <v>4244</v>
      </c>
      <c r="F8123" s="56"/>
    </row>
    <row r="8124" spans="1:6" ht="15">
      <c r="A8124" s="51">
        <v>3250286</v>
      </c>
      <c r="B8124" t="s">
        <v>2917</v>
      </c>
      <c r="C8124" s="39" t="s">
        <v>157</v>
      </c>
      <c r="D8124" t="s">
        <v>4243</v>
      </c>
      <c r="F8124" s="56"/>
    </row>
    <row r="8125" spans="1:6" ht="15">
      <c r="A8125" s="51">
        <v>3250330</v>
      </c>
      <c r="B8125" t="s">
        <v>524</v>
      </c>
      <c r="C8125" s="39" t="s">
        <v>108</v>
      </c>
      <c r="D8125" t="s">
        <v>4245</v>
      </c>
      <c r="F8125" s="56"/>
    </row>
    <row r="8126" spans="1:6" ht="15">
      <c r="A8126" s="51">
        <v>3250318</v>
      </c>
      <c r="B8126" t="s">
        <v>525</v>
      </c>
      <c r="C8126" s="39" t="s">
        <v>108</v>
      </c>
      <c r="D8126" t="s">
        <v>4245</v>
      </c>
      <c r="F8126" s="56"/>
    </row>
    <row r="8127" spans="1:6" ht="15">
      <c r="A8127" s="51">
        <v>3250317</v>
      </c>
      <c r="B8127" t="s">
        <v>526</v>
      </c>
      <c r="C8127" s="39" t="s">
        <v>108</v>
      </c>
      <c r="D8127" t="s">
        <v>4244</v>
      </c>
      <c r="F8127" s="56"/>
    </row>
    <row r="8128" spans="1:6" ht="15">
      <c r="A8128" s="51">
        <v>3250321</v>
      </c>
      <c r="B8128" t="s">
        <v>527</v>
      </c>
      <c r="C8128" s="39" t="s">
        <v>108</v>
      </c>
      <c r="D8128" t="s">
        <v>4243</v>
      </c>
      <c r="F8128" s="56"/>
    </row>
    <row r="8129" spans="1:6" ht="15">
      <c r="A8129" s="51">
        <v>3250320</v>
      </c>
      <c r="B8129" t="s">
        <v>528</v>
      </c>
      <c r="C8129" s="39" t="s">
        <v>108</v>
      </c>
      <c r="D8129">
        <v>8</v>
      </c>
      <c r="F8129" s="56"/>
    </row>
    <row r="8130" spans="1:6" ht="15">
      <c r="A8130" s="51">
        <v>3250416</v>
      </c>
      <c r="B8130" t="s">
        <v>530</v>
      </c>
      <c r="C8130" s="39" t="s">
        <v>108</v>
      </c>
      <c r="D8130" t="s">
        <v>4244</v>
      </c>
      <c r="F8130" s="56"/>
    </row>
    <row r="8131" spans="1:6" ht="15">
      <c r="A8131" s="51">
        <v>3250306</v>
      </c>
      <c r="B8131" t="s">
        <v>531</v>
      </c>
      <c r="C8131" s="39" t="s">
        <v>108</v>
      </c>
      <c r="D8131" t="s">
        <v>4244</v>
      </c>
      <c r="F8131" s="56"/>
    </row>
    <row r="8132" spans="1:6" ht="15">
      <c r="A8132" s="51">
        <v>3250415</v>
      </c>
      <c r="B8132" t="s">
        <v>532</v>
      </c>
      <c r="C8132" s="39" t="s">
        <v>106</v>
      </c>
      <c r="D8132" t="s">
        <v>4245</v>
      </c>
      <c r="F8132" s="56"/>
    </row>
    <row r="8133" spans="1:6" ht="15">
      <c r="A8133" s="51">
        <v>3250319</v>
      </c>
      <c r="B8133" t="s">
        <v>533</v>
      </c>
      <c r="C8133" s="39" t="s">
        <v>106</v>
      </c>
      <c r="D8133" t="s">
        <v>4245</v>
      </c>
      <c r="F8133" s="56"/>
    </row>
    <row r="8134" spans="1:6" ht="15">
      <c r="B8134" t="s">
        <v>541</v>
      </c>
      <c r="C8134" s="39" t="s">
        <v>542</v>
      </c>
      <c r="D8134" t="s">
        <v>4245</v>
      </c>
      <c r="F8134" s="56"/>
    </row>
    <row r="8135" spans="1:6" ht="15">
      <c r="B8135" t="s">
        <v>543</v>
      </c>
      <c r="C8135" s="39" t="s">
        <v>542</v>
      </c>
      <c r="D8135" t="s">
        <v>4246</v>
      </c>
      <c r="F8135" s="56"/>
    </row>
    <row r="8136" spans="1:6" ht="15">
      <c r="B8136" t="s">
        <v>544</v>
      </c>
      <c r="C8136" s="39" t="s">
        <v>542</v>
      </c>
      <c r="D8136" t="s">
        <v>4244</v>
      </c>
      <c r="F8136" s="56"/>
    </row>
    <row r="8137" spans="1:6" ht="15">
      <c r="B8137" t="s">
        <v>545</v>
      </c>
      <c r="C8137" s="39" t="s">
        <v>542</v>
      </c>
      <c r="D8137" t="s">
        <v>4243</v>
      </c>
      <c r="F8137" s="56"/>
    </row>
    <row r="8138" spans="1:6" ht="15">
      <c r="B8138" t="s">
        <v>546</v>
      </c>
      <c r="C8138" s="39" t="s">
        <v>781</v>
      </c>
      <c r="D8138" t="s">
        <v>4245</v>
      </c>
      <c r="F8138" s="56"/>
    </row>
    <row r="8139" spans="1:6" ht="15">
      <c r="B8139" t="s">
        <v>548</v>
      </c>
      <c r="C8139" s="39" t="s">
        <v>781</v>
      </c>
      <c r="D8139" t="s">
        <v>4245</v>
      </c>
      <c r="F8139" s="56"/>
    </row>
    <row r="8140" spans="1:6" ht="15">
      <c r="B8140" t="s">
        <v>549</v>
      </c>
      <c r="C8140" s="39" t="s">
        <v>781</v>
      </c>
      <c r="D8140" t="s">
        <v>4245</v>
      </c>
      <c r="F8140" s="56"/>
    </row>
    <row r="8141" spans="1:6" ht="15">
      <c r="A8141" s="51">
        <v>3250292</v>
      </c>
      <c r="B8141" t="s">
        <v>2304</v>
      </c>
      <c r="C8141" s="39" t="s">
        <v>781</v>
      </c>
      <c r="D8141" t="s">
        <v>4245</v>
      </c>
      <c r="F8141" s="56"/>
    </row>
    <row r="8142" spans="1:6" ht="15">
      <c r="A8142" s="51">
        <v>3250291</v>
      </c>
      <c r="B8142" t="s">
        <v>2921</v>
      </c>
      <c r="C8142" s="39" t="s">
        <v>781</v>
      </c>
      <c r="D8142" t="s">
        <v>4244</v>
      </c>
      <c r="F8142" s="56"/>
    </row>
    <row r="8143" spans="1:6" ht="15">
      <c r="A8143" s="51">
        <v>3250290</v>
      </c>
      <c r="B8143" t="s">
        <v>2922</v>
      </c>
      <c r="C8143" s="39" t="s">
        <v>781</v>
      </c>
      <c r="D8143" t="s">
        <v>4243</v>
      </c>
      <c r="F8143" s="56"/>
    </row>
    <row r="8144" spans="1:6" ht="15">
      <c r="A8144" s="51">
        <v>3250299</v>
      </c>
      <c r="B8144" t="s">
        <v>3381</v>
      </c>
      <c r="C8144" s="39" t="s">
        <v>781</v>
      </c>
      <c r="D8144">
        <v>8</v>
      </c>
      <c r="F8144" s="56"/>
    </row>
    <row r="8145" spans="1:6" ht="15">
      <c r="A8145" s="51">
        <v>1407808</v>
      </c>
      <c r="B8145" t="s">
        <v>551</v>
      </c>
      <c r="C8145" s="39" t="s">
        <v>1052</v>
      </c>
      <c r="D8145" t="s">
        <v>4243</v>
      </c>
      <c r="F8145" s="56"/>
    </row>
    <row r="8146" spans="1:6" ht="15">
      <c r="B8146" t="s">
        <v>552</v>
      </c>
      <c r="C8146" s="39" t="s">
        <v>1080</v>
      </c>
      <c r="D8146" t="s">
        <v>4244</v>
      </c>
      <c r="F8146" s="56"/>
    </row>
    <row r="8147" spans="1:6" ht="15">
      <c r="A8147" s="51">
        <v>3250398</v>
      </c>
      <c r="B8147" t="s">
        <v>553</v>
      </c>
      <c r="C8147" s="39" t="s">
        <v>1080</v>
      </c>
      <c r="D8147" t="s">
        <v>4244</v>
      </c>
      <c r="F8147" s="56"/>
    </row>
    <row r="8148" spans="1:6" ht="15">
      <c r="B8148" t="s">
        <v>555</v>
      </c>
      <c r="C8148" s="39" t="s">
        <v>1114</v>
      </c>
      <c r="D8148" t="s">
        <v>4246</v>
      </c>
      <c r="F8148" s="56"/>
    </row>
    <row r="8149" spans="1:6" ht="15">
      <c r="A8149" s="51">
        <v>1407884</v>
      </c>
      <c r="B8149" t="s">
        <v>2923</v>
      </c>
      <c r="C8149" s="39" t="s">
        <v>1114</v>
      </c>
      <c r="D8149" t="s">
        <v>4246</v>
      </c>
      <c r="F8149" s="56"/>
    </row>
    <row r="8150" spans="1:6" ht="15">
      <c r="A8150" s="51">
        <v>1407883</v>
      </c>
      <c r="B8150" t="s">
        <v>2924</v>
      </c>
      <c r="C8150" s="39" t="s">
        <v>1114</v>
      </c>
      <c r="D8150" t="s">
        <v>4244</v>
      </c>
      <c r="F8150" s="56"/>
    </row>
    <row r="8151" spans="1:6" ht="15">
      <c r="A8151" s="51">
        <v>1407889</v>
      </c>
      <c r="B8151" t="s">
        <v>2925</v>
      </c>
      <c r="C8151" s="39" t="s">
        <v>1114</v>
      </c>
      <c r="D8151">
        <v>8</v>
      </c>
      <c r="F8151" s="56"/>
    </row>
    <row r="8152" spans="1:6" ht="15">
      <c r="B8152" t="s">
        <v>2926</v>
      </c>
      <c r="C8152" s="39" t="s">
        <v>1114</v>
      </c>
      <c r="D8152">
        <v>8</v>
      </c>
      <c r="F8152" s="56"/>
    </row>
    <row r="8153" spans="1:6" ht="15">
      <c r="B8153" t="s">
        <v>557</v>
      </c>
      <c r="C8153" s="39" t="s">
        <v>1114</v>
      </c>
      <c r="D8153" t="s">
        <v>4246</v>
      </c>
      <c r="F8153" s="56"/>
    </row>
    <row r="8154" spans="1:6" ht="15">
      <c r="B8154" t="s">
        <v>559</v>
      </c>
      <c r="C8154" s="39" t="s">
        <v>1114</v>
      </c>
      <c r="D8154" t="s">
        <v>4246</v>
      </c>
      <c r="F8154" s="56"/>
    </row>
    <row r="8155" spans="1:6" ht="15">
      <c r="B8155" t="s">
        <v>560</v>
      </c>
      <c r="C8155" s="39" t="s">
        <v>561</v>
      </c>
      <c r="D8155" t="s">
        <v>4247</v>
      </c>
      <c r="F8155" s="56"/>
    </row>
    <row r="8156" spans="1:6" ht="15">
      <c r="A8156" s="51">
        <v>3250302</v>
      </c>
      <c r="B8156" t="s">
        <v>562</v>
      </c>
      <c r="C8156" s="39" t="s">
        <v>561</v>
      </c>
      <c r="D8156" t="s">
        <v>4247</v>
      </c>
      <c r="F8156" s="56"/>
    </row>
    <row r="8157" spans="1:6" ht="15">
      <c r="A8157" s="51">
        <v>3250301</v>
      </c>
      <c r="B8157" t="s">
        <v>564</v>
      </c>
      <c r="C8157" s="39" t="s">
        <v>235</v>
      </c>
      <c r="D8157" t="s">
        <v>4244</v>
      </c>
      <c r="F8157" s="56"/>
    </row>
    <row r="8158" spans="1:6" ht="15">
      <c r="B8158" t="s">
        <v>901</v>
      </c>
      <c r="C8158" s="39" t="s">
        <v>2350</v>
      </c>
      <c r="D8158">
        <v>7</v>
      </c>
      <c r="F8158" s="56"/>
    </row>
    <row r="8159" spans="1:6" ht="15">
      <c r="B8159" t="s">
        <v>565</v>
      </c>
      <c r="C8159" s="39" t="s">
        <v>99</v>
      </c>
      <c r="D8159" t="s">
        <v>4243</v>
      </c>
      <c r="F8159" s="56"/>
    </row>
    <row r="8160" spans="1:6" ht="15">
      <c r="B8160" t="s">
        <v>566</v>
      </c>
      <c r="C8160" s="39" t="s">
        <v>99</v>
      </c>
      <c r="D8160" t="s">
        <v>4243</v>
      </c>
      <c r="F8160" s="56"/>
    </row>
    <row r="8161" spans="1:6" ht="15">
      <c r="B8161" t="s">
        <v>3382</v>
      </c>
      <c r="C8161" s="39" t="s">
        <v>140</v>
      </c>
      <c r="D8161">
        <v>7</v>
      </c>
      <c r="F8161" s="56"/>
    </row>
    <row r="8162" spans="1:6" ht="15">
      <c r="B8162" t="s">
        <v>567</v>
      </c>
      <c r="C8162" s="39" t="s">
        <v>1028</v>
      </c>
      <c r="D8162" t="s">
        <v>4246</v>
      </c>
      <c r="F8162" s="56"/>
    </row>
    <row r="8163" spans="1:6" ht="15">
      <c r="B8163" t="s">
        <v>568</v>
      </c>
      <c r="C8163" s="39" t="s">
        <v>1028</v>
      </c>
      <c r="D8163" t="s">
        <v>4246</v>
      </c>
      <c r="F8163" s="56"/>
    </row>
    <row r="8164" spans="1:6" ht="15">
      <c r="B8164" t="s">
        <v>909</v>
      </c>
      <c r="C8164" s="39" t="s">
        <v>536</v>
      </c>
      <c r="D8164" t="s">
        <v>4245</v>
      </c>
      <c r="F8164" s="56"/>
    </row>
    <row r="8165" spans="1:6" ht="15">
      <c r="A8165" s="51">
        <v>3250280</v>
      </c>
      <c r="B8165" t="s">
        <v>910</v>
      </c>
      <c r="C8165" s="39" t="s">
        <v>536</v>
      </c>
      <c r="D8165" t="s">
        <v>4246</v>
      </c>
      <c r="F8165" s="56"/>
    </row>
    <row r="8166" spans="1:6" ht="15">
      <c r="A8166" s="51">
        <v>3250282</v>
      </c>
      <c r="B8166" t="s">
        <v>911</v>
      </c>
      <c r="C8166" s="39" t="s">
        <v>536</v>
      </c>
      <c r="D8166" t="s">
        <v>4244</v>
      </c>
      <c r="F8166" s="56"/>
    </row>
    <row r="8167" spans="1:6" ht="15">
      <c r="A8167" s="51">
        <v>3250278</v>
      </c>
      <c r="B8167" t="s">
        <v>2932</v>
      </c>
      <c r="C8167" s="39" t="s">
        <v>536</v>
      </c>
      <c r="D8167" t="s">
        <v>4243</v>
      </c>
      <c r="F8167" s="56"/>
    </row>
    <row r="8168" spans="1:6" ht="15">
      <c r="B8168" t="s">
        <v>569</v>
      </c>
      <c r="C8168" s="39" t="s">
        <v>536</v>
      </c>
      <c r="D8168" t="s">
        <v>4245</v>
      </c>
      <c r="F8168" s="56"/>
    </row>
    <row r="8169" spans="1:6" ht="15">
      <c r="B8169" t="s">
        <v>3383</v>
      </c>
      <c r="C8169" s="39" t="s">
        <v>536</v>
      </c>
      <c r="D8169" t="s">
        <v>4245</v>
      </c>
      <c r="F8169" s="56"/>
    </row>
    <row r="8170" spans="1:6" ht="15">
      <c r="B8170" t="s">
        <v>3384</v>
      </c>
      <c r="C8170" s="39" t="s">
        <v>536</v>
      </c>
      <c r="D8170" t="s">
        <v>4243</v>
      </c>
      <c r="F8170" s="56"/>
    </row>
    <row r="8171" spans="1:6" ht="15">
      <c r="B8171" t="s">
        <v>3385</v>
      </c>
      <c r="C8171" s="39" t="s">
        <v>536</v>
      </c>
      <c r="D8171">
        <v>9</v>
      </c>
      <c r="F8171" s="56"/>
    </row>
    <row r="8172" spans="1:6" ht="15">
      <c r="A8172" s="51">
        <v>3250351</v>
      </c>
      <c r="B8172" t="s">
        <v>3386</v>
      </c>
      <c r="C8172" s="39" t="s">
        <v>536</v>
      </c>
      <c r="D8172">
        <v>9</v>
      </c>
      <c r="F8172" s="56"/>
    </row>
    <row r="8173" spans="1:6" ht="15">
      <c r="B8173" t="s">
        <v>572</v>
      </c>
      <c r="C8173" s="39" t="s">
        <v>3186</v>
      </c>
      <c r="D8173" t="s">
        <v>4247</v>
      </c>
      <c r="F8173" s="56"/>
    </row>
    <row r="8174" spans="1:6" ht="15">
      <c r="B8174" t="s">
        <v>573</v>
      </c>
      <c r="C8174" s="39" t="s">
        <v>3186</v>
      </c>
      <c r="D8174" t="s">
        <v>4243</v>
      </c>
      <c r="F8174" s="56"/>
    </row>
    <row r="8175" spans="1:6" ht="15">
      <c r="B8175" t="s">
        <v>2934</v>
      </c>
      <c r="C8175" s="39" t="s">
        <v>3186</v>
      </c>
      <c r="D8175">
        <v>8</v>
      </c>
      <c r="F8175" s="56"/>
    </row>
    <row r="8176" spans="1:6" ht="15">
      <c r="A8176" s="51">
        <v>3250406</v>
      </c>
      <c r="B8176" t="s">
        <v>3387</v>
      </c>
      <c r="C8176" s="39" t="s">
        <v>955</v>
      </c>
      <c r="D8176">
        <v>7</v>
      </c>
      <c r="F8176" s="56"/>
    </row>
    <row r="8177" spans="1:6" ht="15">
      <c r="B8177" t="s">
        <v>2936</v>
      </c>
      <c r="C8177" s="39" t="s">
        <v>955</v>
      </c>
      <c r="D8177">
        <v>7</v>
      </c>
      <c r="F8177" s="56"/>
    </row>
    <row r="8178" spans="1:6" ht="15">
      <c r="A8178" s="51">
        <v>3250285</v>
      </c>
      <c r="B8178" t="s">
        <v>2938</v>
      </c>
      <c r="C8178" s="39" t="s">
        <v>362</v>
      </c>
      <c r="D8178" t="s">
        <v>4247</v>
      </c>
      <c r="F8178" s="56"/>
    </row>
    <row r="8179" spans="1:6" ht="15">
      <c r="B8179" t="s">
        <v>589</v>
      </c>
      <c r="C8179" s="39" t="s">
        <v>349</v>
      </c>
      <c r="D8179" t="s">
        <v>4247</v>
      </c>
      <c r="F8179" s="56"/>
    </row>
    <row r="8180" spans="1:6" ht="15">
      <c r="B8180" t="s">
        <v>590</v>
      </c>
      <c r="C8180" s="39" t="s">
        <v>349</v>
      </c>
      <c r="D8180" t="s">
        <v>4243</v>
      </c>
      <c r="F8180" s="56"/>
    </row>
    <row r="8181" spans="1:6" ht="15">
      <c r="A8181" s="51">
        <v>1407835</v>
      </c>
      <c r="B8181" t="s">
        <v>608</v>
      </c>
      <c r="C8181" s="39" t="s">
        <v>192</v>
      </c>
      <c r="D8181" t="s">
        <v>4247</v>
      </c>
      <c r="F8181" s="56"/>
    </row>
    <row r="8182" spans="1:6" ht="15">
      <c r="A8182" s="51">
        <v>1407836</v>
      </c>
      <c r="B8182" t="s">
        <v>609</v>
      </c>
      <c r="C8182" s="39" t="s">
        <v>192</v>
      </c>
      <c r="D8182" t="s">
        <v>4243</v>
      </c>
      <c r="F8182" s="56"/>
    </row>
    <row r="8183" spans="1:6" ht="15">
      <c r="A8183" s="51">
        <v>1407838</v>
      </c>
      <c r="B8183" t="s">
        <v>610</v>
      </c>
      <c r="C8183" s="39" t="s">
        <v>192</v>
      </c>
      <c r="D8183">
        <v>7</v>
      </c>
      <c r="F8183" s="56"/>
    </row>
    <row r="8184" spans="1:6" ht="15">
      <c r="A8184" s="51">
        <v>3250363</v>
      </c>
      <c r="B8184" t="s">
        <v>611</v>
      </c>
      <c r="C8184" s="39" t="s">
        <v>192</v>
      </c>
      <c r="D8184">
        <v>8</v>
      </c>
      <c r="F8184" s="56"/>
    </row>
    <row r="8185" spans="1:6" ht="15">
      <c r="A8185" s="51">
        <v>3250403</v>
      </c>
      <c r="B8185" t="s">
        <v>923</v>
      </c>
      <c r="C8185" s="39" t="s">
        <v>924</v>
      </c>
      <c r="D8185" t="s">
        <v>4246</v>
      </c>
      <c r="F8185" s="56"/>
    </row>
    <row r="8186" spans="1:6" ht="15">
      <c r="A8186" s="51">
        <v>1407810</v>
      </c>
      <c r="B8186" t="s">
        <v>925</v>
      </c>
      <c r="C8186" s="39" t="s">
        <v>924</v>
      </c>
      <c r="D8186" t="s">
        <v>4243</v>
      </c>
      <c r="F8186" s="56"/>
    </row>
    <row r="8187" spans="1:6" ht="15">
      <c r="A8187" s="51">
        <v>3250413</v>
      </c>
      <c r="B8187" t="s">
        <v>926</v>
      </c>
      <c r="C8187" s="39" t="s">
        <v>924</v>
      </c>
      <c r="D8187">
        <v>7</v>
      </c>
      <c r="F8187" s="56"/>
    </row>
    <row r="8188" spans="1:6" ht="15">
      <c r="A8188" s="51">
        <v>1407809</v>
      </c>
      <c r="B8188" t="s">
        <v>2943</v>
      </c>
      <c r="C8188" s="39" t="s">
        <v>3388</v>
      </c>
      <c r="D8188" t="s">
        <v>4246</v>
      </c>
      <c r="F8188" s="56"/>
    </row>
    <row r="8189" spans="1:6" ht="15">
      <c r="A8189" s="51">
        <v>1407807</v>
      </c>
      <c r="B8189" t="s">
        <v>2948</v>
      </c>
      <c r="C8189" s="39" t="s">
        <v>183</v>
      </c>
      <c r="D8189">
        <v>7</v>
      </c>
      <c r="F8189" s="56"/>
    </row>
    <row r="8190" spans="1:6" ht="15">
      <c r="A8190" s="51">
        <v>1407897</v>
      </c>
      <c r="B8190" t="s">
        <v>621</v>
      </c>
      <c r="C8190" s="39" t="s">
        <v>274</v>
      </c>
      <c r="D8190" t="s">
        <v>4243</v>
      </c>
      <c r="F8190" s="56"/>
    </row>
    <row r="8191" spans="1:6" ht="15">
      <c r="A8191" s="51">
        <v>1407898</v>
      </c>
      <c r="B8191" t="s">
        <v>622</v>
      </c>
      <c r="C8191" s="39" t="s">
        <v>274</v>
      </c>
      <c r="D8191" t="s">
        <v>4243</v>
      </c>
      <c r="F8191" s="56"/>
    </row>
    <row r="8192" spans="1:6" ht="15">
      <c r="A8192" s="51">
        <v>1407899</v>
      </c>
      <c r="B8192" t="s">
        <v>623</v>
      </c>
      <c r="C8192" s="39" t="s">
        <v>274</v>
      </c>
      <c r="D8192">
        <v>7</v>
      </c>
      <c r="F8192" s="56"/>
    </row>
    <row r="8193" spans="1:6" ht="15">
      <c r="A8193" s="51">
        <v>1407901</v>
      </c>
      <c r="B8193" t="s">
        <v>624</v>
      </c>
      <c r="C8193" s="39" t="s">
        <v>274</v>
      </c>
      <c r="D8193">
        <v>8</v>
      </c>
      <c r="F8193" s="56"/>
    </row>
    <row r="8194" spans="1:6" ht="15">
      <c r="A8194" s="51">
        <v>1407767</v>
      </c>
      <c r="B8194" t="s">
        <v>625</v>
      </c>
      <c r="C8194" s="39" t="s">
        <v>626</v>
      </c>
      <c r="D8194" t="s">
        <v>4243</v>
      </c>
      <c r="F8194" s="56"/>
    </row>
    <row r="8195" spans="1:6" ht="15">
      <c r="A8195" s="51">
        <v>1407768</v>
      </c>
      <c r="B8195" t="s">
        <v>627</v>
      </c>
      <c r="C8195" s="39" t="s">
        <v>626</v>
      </c>
      <c r="D8195" t="s">
        <v>4243</v>
      </c>
      <c r="F8195" s="56"/>
    </row>
    <row r="8196" spans="1:6" ht="15">
      <c r="A8196" s="51">
        <v>1407769</v>
      </c>
      <c r="B8196" t="s">
        <v>628</v>
      </c>
      <c r="C8196" s="39" t="s">
        <v>626</v>
      </c>
      <c r="D8196">
        <v>7</v>
      </c>
      <c r="F8196" s="56"/>
    </row>
    <row r="8197" spans="1:6" ht="15">
      <c r="B8197" t="s">
        <v>3389</v>
      </c>
      <c r="C8197" s="39" t="s">
        <v>914</v>
      </c>
      <c r="D8197" t="s">
        <v>4244</v>
      </c>
      <c r="F8197" s="56"/>
    </row>
    <row r="8198" spans="1:6" ht="15">
      <c r="A8198" s="51">
        <v>3264881</v>
      </c>
      <c r="B8198" t="s">
        <v>629</v>
      </c>
      <c r="C8198" s="39" t="s">
        <v>914</v>
      </c>
      <c r="D8198" t="s">
        <v>4244</v>
      </c>
      <c r="F8198" s="56"/>
    </row>
    <row r="8199" spans="1:6" ht="15">
      <c r="B8199" t="s">
        <v>631</v>
      </c>
      <c r="C8199" s="39" t="s">
        <v>914</v>
      </c>
      <c r="D8199">
        <v>7</v>
      </c>
      <c r="F8199" s="56"/>
    </row>
    <row r="8200" spans="1:6" ht="15">
      <c r="B8200" t="s">
        <v>3390</v>
      </c>
      <c r="C8200" s="39" t="s">
        <v>3391</v>
      </c>
      <c r="D8200" t="s">
        <v>4243</v>
      </c>
      <c r="F8200" s="56"/>
    </row>
    <row r="8201" spans="1:6" ht="15">
      <c r="B8201" t="s">
        <v>636</v>
      </c>
      <c r="C8201" s="39" t="s">
        <v>3391</v>
      </c>
      <c r="D8201" t="s">
        <v>4243</v>
      </c>
      <c r="F8201" s="56"/>
    </row>
    <row r="8202" spans="1:6" ht="15">
      <c r="A8202" s="51">
        <v>3250329</v>
      </c>
      <c r="B8202" t="s">
        <v>643</v>
      </c>
      <c r="C8202" s="39" t="s">
        <v>642</v>
      </c>
      <c r="D8202">
        <v>7</v>
      </c>
      <c r="F8202" s="56"/>
    </row>
    <row r="8203" spans="1:6" ht="15">
      <c r="A8203" s="51">
        <v>3250328</v>
      </c>
      <c r="B8203" t="s">
        <v>644</v>
      </c>
      <c r="C8203" s="39" t="s">
        <v>642</v>
      </c>
      <c r="D8203">
        <v>8</v>
      </c>
      <c r="F8203" s="56"/>
    </row>
    <row r="8204" spans="1:6" ht="15">
      <c r="A8204" s="51">
        <v>3250353</v>
      </c>
      <c r="B8204" t="s">
        <v>3392</v>
      </c>
      <c r="C8204" s="39" t="s">
        <v>642</v>
      </c>
      <c r="D8204">
        <v>8</v>
      </c>
      <c r="F8204" s="56"/>
    </row>
    <row r="8205" spans="1:6" ht="15">
      <c r="A8205" s="51">
        <v>3250326</v>
      </c>
      <c r="B8205" t="s">
        <v>648</v>
      </c>
      <c r="C8205" s="39" t="s">
        <v>647</v>
      </c>
      <c r="D8205" t="s">
        <v>4243</v>
      </c>
      <c r="F8205" s="56"/>
    </row>
    <row r="8206" spans="1:6" ht="15">
      <c r="A8206" s="51">
        <v>3250325</v>
      </c>
      <c r="B8206" t="s">
        <v>649</v>
      </c>
      <c r="C8206" s="39" t="s">
        <v>647</v>
      </c>
      <c r="D8206">
        <v>7</v>
      </c>
      <c r="F8206" s="56"/>
    </row>
    <row r="8207" spans="1:6" ht="15">
      <c r="A8207" s="51">
        <v>3250327</v>
      </c>
      <c r="B8207" t="s">
        <v>3393</v>
      </c>
      <c r="C8207" s="39" t="s">
        <v>647</v>
      </c>
      <c r="D8207">
        <v>8</v>
      </c>
      <c r="F8207" s="56"/>
    </row>
    <row r="8208" spans="1:6" ht="15">
      <c r="A8208" s="51">
        <v>1407752</v>
      </c>
      <c r="B8208" t="s">
        <v>650</v>
      </c>
      <c r="C8208" s="39" t="s">
        <v>651</v>
      </c>
      <c r="D8208">
        <v>7</v>
      </c>
      <c r="F8208" s="56"/>
    </row>
    <row r="8209" spans="1:6" ht="15">
      <c r="A8209" s="51">
        <v>1407753</v>
      </c>
      <c r="B8209" t="s">
        <v>652</v>
      </c>
      <c r="C8209" s="39" t="s">
        <v>651</v>
      </c>
      <c r="D8209">
        <v>7</v>
      </c>
      <c r="F8209" s="56"/>
    </row>
    <row r="8210" spans="1:6" ht="15">
      <c r="A8210" s="51">
        <v>3264873</v>
      </c>
      <c r="B8210" t="s">
        <v>663</v>
      </c>
      <c r="C8210" s="39" t="s">
        <v>664</v>
      </c>
      <c r="D8210" t="s">
        <v>4243</v>
      </c>
      <c r="F8210" s="56"/>
    </row>
    <row r="8211" spans="1:6" ht="15">
      <c r="A8211" s="51">
        <v>3264874</v>
      </c>
      <c r="B8211" t="s">
        <v>665</v>
      </c>
      <c r="C8211" s="39" t="s">
        <v>664</v>
      </c>
      <c r="D8211" t="s">
        <v>4243</v>
      </c>
      <c r="F8211" s="56"/>
    </row>
    <row r="8212" spans="1:6" ht="15">
      <c r="A8212" s="51">
        <v>3264875</v>
      </c>
      <c r="B8212" t="s">
        <v>666</v>
      </c>
      <c r="C8212" s="39" t="s">
        <v>664</v>
      </c>
      <c r="D8212">
        <v>7</v>
      </c>
      <c r="F8212" s="56"/>
    </row>
    <row r="8213" spans="1:6" ht="15">
      <c r="A8213" s="51">
        <v>3250337</v>
      </c>
      <c r="B8213" t="s">
        <v>2957</v>
      </c>
      <c r="C8213" s="39" t="s">
        <v>189</v>
      </c>
      <c r="D8213" t="s">
        <v>4247</v>
      </c>
      <c r="F8213" s="56"/>
    </row>
    <row r="8214" spans="1:6" ht="15">
      <c r="A8214" s="51">
        <v>3264877</v>
      </c>
      <c r="B8214" t="s">
        <v>2958</v>
      </c>
      <c r="C8214" s="39" t="s">
        <v>189</v>
      </c>
      <c r="D8214" t="s">
        <v>4243</v>
      </c>
      <c r="F8214" s="56"/>
    </row>
    <row r="8215" spans="1:6" ht="15">
      <c r="A8215" s="51">
        <v>3250336</v>
      </c>
      <c r="B8215" t="s">
        <v>2959</v>
      </c>
      <c r="C8215" s="39" t="s">
        <v>189</v>
      </c>
      <c r="D8215">
        <v>7</v>
      </c>
      <c r="F8215" s="56"/>
    </row>
    <row r="8216" spans="1:6" ht="15">
      <c r="A8216" s="51">
        <v>3250297</v>
      </c>
      <c r="B8216" t="s">
        <v>695</v>
      </c>
      <c r="C8216" s="39" t="s">
        <v>224</v>
      </c>
      <c r="D8216" t="s">
        <v>4243</v>
      </c>
      <c r="F8216" s="56"/>
    </row>
    <row r="8217" spans="1:6" ht="15">
      <c r="A8217" s="51">
        <v>3250296</v>
      </c>
      <c r="B8217" t="s">
        <v>697</v>
      </c>
      <c r="C8217" s="39" t="s">
        <v>104</v>
      </c>
      <c r="D8217" t="s">
        <v>4243</v>
      </c>
      <c r="F8217" s="56"/>
    </row>
    <row r="8218" spans="1:6" ht="15">
      <c r="A8218" s="51">
        <v>3250295</v>
      </c>
      <c r="B8218" t="s">
        <v>699</v>
      </c>
      <c r="C8218" s="39" t="s">
        <v>130</v>
      </c>
      <c r="D8218" t="s">
        <v>4243</v>
      </c>
      <c r="F8218" s="56"/>
    </row>
    <row r="8219" spans="1:6" ht="15">
      <c r="A8219" s="51">
        <v>3250298</v>
      </c>
      <c r="B8219" t="s">
        <v>2965</v>
      </c>
      <c r="C8219" s="39" t="s">
        <v>3394</v>
      </c>
      <c r="D8219" t="s">
        <v>4243</v>
      </c>
      <c r="F8219" s="56"/>
    </row>
    <row r="8220" spans="1:6" ht="15">
      <c r="A8220" s="51">
        <v>3250307</v>
      </c>
      <c r="B8220" t="s">
        <v>3395</v>
      </c>
      <c r="C8220" s="39" t="s">
        <v>938</v>
      </c>
      <c r="D8220" t="s">
        <v>4249</v>
      </c>
      <c r="F8220" s="56"/>
    </row>
    <row r="8221" spans="1:6" ht="15">
      <c r="A8221" s="51">
        <v>1407790</v>
      </c>
      <c r="B8221" t="s">
        <v>3396</v>
      </c>
      <c r="C8221" s="39" t="s">
        <v>151</v>
      </c>
      <c r="D8221" t="s">
        <v>466</v>
      </c>
      <c r="F8221" s="56"/>
    </row>
    <row r="8222" spans="1:6" ht="15">
      <c r="A8222" s="51">
        <v>3250412</v>
      </c>
      <c r="B8222" t="s">
        <v>3397</v>
      </c>
      <c r="C8222" s="39" t="s">
        <v>151</v>
      </c>
      <c r="D8222" t="s">
        <v>1595</v>
      </c>
      <c r="F8222" s="56"/>
    </row>
    <row r="8223" spans="1:6" ht="15">
      <c r="A8223" s="51">
        <v>3250377</v>
      </c>
      <c r="B8223" t="s">
        <v>3398</v>
      </c>
      <c r="C8223" s="39" t="s">
        <v>151</v>
      </c>
      <c r="D8223" t="s">
        <v>469</v>
      </c>
      <c r="F8223" s="56"/>
    </row>
    <row r="8224" spans="1:6" ht="15">
      <c r="A8224" s="51">
        <v>3250378</v>
      </c>
      <c r="B8224" t="s">
        <v>725</v>
      </c>
      <c r="C8224" s="39" t="s">
        <v>151</v>
      </c>
      <c r="D8224" t="s">
        <v>471</v>
      </c>
      <c r="F8224" s="56"/>
    </row>
    <row r="8225" spans="1:6" ht="15">
      <c r="A8225" s="51">
        <v>3250379</v>
      </c>
      <c r="B8225" t="s">
        <v>3399</v>
      </c>
      <c r="C8225" s="39" t="s">
        <v>151</v>
      </c>
      <c r="D8225">
        <v>8</v>
      </c>
      <c r="F8225" s="56"/>
    </row>
    <row r="8226" spans="1:6" ht="15">
      <c r="A8226" s="51">
        <v>1407786</v>
      </c>
      <c r="B8226" t="s">
        <v>3400</v>
      </c>
      <c r="C8226" s="39" t="s">
        <v>151</v>
      </c>
      <c r="D8226" t="s">
        <v>466</v>
      </c>
      <c r="F8226" s="56"/>
    </row>
    <row r="8227" spans="1:6" ht="15">
      <c r="A8227" s="51">
        <v>3250380</v>
      </c>
      <c r="B8227" t="s">
        <v>946</v>
      </c>
      <c r="C8227" s="39" t="s">
        <v>151</v>
      </c>
      <c r="D8227" t="s">
        <v>1595</v>
      </c>
      <c r="F8227" s="56"/>
    </row>
    <row r="8228" spans="1:6" ht="15">
      <c r="A8228" s="51">
        <v>3250381</v>
      </c>
      <c r="B8228" t="s">
        <v>948</v>
      </c>
      <c r="C8228" s="39" t="s">
        <v>151</v>
      </c>
      <c r="D8228" t="s">
        <v>469</v>
      </c>
      <c r="F8228" s="56"/>
    </row>
    <row r="8229" spans="1:6" ht="15">
      <c r="B8229" t="s">
        <v>3401</v>
      </c>
      <c r="C8229" s="39" t="s">
        <v>3402</v>
      </c>
      <c r="D8229" t="s">
        <v>4246</v>
      </c>
      <c r="F8229" s="56"/>
    </row>
    <row r="8230" spans="1:6" ht="15">
      <c r="A8230" s="51">
        <v>3250371</v>
      </c>
      <c r="B8230" t="s">
        <v>1608</v>
      </c>
      <c r="C8230" s="39" t="s">
        <v>3403</v>
      </c>
      <c r="D8230" t="s">
        <v>4246</v>
      </c>
      <c r="F8230" s="56"/>
    </row>
    <row r="8231" spans="1:6" ht="15">
      <c r="A8231" s="51">
        <v>3250373</v>
      </c>
      <c r="B8231" t="s">
        <v>1610</v>
      </c>
      <c r="C8231" s="39" t="s">
        <v>166</v>
      </c>
      <c r="D8231" t="s">
        <v>4244</v>
      </c>
      <c r="F8231" s="56"/>
    </row>
    <row r="8232" spans="1:6" ht="15">
      <c r="A8232" s="51">
        <v>3250374</v>
      </c>
      <c r="B8232" t="s">
        <v>951</v>
      </c>
      <c r="C8232" s="39" t="s">
        <v>166</v>
      </c>
      <c r="D8232" t="s">
        <v>4243</v>
      </c>
      <c r="F8232" s="56"/>
    </row>
    <row r="8233" spans="1:6" ht="15">
      <c r="A8233" s="51">
        <v>3250375</v>
      </c>
      <c r="B8233" t="s">
        <v>953</v>
      </c>
      <c r="C8233" s="39" t="s">
        <v>166</v>
      </c>
      <c r="D8233">
        <v>8</v>
      </c>
      <c r="F8233" s="56"/>
    </row>
    <row r="8234" spans="1:6" ht="15">
      <c r="B8234" t="s">
        <v>3404</v>
      </c>
      <c r="C8234" s="39" t="s">
        <v>1083</v>
      </c>
      <c r="D8234" t="s">
        <v>1595</v>
      </c>
      <c r="F8234" s="56"/>
    </row>
    <row r="8235" spans="1:6" ht="15">
      <c r="B8235" t="s">
        <v>3405</v>
      </c>
      <c r="C8235" s="39" t="s">
        <v>1083</v>
      </c>
      <c r="D8235" t="s">
        <v>4244</v>
      </c>
      <c r="F8235" s="56"/>
    </row>
    <row r="8236" spans="1:6" ht="15">
      <c r="B8236" t="s">
        <v>3406</v>
      </c>
      <c r="C8236" s="39" t="s">
        <v>1083</v>
      </c>
      <c r="D8236" t="s">
        <v>471</v>
      </c>
      <c r="F8236" s="56"/>
    </row>
    <row r="8237" spans="1:6" ht="15">
      <c r="A8237" s="51">
        <v>3250400</v>
      </c>
      <c r="B8237" t="s">
        <v>3407</v>
      </c>
      <c r="C8237" s="39" t="s">
        <v>1083</v>
      </c>
      <c r="D8237">
        <v>8</v>
      </c>
      <c r="F8237" s="56"/>
    </row>
    <row r="8238" spans="1:6" ht="15">
      <c r="A8238" s="51">
        <v>3250384</v>
      </c>
      <c r="B8238" t="s">
        <v>732</v>
      </c>
      <c r="C8238" s="39" t="s">
        <v>1083</v>
      </c>
      <c r="D8238" t="s">
        <v>1595</v>
      </c>
      <c r="F8238" s="56"/>
    </row>
    <row r="8239" spans="1:6" ht="15">
      <c r="A8239" s="51">
        <v>3250385</v>
      </c>
      <c r="B8239" t="s">
        <v>733</v>
      </c>
      <c r="C8239" s="39" t="s">
        <v>1083</v>
      </c>
      <c r="D8239" t="s">
        <v>469</v>
      </c>
      <c r="F8239" s="56"/>
    </row>
    <row r="8240" spans="1:6" ht="15">
      <c r="A8240" s="51">
        <v>3250386</v>
      </c>
      <c r="B8240" t="s">
        <v>734</v>
      </c>
      <c r="C8240" s="39" t="s">
        <v>1083</v>
      </c>
      <c r="D8240" t="s">
        <v>471</v>
      </c>
      <c r="F8240" s="56"/>
    </row>
    <row r="8241" spans="1:6" ht="15">
      <c r="A8241" s="51">
        <v>3250382</v>
      </c>
      <c r="B8241" t="s">
        <v>740</v>
      </c>
      <c r="C8241" s="39" t="s">
        <v>1083</v>
      </c>
      <c r="D8241" t="s">
        <v>1595</v>
      </c>
      <c r="F8241" s="56"/>
    </row>
    <row r="8242" spans="1:6" ht="15">
      <c r="A8242" s="51">
        <v>3250383</v>
      </c>
      <c r="B8242" t="s">
        <v>741</v>
      </c>
      <c r="C8242" s="39" t="s">
        <v>1083</v>
      </c>
      <c r="D8242" t="s">
        <v>469</v>
      </c>
      <c r="F8242" s="56"/>
    </row>
    <row r="8243" spans="1:6" ht="15">
      <c r="B8243" t="s">
        <v>3408</v>
      </c>
      <c r="C8243" s="39" t="s">
        <v>1083</v>
      </c>
      <c r="D8243" t="s">
        <v>471</v>
      </c>
      <c r="F8243" s="56"/>
    </row>
    <row r="8244" spans="1:6" ht="15">
      <c r="A8244" s="51">
        <v>3250372</v>
      </c>
      <c r="B8244" t="s">
        <v>3409</v>
      </c>
      <c r="C8244" s="39" t="s">
        <v>1092</v>
      </c>
      <c r="D8244">
        <v>9</v>
      </c>
      <c r="F8244" s="56"/>
    </row>
    <row r="8245" spans="1:6" ht="15">
      <c r="A8245" s="51">
        <v>3250271</v>
      </c>
      <c r="B8245" t="s">
        <v>3410</v>
      </c>
      <c r="C8245" s="39" t="s">
        <v>2637</v>
      </c>
      <c r="D8245">
        <v>8</v>
      </c>
      <c r="F8245" s="56"/>
    </row>
    <row r="8246" spans="1:6" ht="15">
      <c r="B8246" t="s">
        <v>1611</v>
      </c>
      <c r="C8246" s="39" t="s">
        <v>1098</v>
      </c>
      <c r="D8246" t="s">
        <v>1595</v>
      </c>
      <c r="F8246" s="56"/>
    </row>
    <row r="8247" spans="1:6" ht="15">
      <c r="B8247" t="s">
        <v>749</v>
      </c>
      <c r="C8247" s="39" t="s">
        <v>1098</v>
      </c>
      <c r="D8247" t="s">
        <v>1595</v>
      </c>
      <c r="F8247" s="56"/>
    </row>
    <row r="8248" spans="1:6" ht="15">
      <c r="B8248" t="s">
        <v>3411</v>
      </c>
      <c r="C8248" s="39" t="s">
        <v>1098</v>
      </c>
      <c r="D8248" t="s">
        <v>1595</v>
      </c>
      <c r="F8248" s="56"/>
    </row>
    <row r="8249" spans="1:6" ht="15">
      <c r="B8249" t="s">
        <v>754</v>
      </c>
      <c r="C8249" s="39" t="s">
        <v>1098</v>
      </c>
      <c r="D8249" t="s">
        <v>1595</v>
      </c>
      <c r="F8249" s="56"/>
    </row>
    <row r="8250" spans="1:6" ht="15">
      <c r="A8250" s="51">
        <v>3250275</v>
      </c>
      <c r="B8250" t="s">
        <v>764</v>
      </c>
      <c r="C8250" s="39" t="s">
        <v>1098</v>
      </c>
      <c r="D8250" t="s">
        <v>466</v>
      </c>
      <c r="F8250" s="56"/>
    </row>
    <row r="8251" spans="1:6" ht="15">
      <c r="A8251" s="51">
        <v>3250274</v>
      </c>
      <c r="B8251" t="s">
        <v>765</v>
      </c>
      <c r="C8251" s="39" t="s">
        <v>1098</v>
      </c>
      <c r="D8251" t="s">
        <v>1595</v>
      </c>
      <c r="F8251" s="56"/>
    </row>
    <row r="8252" spans="1:6" ht="15">
      <c r="A8252" s="51">
        <v>3250273</v>
      </c>
      <c r="B8252" t="s">
        <v>766</v>
      </c>
      <c r="C8252" s="39" t="s">
        <v>1098</v>
      </c>
      <c r="D8252" t="s">
        <v>469</v>
      </c>
      <c r="F8252" s="56"/>
    </row>
    <row r="8253" spans="1:6" ht="15">
      <c r="A8253" s="51">
        <v>3250272</v>
      </c>
      <c r="B8253" t="s">
        <v>767</v>
      </c>
      <c r="C8253" s="39" t="s">
        <v>1098</v>
      </c>
      <c r="D8253" t="s">
        <v>471</v>
      </c>
      <c r="F8253" s="56"/>
    </row>
    <row r="8254" spans="1:6" ht="15">
      <c r="B8254" t="s">
        <v>3412</v>
      </c>
      <c r="C8254" s="39" t="s">
        <v>1098</v>
      </c>
      <c r="D8254" t="s">
        <v>466</v>
      </c>
      <c r="F8254" s="56"/>
    </row>
    <row r="8255" spans="1:6" ht="15">
      <c r="B8255" t="s">
        <v>3413</v>
      </c>
      <c r="C8255" s="39" t="s">
        <v>1098</v>
      </c>
      <c r="D8255" t="s">
        <v>1595</v>
      </c>
      <c r="F8255" s="56"/>
    </row>
    <row r="8256" spans="1:6" ht="15">
      <c r="B8256" t="s">
        <v>3414</v>
      </c>
      <c r="C8256" s="39" t="s">
        <v>1098</v>
      </c>
      <c r="D8256" t="s">
        <v>469</v>
      </c>
      <c r="F8256" s="56"/>
    </row>
    <row r="8257" spans="1:6" ht="15">
      <c r="B8257" t="s">
        <v>3415</v>
      </c>
      <c r="C8257" s="39" t="s">
        <v>132</v>
      </c>
      <c r="D8257" t="s">
        <v>471</v>
      </c>
      <c r="F8257" s="56"/>
    </row>
    <row r="8258" spans="1:6" ht="15">
      <c r="B8258" t="s">
        <v>770</v>
      </c>
      <c r="C8258" s="39" t="s">
        <v>3416</v>
      </c>
      <c r="D8258">
        <v>8</v>
      </c>
      <c r="F8258" s="56"/>
    </row>
    <row r="8259" spans="1:6" ht="15">
      <c r="B8259" t="s">
        <v>2329</v>
      </c>
      <c r="C8259" s="39" t="s">
        <v>997</v>
      </c>
      <c r="D8259" t="s">
        <v>468</v>
      </c>
      <c r="F8259" s="56"/>
    </row>
    <row r="8260" spans="1:6" ht="15">
      <c r="B8260" t="s">
        <v>1614</v>
      </c>
      <c r="C8260" s="39" t="s">
        <v>997</v>
      </c>
      <c r="D8260" t="s">
        <v>468</v>
      </c>
      <c r="F8260" s="56"/>
    </row>
    <row r="8261" spans="1:6" ht="15">
      <c r="A8261" s="51">
        <v>3250366</v>
      </c>
      <c r="B8261" t="s">
        <v>2982</v>
      </c>
      <c r="C8261" s="39" t="s">
        <v>3417</v>
      </c>
      <c r="D8261">
        <v>7</v>
      </c>
      <c r="F8261" s="56"/>
    </row>
    <row r="8262" spans="1:6" ht="15">
      <c r="A8262" s="51">
        <v>3250338</v>
      </c>
      <c r="B8262" t="s">
        <v>2334</v>
      </c>
      <c r="C8262" s="39" t="s">
        <v>264</v>
      </c>
      <c r="D8262" t="s">
        <v>4245</v>
      </c>
      <c r="F8262" s="56"/>
    </row>
    <row r="8263" spans="1:6" ht="15">
      <c r="A8263" s="51">
        <v>3250339</v>
      </c>
      <c r="B8263" t="s">
        <v>2985</v>
      </c>
      <c r="C8263" s="39" t="s">
        <v>264</v>
      </c>
      <c r="D8263" t="s">
        <v>4244</v>
      </c>
      <c r="F8263" s="56"/>
    </row>
    <row r="8264" spans="1:6" ht="15">
      <c r="A8264" s="51">
        <v>3250340</v>
      </c>
      <c r="B8264" t="s">
        <v>3418</v>
      </c>
      <c r="C8264" s="39" t="s">
        <v>264</v>
      </c>
      <c r="D8264" t="s">
        <v>4243</v>
      </c>
      <c r="F8264" s="56"/>
    </row>
    <row r="8265" spans="1:6" ht="15">
      <c r="A8265" s="51">
        <v>3250341</v>
      </c>
      <c r="B8265" t="s">
        <v>3419</v>
      </c>
      <c r="C8265" s="39" t="s">
        <v>264</v>
      </c>
      <c r="D8265">
        <v>8</v>
      </c>
      <c r="F8265" s="56"/>
    </row>
    <row r="8266" spans="1:6" ht="15">
      <c r="A8266" s="51">
        <v>3250342</v>
      </c>
      <c r="B8266" t="s">
        <v>3420</v>
      </c>
      <c r="C8266" s="39" t="s">
        <v>264</v>
      </c>
      <c r="D8266" t="s">
        <v>4246</v>
      </c>
      <c r="F8266" s="56"/>
    </row>
    <row r="8267" spans="1:6" ht="15">
      <c r="A8267" s="51">
        <v>3250343</v>
      </c>
      <c r="B8267" t="s">
        <v>3243</v>
      </c>
      <c r="C8267" s="39" t="s">
        <v>264</v>
      </c>
      <c r="D8267" t="s">
        <v>4244</v>
      </c>
      <c r="F8267" s="56"/>
    </row>
    <row r="8268" spans="1:6" ht="15">
      <c r="A8268" s="51">
        <v>3250344</v>
      </c>
      <c r="B8268" t="s">
        <v>3244</v>
      </c>
      <c r="C8268" s="39" t="s">
        <v>264</v>
      </c>
      <c r="D8268" t="s">
        <v>4243</v>
      </c>
      <c r="F8268" s="56"/>
    </row>
    <row r="8269" spans="1:6" ht="15">
      <c r="A8269" s="51">
        <v>3250345</v>
      </c>
      <c r="B8269" t="s">
        <v>3421</v>
      </c>
      <c r="C8269" s="39" t="s">
        <v>264</v>
      </c>
      <c r="D8269">
        <v>8</v>
      </c>
      <c r="F8269" s="56"/>
    </row>
    <row r="8270" spans="1:6" ht="15">
      <c r="A8270" s="51">
        <v>3250391</v>
      </c>
      <c r="B8270" t="s">
        <v>1615</v>
      </c>
      <c r="C8270" s="39" t="s">
        <v>291</v>
      </c>
      <c r="D8270" t="s">
        <v>4244</v>
      </c>
      <c r="F8270" s="56"/>
    </row>
    <row r="8271" spans="1:6" ht="15">
      <c r="A8271" s="51">
        <v>3250392</v>
      </c>
      <c r="B8271" t="s">
        <v>1616</v>
      </c>
      <c r="C8271" s="39" t="s">
        <v>291</v>
      </c>
      <c r="D8271">
        <v>7</v>
      </c>
      <c r="F8271" s="56"/>
    </row>
    <row r="8272" spans="1:6" ht="15">
      <c r="A8272" s="51">
        <v>3250393</v>
      </c>
      <c r="B8272" t="s">
        <v>1617</v>
      </c>
      <c r="C8272" s="39" t="s">
        <v>291</v>
      </c>
      <c r="D8272">
        <v>8</v>
      </c>
      <c r="F8272" s="56"/>
    </row>
    <row r="8273" spans="1:6" ht="15">
      <c r="A8273" s="51">
        <v>3250387</v>
      </c>
      <c r="B8273" t="s">
        <v>2998</v>
      </c>
      <c r="C8273" s="39" t="s">
        <v>210</v>
      </c>
      <c r="D8273">
        <v>7</v>
      </c>
      <c r="F8273" s="56"/>
    </row>
    <row r="8274" spans="1:6" ht="15">
      <c r="A8274" s="51">
        <v>3250388</v>
      </c>
      <c r="B8274" t="s">
        <v>2999</v>
      </c>
      <c r="C8274" s="39" t="s">
        <v>210</v>
      </c>
      <c r="D8274">
        <v>7</v>
      </c>
      <c r="F8274" s="56"/>
    </row>
    <row r="8275" spans="1:6" ht="15">
      <c r="A8275" s="51">
        <v>3250389</v>
      </c>
      <c r="B8275" t="s">
        <v>3000</v>
      </c>
      <c r="C8275" s="39" t="s">
        <v>210</v>
      </c>
      <c r="D8275">
        <v>8</v>
      </c>
      <c r="F8275" s="56"/>
    </row>
    <row r="8276" spans="1:6" ht="15">
      <c r="A8276" s="51">
        <v>3250390</v>
      </c>
      <c r="B8276" t="s">
        <v>3001</v>
      </c>
      <c r="C8276" s="39" t="s">
        <v>210</v>
      </c>
      <c r="D8276">
        <v>8</v>
      </c>
      <c r="F8276" s="56"/>
    </row>
    <row r="8277" spans="1:6" ht="15">
      <c r="A8277" s="51">
        <v>3250404</v>
      </c>
      <c r="B8277" t="s">
        <v>785</v>
      </c>
      <c r="C8277" s="39" t="s">
        <v>4155</v>
      </c>
      <c r="D8277">
        <v>8</v>
      </c>
      <c r="F8277" s="56"/>
    </row>
    <row r="8278" spans="1:6" ht="15">
      <c r="A8278" s="51">
        <v>3250402</v>
      </c>
      <c r="B8278" t="s">
        <v>786</v>
      </c>
      <c r="C8278" s="39" t="s">
        <v>4155</v>
      </c>
      <c r="D8278">
        <v>8</v>
      </c>
      <c r="F8278" s="56"/>
    </row>
    <row r="8279" spans="1:6" ht="15">
      <c r="A8279" s="51">
        <v>1407826</v>
      </c>
      <c r="B8279" t="s">
        <v>788</v>
      </c>
      <c r="C8279" s="39" t="s">
        <v>4155</v>
      </c>
      <c r="D8279">
        <v>8</v>
      </c>
      <c r="F8279" s="56"/>
    </row>
    <row r="8280" spans="1:6" ht="15">
      <c r="A8280" s="51">
        <v>1407830</v>
      </c>
      <c r="B8280" t="s">
        <v>789</v>
      </c>
      <c r="C8280" s="39" t="s">
        <v>4155</v>
      </c>
      <c r="D8280">
        <v>8</v>
      </c>
      <c r="F8280" s="56"/>
    </row>
    <row r="8281" spans="1:6" ht="15">
      <c r="A8281" s="51">
        <v>3250364</v>
      </c>
      <c r="B8281" t="s">
        <v>790</v>
      </c>
      <c r="C8281" s="39" t="s">
        <v>205</v>
      </c>
      <c r="D8281">
        <v>7</v>
      </c>
      <c r="F8281" s="56"/>
    </row>
    <row r="8282" spans="1:6" ht="15">
      <c r="A8282" s="51">
        <v>3250365</v>
      </c>
      <c r="B8282" t="s">
        <v>791</v>
      </c>
      <c r="C8282" s="39" t="s">
        <v>205</v>
      </c>
      <c r="D8282">
        <v>7</v>
      </c>
      <c r="F8282" s="56"/>
    </row>
    <row r="8283" spans="1:6" ht="15">
      <c r="A8283" s="51">
        <v>3250346</v>
      </c>
      <c r="B8283" t="s">
        <v>3007</v>
      </c>
      <c r="C8283" s="39" t="s">
        <v>633</v>
      </c>
      <c r="D8283" t="s">
        <v>4244</v>
      </c>
      <c r="F8283" s="56"/>
    </row>
    <row r="8284" spans="1:6" ht="15">
      <c r="A8284" s="51">
        <v>3250347</v>
      </c>
      <c r="B8284" t="s">
        <v>3008</v>
      </c>
      <c r="C8284" s="39" t="s">
        <v>633</v>
      </c>
      <c r="D8284">
        <v>7</v>
      </c>
      <c r="F8284" s="56"/>
    </row>
    <row r="8285" spans="1:6" ht="15">
      <c r="A8285" s="51">
        <v>3250335</v>
      </c>
      <c r="B8285" t="s">
        <v>3009</v>
      </c>
      <c r="C8285" s="39" t="s">
        <v>633</v>
      </c>
      <c r="D8285">
        <v>8</v>
      </c>
      <c r="F8285" s="56"/>
    </row>
    <row r="8286" spans="1:6" ht="15">
      <c r="A8286" s="51">
        <v>3250357</v>
      </c>
      <c r="B8286" t="s">
        <v>3010</v>
      </c>
      <c r="C8286" s="39" t="s">
        <v>633</v>
      </c>
      <c r="D8286">
        <v>8</v>
      </c>
      <c r="F8286" s="56"/>
    </row>
    <row r="8287" spans="1:6" ht="15">
      <c r="B8287" t="s">
        <v>2348</v>
      </c>
      <c r="C8287" s="39" t="s">
        <v>630</v>
      </c>
      <c r="D8287" t="s">
        <v>4244</v>
      </c>
      <c r="F8287" s="56"/>
    </row>
    <row r="8288" spans="1:6" ht="15">
      <c r="B8288" t="s">
        <v>3422</v>
      </c>
      <c r="C8288" s="39" t="s">
        <v>630</v>
      </c>
      <c r="D8288">
        <v>7</v>
      </c>
      <c r="F8288" s="56"/>
    </row>
    <row r="8289" spans="1:6" ht="15">
      <c r="A8289" s="51">
        <v>1407822</v>
      </c>
      <c r="B8289" t="s">
        <v>3423</v>
      </c>
      <c r="C8289" s="39" t="s">
        <v>177</v>
      </c>
      <c r="D8289" t="s">
        <v>1595</v>
      </c>
      <c r="F8289" s="56"/>
    </row>
    <row r="8290" spans="1:6" ht="15">
      <c r="A8290" s="51">
        <v>3250369</v>
      </c>
      <c r="B8290" t="s">
        <v>2353</v>
      </c>
      <c r="C8290" s="39" t="s">
        <v>177</v>
      </c>
      <c r="D8290" t="s">
        <v>468</v>
      </c>
      <c r="F8290" s="56"/>
    </row>
    <row r="8291" spans="1:6" ht="15">
      <c r="A8291" s="51">
        <v>3250376</v>
      </c>
      <c r="B8291" t="s">
        <v>2354</v>
      </c>
      <c r="C8291" s="39" t="s">
        <v>177</v>
      </c>
      <c r="D8291" t="s">
        <v>469</v>
      </c>
      <c r="F8291" s="56"/>
    </row>
    <row r="8292" spans="1:6" ht="15">
      <c r="A8292" s="51">
        <v>1407819</v>
      </c>
      <c r="B8292" t="s">
        <v>3424</v>
      </c>
      <c r="C8292" s="39" t="s">
        <v>177</v>
      </c>
      <c r="D8292" t="s">
        <v>1595</v>
      </c>
      <c r="F8292" s="56"/>
    </row>
    <row r="8293" spans="1:6" ht="15">
      <c r="A8293" s="51">
        <v>3250368</v>
      </c>
      <c r="B8293" t="s">
        <v>3371</v>
      </c>
      <c r="C8293" s="39" t="s">
        <v>177</v>
      </c>
      <c r="D8293" t="s">
        <v>468</v>
      </c>
      <c r="F8293" s="56"/>
    </row>
    <row r="8294" spans="1:6" ht="15">
      <c r="A8294" s="51">
        <v>3250276</v>
      </c>
      <c r="B8294" t="s">
        <v>1619</v>
      </c>
      <c r="C8294" s="39" t="s">
        <v>1107</v>
      </c>
      <c r="D8294" t="s">
        <v>4245</v>
      </c>
      <c r="F8294" s="56"/>
    </row>
    <row r="8295" spans="1:6" ht="15">
      <c r="A8295" s="51">
        <v>3250356</v>
      </c>
      <c r="B8295" t="s">
        <v>2357</v>
      </c>
      <c r="C8295" s="39" t="s">
        <v>1107</v>
      </c>
      <c r="D8295" t="s">
        <v>4245</v>
      </c>
      <c r="F8295" s="56"/>
    </row>
    <row r="8296" spans="1:6" ht="15">
      <c r="B8296" t="s">
        <v>2361</v>
      </c>
      <c r="C8296" s="39" t="s">
        <v>3426</v>
      </c>
      <c r="D8296" t="s">
        <v>468</v>
      </c>
      <c r="F8296" s="56"/>
    </row>
    <row r="8297" spans="1:6" ht="15">
      <c r="A8297" s="51">
        <v>3250414</v>
      </c>
      <c r="B8297" t="s">
        <v>4156</v>
      </c>
      <c r="C8297" s="39" t="s">
        <v>3428</v>
      </c>
      <c r="D8297" t="s">
        <v>1596</v>
      </c>
      <c r="F8297" s="56"/>
    </row>
    <row r="8298" spans="1:6" ht="15">
      <c r="A8298" s="51">
        <v>3250309</v>
      </c>
      <c r="B8298" t="s">
        <v>3427</v>
      </c>
      <c r="C8298" s="39" t="s">
        <v>3428</v>
      </c>
      <c r="D8298" t="s">
        <v>1596</v>
      </c>
      <c r="F8298" s="56"/>
    </row>
    <row r="8299" spans="1:6" ht="15">
      <c r="A8299" s="51">
        <v>3250310</v>
      </c>
      <c r="B8299" t="s">
        <v>3429</v>
      </c>
      <c r="C8299" s="39" t="s">
        <v>3428</v>
      </c>
      <c r="D8299" t="s">
        <v>471</v>
      </c>
      <c r="F8299" s="56"/>
    </row>
    <row r="8300" spans="1:6" ht="15">
      <c r="A8300" s="51">
        <v>3250311</v>
      </c>
      <c r="B8300" t="s">
        <v>3430</v>
      </c>
      <c r="C8300" s="39" t="s">
        <v>3428</v>
      </c>
      <c r="D8300">
        <v>7</v>
      </c>
      <c r="F8300" s="56"/>
    </row>
    <row r="8301" spans="1:6" ht="15">
      <c r="A8301" s="51">
        <v>3250411</v>
      </c>
      <c r="B8301" t="s">
        <v>3431</v>
      </c>
      <c r="C8301" s="39" t="s">
        <v>983</v>
      </c>
      <c r="D8301" t="s">
        <v>1596</v>
      </c>
      <c r="F8301" s="56"/>
    </row>
    <row r="8302" spans="1:6" ht="15">
      <c r="A8302" s="51">
        <v>3250349</v>
      </c>
      <c r="B8302" t="s">
        <v>3432</v>
      </c>
      <c r="C8302" s="39" t="s">
        <v>983</v>
      </c>
      <c r="D8302" t="s">
        <v>471</v>
      </c>
      <c r="F8302" s="56"/>
    </row>
    <row r="8303" spans="1:6" ht="15">
      <c r="A8303" s="51">
        <v>3250350</v>
      </c>
      <c r="B8303" t="s">
        <v>3433</v>
      </c>
      <c r="C8303" s="39" t="s">
        <v>983</v>
      </c>
      <c r="D8303">
        <v>7</v>
      </c>
      <c r="F8303" s="56"/>
    </row>
    <row r="8304" spans="1:6" ht="15">
      <c r="B8304" t="s">
        <v>3434</v>
      </c>
      <c r="C8304" s="39" t="s">
        <v>999</v>
      </c>
      <c r="D8304" t="s">
        <v>468</v>
      </c>
      <c r="F8304" s="56"/>
    </row>
    <row r="8305" spans="1:6" ht="15">
      <c r="B8305" t="s">
        <v>3435</v>
      </c>
      <c r="C8305" s="39" t="s">
        <v>999</v>
      </c>
      <c r="D8305" t="s">
        <v>469</v>
      </c>
      <c r="F8305" s="56"/>
    </row>
    <row r="8306" spans="1:6" ht="15">
      <c r="B8306" t="s">
        <v>3436</v>
      </c>
      <c r="C8306" s="39" t="s">
        <v>999</v>
      </c>
      <c r="D8306" t="s">
        <v>471</v>
      </c>
      <c r="F8306" s="56"/>
    </row>
    <row r="8307" spans="1:6" ht="15">
      <c r="A8307" s="51">
        <v>3250315</v>
      </c>
      <c r="B8307" t="s">
        <v>3264</v>
      </c>
      <c r="C8307" s="39" t="s">
        <v>1797</v>
      </c>
      <c r="D8307" t="s">
        <v>4246</v>
      </c>
      <c r="F8307" s="56"/>
    </row>
    <row r="8308" spans="1:6" ht="15">
      <c r="A8308" s="51">
        <v>3250316</v>
      </c>
      <c r="B8308" t="s">
        <v>3437</v>
      </c>
      <c r="C8308" s="39" t="s">
        <v>1797</v>
      </c>
      <c r="D8308" t="s">
        <v>4244</v>
      </c>
      <c r="F8308" s="56"/>
    </row>
    <row r="8309" spans="1:6" ht="15">
      <c r="A8309" s="51">
        <v>3250333</v>
      </c>
      <c r="B8309" t="s">
        <v>3438</v>
      </c>
      <c r="C8309" s="39" t="s">
        <v>1797</v>
      </c>
      <c r="D8309">
        <v>7</v>
      </c>
      <c r="F8309" s="56"/>
    </row>
    <row r="8310" spans="1:6" ht="15">
      <c r="B8310" t="s">
        <v>4157</v>
      </c>
      <c r="C8310" s="39" t="s">
        <v>1046</v>
      </c>
      <c r="D8310" t="s">
        <v>469</v>
      </c>
      <c r="F8310" s="56"/>
    </row>
    <row r="8311" spans="1:6" ht="15">
      <c r="A8311" s="51">
        <v>1407804</v>
      </c>
      <c r="B8311" t="s">
        <v>3439</v>
      </c>
      <c r="C8311" s="39" t="s">
        <v>1046</v>
      </c>
      <c r="D8311" t="s">
        <v>469</v>
      </c>
      <c r="F8311" s="56"/>
    </row>
    <row r="8312" spans="1:6" ht="15">
      <c r="A8312" s="51">
        <v>1407806</v>
      </c>
      <c r="B8312" t="s">
        <v>1620</v>
      </c>
      <c r="C8312" s="39" t="s">
        <v>1046</v>
      </c>
      <c r="D8312" t="s">
        <v>469</v>
      </c>
      <c r="F8312" s="56"/>
    </row>
    <row r="8313" spans="1:6" ht="15">
      <c r="A8313" s="51">
        <v>3250308</v>
      </c>
      <c r="B8313" t="s">
        <v>3440</v>
      </c>
      <c r="C8313" s="39" t="s">
        <v>320</v>
      </c>
      <c r="D8313" t="s">
        <v>4243</v>
      </c>
      <c r="F8313" s="56"/>
    </row>
    <row r="8314" spans="1:6" ht="15">
      <c r="A8314" s="51">
        <v>3250313</v>
      </c>
      <c r="B8314" t="s">
        <v>3441</v>
      </c>
      <c r="C8314" s="39" t="s">
        <v>1095</v>
      </c>
      <c r="D8314" t="s">
        <v>469</v>
      </c>
      <c r="F8314" s="56"/>
    </row>
    <row r="8315" spans="1:6" ht="15">
      <c r="A8315" s="51">
        <v>3250312</v>
      </c>
      <c r="B8315" t="s">
        <v>3442</v>
      </c>
      <c r="C8315" s="39" t="s">
        <v>1095</v>
      </c>
      <c r="D8315" t="s">
        <v>469</v>
      </c>
      <c r="F8315" s="56"/>
    </row>
    <row r="8316" spans="1:6" ht="15">
      <c r="B8316" t="s">
        <v>4158</v>
      </c>
      <c r="C8316" s="39" t="s">
        <v>1095</v>
      </c>
      <c r="D8316" t="s">
        <v>471</v>
      </c>
      <c r="F8316" s="56"/>
    </row>
    <row r="8317" spans="1:6" ht="15">
      <c r="A8317" s="51">
        <v>3250348</v>
      </c>
      <c r="B8317" t="s">
        <v>3443</v>
      </c>
      <c r="C8317" s="39" t="s">
        <v>1095</v>
      </c>
      <c r="D8317" t="s">
        <v>469</v>
      </c>
      <c r="F8317" s="56"/>
    </row>
    <row r="8318" spans="1:6" ht="15">
      <c r="A8318" s="51">
        <v>3250334</v>
      </c>
      <c r="B8318" t="s">
        <v>3444</v>
      </c>
      <c r="C8318" s="39" t="s">
        <v>1095</v>
      </c>
      <c r="D8318" t="s">
        <v>471</v>
      </c>
      <c r="F8318" s="56"/>
    </row>
    <row r="8319" spans="1:6" ht="15">
      <c r="A8319" s="51">
        <v>3250409</v>
      </c>
      <c r="B8319" t="s">
        <v>3445</v>
      </c>
      <c r="C8319" s="39" t="s">
        <v>258</v>
      </c>
      <c r="D8319">
        <v>9</v>
      </c>
      <c r="F8319" s="56"/>
    </row>
    <row r="8320" spans="1:6" ht="15">
      <c r="A8320" s="51">
        <v>3250358</v>
      </c>
      <c r="B8320" t="s">
        <v>3446</v>
      </c>
      <c r="C8320" s="39" t="s">
        <v>258</v>
      </c>
      <c r="D8320">
        <v>9</v>
      </c>
      <c r="F8320" s="56"/>
    </row>
    <row r="8321" spans="2:6" ht="15">
      <c r="B8321" t="s">
        <v>2604</v>
      </c>
      <c r="C8321" s="39" t="s">
        <v>88</v>
      </c>
      <c r="D8321">
        <v>8</v>
      </c>
      <c r="F8321" s="56"/>
    </row>
    <row r="8322" spans="2:6" ht="15">
      <c r="B8322" t="s">
        <v>1214</v>
      </c>
      <c r="C8322" s="39" t="s">
        <v>4159</v>
      </c>
      <c r="D8322">
        <v>7</v>
      </c>
      <c r="F8322" s="56"/>
    </row>
    <row r="8323" spans="2:6" ht="15">
      <c r="B8323" t="s">
        <v>968</v>
      </c>
      <c r="C8323" s="39" t="s">
        <v>4160</v>
      </c>
      <c r="D8323">
        <v>7</v>
      </c>
      <c r="F8323" s="56"/>
    </row>
    <row r="8324" spans="2:6" ht="15">
      <c r="B8324" t="s">
        <v>317</v>
      </c>
      <c r="C8324" s="39" t="s">
        <v>318</v>
      </c>
      <c r="D8324">
        <v>7</v>
      </c>
      <c r="F8324" s="56"/>
    </row>
    <row r="8325" spans="2:6" ht="15">
      <c r="B8325" t="s">
        <v>3181</v>
      </c>
      <c r="C8325" s="39" t="s">
        <v>318</v>
      </c>
      <c r="D8325">
        <v>8</v>
      </c>
      <c r="F8325" s="56"/>
    </row>
    <row r="8326" spans="2:6" ht="15">
      <c r="B8326" t="s">
        <v>4161</v>
      </c>
      <c r="C8326" s="39" t="s">
        <v>835</v>
      </c>
      <c r="D8326">
        <v>9</v>
      </c>
      <c r="F8326" s="56"/>
    </row>
    <row r="8327" spans="2:6" ht="15">
      <c r="B8327" t="s">
        <v>4162</v>
      </c>
      <c r="C8327" s="39" t="s">
        <v>320</v>
      </c>
      <c r="D8327" t="s">
        <v>4243</v>
      </c>
      <c r="F8327" s="56"/>
    </row>
    <row r="8328" spans="2:6" ht="15">
      <c r="B8328" t="s">
        <v>1345</v>
      </c>
      <c r="C8328" s="39" t="s">
        <v>2454</v>
      </c>
      <c r="D8328" t="s">
        <v>4247</v>
      </c>
      <c r="F8328" s="56"/>
    </row>
    <row r="8329" spans="2:6" ht="15">
      <c r="B8329" t="s">
        <v>969</v>
      </c>
      <c r="C8329" s="39" t="s">
        <v>2454</v>
      </c>
      <c r="D8329" t="s">
        <v>4243</v>
      </c>
      <c r="F8329" s="56"/>
    </row>
    <row r="8330" spans="2:6" ht="15">
      <c r="B8330" t="s">
        <v>1348</v>
      </c>
      <c r="C8330" s="39" t="s">
        <v>536</v>
      </c>
      <c r="D8330" t="s">
        <v>4246</v>
      </c>
      <c r="F8330" s="56"/>
    </row>
    <row r="8331" spans="2:6" ht="15">
      <c r="B8331" t="s">
        <v>3028</v>
      </c>
      <c r="C8331" s="39" t="s">
        <v>536</v>
      </c>
      <c r="D8331" t="s">
        <v>4244</v>
      </c>
      <c r="F8331" s="56"/>
    </row>
    <row r="8332" spans="2:6" ht="15">
      <c r="B8332" t="s">
        <v>3789</v>
      </c>
      <c r="C8332" s="39" t="s">
        <v>536</v>
      </c>
      <c r="D8332" t="s">
        <v>4243</v>
      </c>
      <c r="F8332" s="56"/>
    </row>
    <row r="8333" spans="2:6" ht="15">
      <c r="B8333" t="s">
        <v>3790</v>
      </c>
      <c r="C8333" s="39" t="s">
        <v>536</v>
      </c>
      <c r="D8333" t="s">
        <v>4246</v>
      </c>
      <c r="F8333" s="56"/>
    </row>
    <row r="8334" spans="2:6" ht="15">
      <c r="B8334" t="s">
        <v>4163</v>
      </c>
      <c r="C8334" s="39" t="s">
        <v>536</v>
      </c>
      <c r="D8334">
        <v>8</v>
      </c>
      <c r="F8334" s="56"/>
    </row>
    <row r="8335" spans="2:6" ht="15">
      <c r="B8335" t="s">
        <v>1144</v>
      </c>
      <c r="C8335" s="39" t="s">
        <v>90</v>
      </c>
      <c r="D8335">
        <v>7</v>
      </c>
      <c r="F8335" s="56"/>
    </row>
    <row r="8336" spans="2:6" ht="15">
      <c r="B8336" t="s">
        <v>89</v>
      </c>
      <c r="C8336" s="39" t="s">
        <v>983</v>
      </c>
      <c r="D8336" t="s">
        <v>1596</v>
      </c>
      <c r="F8336" s="56"/>
    </row>
    <row r="8337" spans="2:6" ht="15">
      <c r="B8337" t="s">
        <v>1522</v>
      </c>
      <c r="C8337" s="39" t="s">
        <v>983</v>
      </c>
      <c r="D8337" t="s">
        <v>469</v>
      </c>
      <c r="F8337" s="56"/>
    </row>
    <row r="8338" spans="2:6" ht="15">
      <c r="B8338" t="s">
        <v>4164</v>
      </c>
      <c r="C8338" s="39" t="s">
        <v>983</v>
      </c>
      <c r="D8338" t="s">
        <v>471</v>
      </c>
      <c r="F8338" s="56"/>
    </row>
    <row r="8339" spans="2:6" ht="15">
      <c r="B8339" t="s">
        <v>4165</v>
      </c>
      <c r="C8339" s="39" t="s">
        <v>983</v>
      </c>
      <c r="D8339">
        <v>7</v>
      </c>
      <c r="F8339" s="56"/>
    </row>
    <row r="8340" spans="2:6" ht="15">
      <c r="B8340" t="s">
        <v>4166</v>
      </c>
      <c r="C8340" s="39" t="s">
        <v>983</v>
      </c>
      <c r="D8340">
        <v>8</v>
      </c>
      <c r="F8340" s="56"/>
    </row>
    <row r="8341" spans="2:6" ht="15">
      <c r="B8341" t="s">
        <v>2518</v>
      </c>
      <c r="C8341" s="39" t="s">
        <v>92</v>
      </c>
      <c r="D8341" t="s">
        <v>4244</v>
      </c>
      <c r="F8341" s="56"/>
    </row>
    <row r="8342" spans="2:6" ht="15">
      <c r="B8342" t="s">
        <v>3893</v>
      </c>
      <c r="C8342" s="39" t="s">
        <v>92</v>
      </c>
      <c r="D8342" t="s">
        <v>4243</v>
      </c>
      <c r="F8342" s="56"/>
    </row>
    <row r="8343" spans="2:6" ht="15">
      <c r="B8343" t="s">
        <v>1621</v>
      </c>
      <c r="C8343" s="39" t="s">
        <v>4167</v>
      </c>
      <c r="D8343" t="s">
        <v>4247</v>
      </c>
      <c r="F8343" s="56"/>
    </row>
    <row r="8344" spans="2:6" ht="15">
      <c r="B8344" t="s">
        <v>3132</v>
      </c>
      <c r="C8344" s="39" t="s">
        <v>4168</v>
      </c>
      <c r="D8344" t="s">
        <v>4243</v>
      </c>
      <c r="F8344" s="56"/>
    </row>
    <row r="8345" spans="2:6" ht="15">
      <c r="B8345" t="s">
        <v>1791</v>
      </c>
      <c r="C8345" s="39" t="s">
        <v>837</v>
      </c>
      <c r="D8345" t="s">
        <v>4247</v>
      </c>
      <c r="F8345" s="56"/>
    </row>
    <row r="8346" spans="2:6" ht="15">
      <c r="B8346" t="s">
        <v>4169</v>
      </c>
      <c r="C8346" s="39" t="s">
        <v>331</v>
      </c>
      <c r="D8346" t="s">
        <v>4244</v>
      </c>
      <c r="F8346" s="56"/>
    </row>
    <row r="8347" spans="2:6" ht="15">
      <c r="B8347" t="s">
        <v>4170</v>
      </c>
      <c r="C8347" s="39" t="s">
        <v>542</v>
      </c>
      <c r="D8347" t="s">
        <v>4246</v>
      </c>
      <c r="F8347" s="56"/>
    </row>
    <row r="8348" spans="2:6" ht="15">
      <c r="B8348" t="s">
        <v>4171</v>
      </c>
      <c r="C8348" s="39" t="s">
        <v>542</v>
      </c>
      <c r="D8348" t="s">
        <v>4247</v>
      </c>
      <c r="F8348" s="56"/>
    </row>
    <row r="8349" spans="2:6" ht="15">
      <c r="B8349" t="s">
        <v>100</v>
      </c>
      <c r="C8349" s="39" t="s">
        <v>3770</v>
      </c>
      <c r="D8349" t="s">
        <v>4244</v>
      </c>
      <c r="F8349" s="56"/>
    </row>
    <row r="8350" spans="2:6" ht="15">
      <c r="B8350" t="s">
        <v>4172</v>
      </c>
      <c r="C8350" s="39" t="s">
        <v>99</v>
      </c>
      <c r="D8350">
        <v>7</v>
      </c>
      <c r="F8350" s="56"/>
    </row>
    <row r="8351" spans="2:6" ht="15">
      <c r="B8351" t="s">
        <v>103</v>
      </c>
      <c r="C8351" s="39" t="s">
        <v>104</v>
      </c>
      <c r="D8351" t="s">
        <v>4243</v>
      </c>
      <c r="F8351" s="56"/>
    </row>
    <row r="8352" spans="2:6" ht="15">
      <c r="B8352" t="s">
        <v>3455</v>
      </c>
      <c r="C8352" s="39" t="s">
        <v>4173</v>
      </c>
      <c r="D8352" t="s">
        <v>4243</v>
      </c>
      <c r="F8352" s="56"/>
    </row>
    <row r="8353" spans="2:6" ht="15">
      <c r="B8353" t="s">
        <v>3508</v>
      </c>
      <c r="C8353" s="39" t="s">
        <v>1797</v>
      </c>
      <c r="D8353" t="s">
        <v>4246</v>
      </c>
      <c r="F8353" s="56"/>
    </row>
    <row r="8354" spans="2:6" ht="15">
      <c r="B8354" t="s">
        <v>1798</v>
      </c>
      <c r="C8354" s="39" t="s">
        <v>1797</v>
      </c>
      <c r="D8354" t="s">
        <v>4246</v>
      </c>
      <c r="F8354" s="56"/>
    </row>
    <row r="8355" spans="2:6" ht="15">
      <c r="B8355" t="s">
        <v>1369</v>
      </c>
      <c r="C8355" s="39" t="s">
        <v>1797</v>
      </c>
      <c r="D8355" t="s">
        <v>4244</v>
      </c>
      <c r="F8355" s="56"/>
    </row>
    <row r="8356" spans="2:6" ht="15">
      <c r="B8356" t="s">
        <v>4174</v>
      </c>
      <c r="C8356" s="39" t="s">
        <v>1797</v>
      </c>
      <c r="D8356" t="s">
        <v>4243</v>
      </c>
      <c r="F8356" s="56"/>
    </row>
    <row r="8357" spans="2:6" ht="15">
      <c r="B8357" t="s">
        <v>1243</v>
      </c>
      <c r="C8357" s="39" t="s">
        <v>1797</v>
      </c>
      <c r="D8357">
        <v>7</v>
      </c>
      <c r="F8357" s="56"/>
    </row>
    <row r="8358" spans="2:6" ht="15">
      <c r="B8358" t="s">
        <v>1244</v>
      </c>
      <c r="C8358" s="39" t="s">
        <v>999</v>
      </c>
      <c r="D8358" t="s">
        <v>468</v>
      </c>
      <c r="F8358" s="56"/>
    </row>
    <row r="8359" spans="2:6" ht="15">
      <c r="B8359" t="s">
        <v>2520</v>
      </c>
      <c r="C8359" s="39" t="s">
        <v>999</v>
      </c>
      <c r="D8359" t="s">
        <v>471</v>
      </c>
      <c r="F8359" s="56"/>
    </row>
    <row r="8360" spans="2:6" ht="15">
      <c r="B8360" t="s">
        <v>116</v>
      </c>
      <c r="C8360" s="39" t="s">
        <v>4175</v>
      </c>
      <c r="D8360" t="s">
        <v>4248</v>
      </c>
      <c r="F8360" s="56"/>
    </row>
    <row r="8361" spans="2:6" ht="15">
      <c r="B8361" t="s">
        <v>1131</v>
      </c>
      <c r="C8361" s="39" t="s">
        <v>264</v>
      </c>
      <c r="D8361" t="s">
        <v>4244</v>
      </c>
      <c r="F8361" s="56"/>
    </row>
    <row r="8362" spans="2:6" ht="15">
      <c r="B8362" t="s">
        <v>118</v>
      </c>
      <c r="C8362" s="39" t="s">
        <v>4175</v>
      </c>
      <c r="D8362" t="s">
        <v>4245</v>
      </c>
      <c r="F8362" s="56"/>
    </row>
    <row r="8363" spans="2:6" ht="15">
      <c r="B8363" t="s">
        <v>354</v>
      </c>
      <c r="C8363" s="39" t="s">
        <v>4175</v>
      </c>
      <c r="D8363" t="s">
        <v>4245</v>
      </c>
      <c r="F8363" s="56"/>
    </row>
    <row r="8364" spans="2:6" ht="15">
      <c r="B8364" t="s">
        <v>4176</v>
      </c>
      <c r="C8364" s="39" t="s">
        <v>4177</v>
      </c>
      <c r="D8364" t="s">
        <v>4245</v>
      </c>
      <c r="F8364" s="56"/>
    </row>
    <row r="8365" spans="2:6" ht="15">
      <c r="B8365" t="s">
        <v>2611</v>
      </c>
      <c r="C8365" s="39" t="s">
        <v>108</v>
      </c>
      <c r="D8365" t="s">
        <v>4245</v>
      </c>
      <c r="F8365" s="56"/>
    </row>
    <row r="8366" spans="2:6" ht="15">
      <c r="B8366" t="s">
        <v>850</v>
      </c>
      <c r="C8366" s="39" t="s">
        <v>108</v>
      </c>
      <c r="D8366" t="s">
        <v>4244</v>
      </c>
      <c r="F8366" s="56"/>
    </row>
    <row r="8367" spans="2:6" ht="15">
      <c r="B8367" t="s">
        <v>852</v>
      </c>
      <c r="C8367" s="39" t="s">
        <v>108</v>
      </c>
      <c r="D8367" t="s">
        <v>4243</v>
      </c>
      <c r="F8367" s="56"/>
    </row>
    <row r="8368" spans="2:6" ht="15">
      <c r="B8368" t="s">
        <v>4178</v>
      </c>
      <c r="C8368" s="39" t="s">
        <v>108</v>
      </c>
      <c r="D8368">
        <v>8</v>
      </c>
      <c r="F8368" s="56"/>
    </row>
    <row r="8369" spans="2:6" ht="15">
      <c r="B8369" t="s">
        <v>853</v>
      </c>
      <c r="C8369" s="39" t="s">
        <v>651</v>
      </c>
      <c r="D8369">
        <v>7</v>
      </c>
      <c r="F8369" s="56"/>
    </row>
    <row r="8370" spans="2:6" ht="15">
      <c r="B8370" t="s">
        <v>4179</v>
      </c>
      <c r="C8370" s="39" t="s">
        <v>651</v>
      </c>
      <c r="D8370">
        <v>7</v>
      </c>
      <c r="F8370" s="56"/>
    </row>
    <row r="8371" spans="2:6" ht="15">
      <c r="B8371" t="s">
        <v>3348</v>
      </c>
      <c r="C8371" s="39" t="s">
        <v>914</v>
      </c>
      <c r="D8371" t="s">
        <v>4244</v>
      </c>
      <c r="F8371" s="56"/>
    </row>
    <row r="8372" spans="2:6" ht="15">
      <c r="B8372" t="s">
        <v>4180</v>
      </c>
      <c r="C8372" s="39" t="s">
        <v>914</v>
      </c>
      <c r="D8372" t="s">
        <v>4244</v>
      </c>
      <c r="F8372" s="56"/>
    </row>
    <row r="8373" spans="2:6" ht="15">
      <c r="B8373" t="s">
        <v>4181</v>
      </c>
      <c r="C8373" s="39" t="s">
        <v>914</v>
      </c>
      <c r="D8373">
        <v>7</v>
      </c>
      <c r="F8373" s="56"/>
    </row>
    <row r="8374" spans="2:6" ht="15">
      <c r="B8374" t="s">
        <v>3794</v>
      </c>
      <c r="C8374" s="39" t="s">
        <v>914</v>
      </c>
      <c r="D8374">
        <v>8</v>
      </c>
      <c r="F8374" s="56"/>
    </row>
    <row r="8375" spans="2:6" ht="15">
      <c r="B8375" t="s">
        <v>1637</v>
      </c>
      <c r="C8375" s="39" t="s">
        <v>781</v>
      </c>
      <c r="D8375" t="s">
        <v>4245</v>
      </c>
      <c r="F8375" s="56"/>
    </row>
    <row r="8376" spans="2:6" ht="15">
      <c r="B8376" t="s">
        <v>1391</v>
      </c>
      <c r="C8376" s="39" t="s">
        <v>781</v>
      </c>
      <c r="D8376" t="s">
        <v>4247</v>
      </c>
      <c r="F8376" s="56"/>
    </row>
    <row r="8377" spans="2:6" ht="15">
      <c r="B8377" t="s">
        <v>4182</v>
      </c>
      <c r="C8377" s="39" t="s">
        <v>781</v>
      </c>
      <c r="D8377" t="s">
        <v>4245</v>
      </c>
      <c r="F8377" s="56"/>
    </row>
    <row r="8378" spans="2:6" ht="15">
      <c r="B8378" t="s">
        <v>4183</v>
      </c>
      <c r="C8378" s="39" t="s">
        <v>781</v>
      </c>
      <c r="D8378" t="s">
        <v>4247</v>
      </c>
      <c r="F8378" s="56"/>
    </row>
    <row r="8379" spans="2:6" ht="15">
      <c r="B8379" t="s">
        <v>4184</v>
      </c>
      <c r="C8379" s="39" t="s">
        <v>781</v>
      </c>
      <c r="D8379" t="s">
        <v>4243</v>
      </c>
      <c r="F8379" s="56"/>
    </row>
    <row r="8380" spans="2:6" ht="15">
      <c r="B8380" t="s">
        <v>4185</v>
      </c>
      <c r="C8380" s="39" t="s">
        <v>781</v>
      </c>
      <c r="D8380">
        <v>8</v>
      </c>
      <c r="F8380" s="56"/>
    </row>
    <row r="8381" spans="2:6" ht="15">
      <c r="B8381" t="s">
        <v>4186</v>
      </c>
      <c r="C8381" s="39" t="s">
        <v>781</v>
      </c>
      <c r="D8381" t="s">
        <v>4243</v>
      </c>
      <c r="F8381" s="56"/>
    </row>
    <row r="8382" spans="2:6" ht="15">
      <c r="B8382" t="s">
        <v>4187</v>
      </c>
      <c r="C8382" s="39" t="s">
        <v>130</v>
      </c>
      <c r="D8382" t="s">
        <v>4243</v>
      </c>
      <c r="F8382" s="56"/>
    </row>
    <row r="8383" spans="2:6" ht="15">
      <c r="B8383" t="s">
        <v>4188</v>
      </c>
      <c r="C8383" s="39" t="s">
        <v>1015</v>
      </c>
      <c r="D8383" t="s">
        <v>4245</v>
      </c>
      <c r="F8383" s="56"/>
    </row>
    <row r="8384" spans="2:6" ht="15">
      <c r="B8384" t="s">
        <v>4189</v>
      </c>
      <c r="C8384" s="39" t="s">
        <v>433</v>
      </c>
      <c r="D8384" t="s">
        <v>4245</v>
      </c>
      <c r="F8384" s="56"/>
    </row>
    <row r="8385" spans="2:6" ht="15">
      <c r="B8385" t="s">
        <v>129</v>
      </c>
      <c r="C8385" s="39" t="s">
        <v>626</v>
      </c>
      <c r="D8385" t="s">
        <v>4243</v>
      </c>
      <c r="F8385" s="56"/>
    </row>
    <row r="8386" spans="2:6" ht="15">
      <c r="B8386" t="s">
        <v>1014</v>
      </c>
      <c r="C8386" s="39" t="s">
        <v>626</v>
      </c>
      <c r="D8386" t="s">
        <v>4243</v>
      </c>
      <c r="F8386" s="56"/>
    </row>
    <row r="8387" spans="2:6" ht="15">
      <c r="B8387" t="s">
        <v>4190</v>
      </c>
      <c r="C8387" s="39" t="s">
        <v>626</v>
      </c>
      <c r="D8387">
        <v>7</v>
      </c>
      <c r="F8387" s="56"/>
    </row>
    <row r="8388" spans="2:6" ht="15">
      <c r="B8388" t="s">
        <v>1016</v>
      </c>
      <c r="C8388" s="39" t="s">
        <v>2942</v>
      </c>
      <c r="D8388">
        <v>9</v>
      </c>
      <c r="F8388" s="56"/>
    </row>
    <row r="8389" spans="2:6" ht="15">
      <c r="B8389" t="s">
        <v>3801</v>
      </c>
      <c r="C8389" s="39" t="s">
        <v>132</v>
      </c>
      <c r="D8389" t="s">
        <v>471</v>
      </c>
      <c r="F8389" s="56"/>
    </row>
    <row r="8390" spans="2:6" ht="15">
      <c r="B8390" t="s">
        <v>4191</v>
      </c>
      <c r="C8390" s="39" t="s">
        <v>132</v>
      </c>
      <c r="D8390">
        <v>7</v>
      </c>
      <c r="F8390" s="56"/>
    </row>
    <row r="8391" spans="2:6" ht="15">
      <c r="B8391" t="s">
        <v>4192</v>
      </c>
      <c r="C8391" s="39" t="s">
        <v>664</v>
      </c>
      <c r="D8391" t="s">
        <v>4243</v>
      </c>
      <c r="F8391" s="56"/>
    </row>
    <row r="8392" spans="2:6" ht="15">
      <c r="B8392" t="s">
        <v>3461</v>
      </c>
      <c r="C8392" s="39" t="s">
        <v>664</v>
      </c>
      <c r="D8392" t="s">
        <v>4243</v>
      </c>
      <c r="F8392" s="56"/>
    </row>
    <row r="8393" spans="2:6" ht="15">
      <c r="B8393" t="s">
        <v>1170</v>
      </c>
      <c r="C8393" s="39" t="s">
        <v>664</v>
      </c>
      <c r="D8393">
        <v>7</v>
      </c>
      <c r="F8393" s="56"/>
    </row>
    <row r="8394" spans="2:6" ht="15">
      <c r="B8394" t="s">
        <v>1648</v>
      </c>
      <c r="C8394" s="39" t="s">
        <v>1026</v>
      </c>
      <c r="D8394" t="s">
        <v>4249</v>
      </c>
      <c r="F8394" s="56"/>
    </row>
    <row r="8395" spans="2:6" ht="15">
      <c r="B8395" t="s">
        <v>63</v>
      </c>
      <c r="C8395" s="39" t="s">
        <v>394</v>
      </c>
      <c r="D8395">
        <v>7</v>
      </c>
      <c r="F8395" s="56"/>
    </row>
    <row r="8396" spans="2:6" ht="15">
      <c r="B8396" t="s">
        <v>4193</v>
      </c>
      <c r="C8396" s="39" t="s">
        <v>1028</v>
      </c>
      <c r="D8396" t="s">
        <v>4246</v>
      </c>
      <c r="F8396" s="56"/>
    </row>
    <row r="8397" spans="2:6" ht="15">
      <c r="B8397" t="s">
        <v>4194</v>
      </c>
      <c r="C8397" s="39" t="s">
        <v>1031</v>
      </c>
      <c r="D8397" t="s">
        <v>4248</v>
      </c>
      <c r="F8397" s="56"/>
    </row>
    <row r="8398" spans="2:6" ht="15">
      <c r="B8398" t="s">
        <v>4195</v>
      </c>
      <c r="C8398" s="39" t="s">
        <v>1031</v>
      </c>
      <c r="D8398" t="s">
        <v>4248</v>
      </c>
      <c r="F8398" s="56"/>
    </row>
    <row r="8399" spans="2:6" ht="15">
      <c r="B8399" t="s">
        <v>4196</v>
      </c>
      <c r="C8399" s="39" t="s">
        <v>1031</v>
      </c>
      <c r="D8399" t="s">
        <v>4248</v>
      </c>
      <c r="F8399" s="56"/>
    </row>
    <row r="8400" spans="2:6" ht="15">
      <c r="B8400" t="s">
        <v>1175</v>
      </c>
      <c r="C8400" s="39" t="s">
        <v>371</v>
      </c>
      <c r="D8400">
        <v>8</v>
      </c>
      <c r="F8400" s="56"/>
    </row>
    <row r="8401" spans="2:6" ht="15">
      <c r="B8401" t="s">
        <v>372</v>
      </c>
      <c r="C8401" s="39" t="s">
        <v>283</v>
      </c>
      <c r="D8401">
        <v>8</v>
      </c>
      <c r="F8401" s="56"/>
    </row>
    <row r="8402" spans="2:6" ht="15">
      <c r="B8402" t="s">
        <v>143</v>
      </c>
      <c r="C8402" s="39" t="s">
        <v>1215</v>
      </c>
      <c r="D8402" t="s">
        <v>4244</v>
      </c>
      <c r="F8402" s="56"/>
    </row>
    <row r="8403" spans="2:6" ht="15">
      <c r="B8403" t="s">
        <v>2718</v>
      </c>
      <c r="C8403" s="39" t="s">
        <v>1215</v>
      </c>
      <c r="D8403" t="s">
        <v>4244</v>
      </c>
      <c r="F8403" s="56"/>
    </row>
    <row r="8404" spans="2:6" ht="15">
      <c r="B8404" t="s">
        <v>4197</v>
      </c>
      <c r="C8404" s="39" t="s">
        <v>151</v>
      </c>
      <c r="D8404" t="s">
        <v>466</v>
      </c>
      <c r="F8404" s="56"/>
    </row>
    <row r="8405" spans="2:6" ht="15">
      <c r="B8405" t="s">
        <v>1176</v>
      </c>
      <c r="C8405" s="39" t="s">
        <v>151</v>
      </c>
      <c r="D8405" t="s">
        <v>468</v>
      </c>
      <c r="F8405" s="56"/>
    </row>
    <row r="8406" spans="2:6" ht="15">
      <c r="B8406" t="s">
        <v>1741</v>
      </c>
      <c r="C8406" s="39" t="s">
        <v>151</v>
      </c>
      <c r="D8406" t="s">
        <v>469</v>
      </c>
      <c r="F8406" s="56"/>
    </row>
    <row r="8407" spans="2:6" ht="15">
      <c r="B8407" t="s">
        <v>4148</v>
      </c>
      <c r="C8407" s="39" t="s">
        <v>151</v>
      </c>
      <c r="D8407" t="s">
        <v>469</v>
      </c>
      <c r="F8407" s="56"/>
    </row>
    <row r="8408" spans="2:6" ht="15">
      <c r="B8408" t="s">
        <v>4149</v>
      </c>
      <c r="C8408" s="39" t="s">
        <v>151</v>
      </c>
      <c r="D8408" t="s">
        <v>466</v>
      </c>
      <c r="F8408" s="56"/>
    </row>
    <row r="8409" spans="2:6" ht="15">
      <c r="B8409" t="s">
        <v>3990</v>
      </c>
      <c r="C8409" s="39" t="s">
        <v>151</v>
      </c>
      <c r="D8409" t="s">
        <v>468</v>
      </c>
      <c r="F8409" s="56"/>
    </row>
    <row r="8410" spans="2:6" ht="15">
      <c r="B8410" t="s">
        <v>3939</v>
      </c>
      <c r="C8410" s="39" t="s">
        <v>151</v>
      </c>
      <c r="D8410" t="s">
        <v>469</v>
      </c>
      <c r="F8410" s="56"/>
    </row>
    <row r="8411" spans="2:6" ht="15">
      <c r="B8411" t="s">
        <v>1177</v>
      </c>
      <c r="C8411" s="39" t="s">
        <v>151</v>
      </c>
      <c r="D8411" t="s">
        <v>469</v>
      </c>
      <c r="F8411" s="56"/>
    </row>
    <row r="8412" spans="2:6" ht="15">
      <c r="B8412" t="s">
        <v>1820</v>
      </c>
      <c r="C8412" s="39" t="s">
        <v>151</v>
      </c>
      <c r="D8412">
        <v>8</v>
      </c>
      <c r="F8412" s="56"/>
    </row>
    <row r="8413" spans="2:6" ht="15">
      <c r="B8413" t="s">
        <v>1180</v>
      </c>
      <c r="C8413" s="39" t="s">
        <v>375</v>
      </c>
      <c r="D8413" t="s">
        <v>4243</v>
      </c>
      <c r="F8413" s="56"/>
    </row>
    <row r="8414" spans="2:6" ht="15">
      <c r="B8414" t="s">
        <v>4198</v>
      </c>
      <c r="C8414" s="39" t="s">
        <v>375</v>
      </c>
      <c r="D8414">
        <v>7</v>
      </c>
      <c r="F8414" s="56"/>
    </row>
    <row r="8415" spans="2:6" ht="15">
      <c r="B8415" t="s">
        <v>4199</v>
      </c>
      <c r="C8415" s="39" t="s">
        <v>375</v>
      </c>
      <c r="D8415">
        <v>7</v>
      </c>
      <c r="F8415" s="56"/>
    </row>
    <row r="8416" spans="2:6" ht="15">
      <c r="B8416" t="s">
        <v>4200</v>
      </c>
      <c r="C8416" s="39" t="s">
        <v>375</v>
      </c>
      <c r="D8416">
        <v>8</v>
      </c>
      <c r="F8416" s="56"/>
    </row>
    <row r="8417" spans="2:6" ht="15">
      <c r="B8417" t="s">
        <v>4201</v>
      </c>
      <c r="C8417" s="39" t="s">
        <v>375</v>
      </c>
      <c r="D8417">
        <v>8</v>
      </c>
      <c r="F8417" s="56"/>
    </row>
    <row r="8418" spans="2:6" ht="15">
      <c r="B8418" t="s">
        <v>4202</v>
      </c>
      <c r="C8418" s="39" t="s">
        <v>157</v>
      </c>
      <c r="D8418" t="s">
        <v>4245</v>
      </c>
      <c r="F8418" s="56"/>
    </row>
    <row r="8419" spans="2:6" ht="15">
      <c r="B8419" t="s">
        <v>4203</v>
      </c>
      <c r="C8419" s="39" t="s">
        <v>157</v>
      </c>
      <c r="D8419" t="s">
        <v>4244</v>
      </c>
      <c r="F8419" s="56"/>
    </row>
    <row r="8420" spans="2:6" ht="15">
      <c r="B8420" t="s">
        <v>4204</v>
      </c>
      <c r="C8420" s="39" t="s">
        <v>157</v>
      </c>
      <c r="D8420" t="s">
        <v>4243</v>
      </c>
      <c r="F8420" s="56"/>
    </row>
    <row r="8421" spans="2:6" ht="15">
      <c r="B8421" t="s">
        <v>4205</v>
      </c>
      <c r="C8421" s="39" t="s">
        <v>1424</v>
      </c>
      <c r="D8421" t="s">
        <v>4243</v>
      </c>
      <c r="F8421" s="56"/>
    </row>
    <row r="8422" spans="2:6" ht="15">
      <c r="B8422" t="s">
        <v>4206</v>
      </c>
      <c r="C8422" s="39" t="s">
        <v>1114</v>
      </c>
      <c r="D8422" t="s">
        <v>4244</v>
      </c>
      <c r="F8422" s="56"/>
    </row>
    <row r="8423" spans="2:6" ht="15">
      <c r="B8423" t="s">
        <v>4207</v>
      </c>
      <c r="C8423" s="39" t="s">
        <v>1046</v>
      </c>
      <c r="D8423" t="s">
        <v>469</v>
      </c>
      <c r="F8423" s="56"/>
    </row>
    <row r="8424" spans="2:6" ht="15">
      <c r="B8424" t="s">
        <v>4208</v>
      </c>
      <c r="C8424" s="39" t="s">
        <v>1046</v>
      </c>
      <c r="D8424" t="s">
        <v>469</v>
      </c>
      <c r="F8424" s="56"/>
    </row>
    <row r="8425" spans="2:6" ht="15">
      <c r="B8425" t="s">
        <v>1184</v>
      </c>
      <c r="C8425" s="39" t="s">
        <v>1052</v>
      </c>
      <c r="D8425" t="s">
        <v>4243</v>
      </c>
      <c r="F8425" s="56"/>
    </row>
    <row r="8426" spans="2:6" ht="15">
      <c r="B8426" t="s">
        <v>1049</v>
      </c>
      <c r="C8426" s="39" t="s">
        <v>924</v>
      </c>
      <c r="D8426" t="s">
        <v>4246</v>
      </c>
      <c r="F8426" s="56"/>
    </row>
    <row r="8427" spans="2:6" ht="15">
      <c r="B8427" t="s">
        <v>1051</v>
      </c>
      <c r="C8427" s="39" t="s">
        <v>924</v>
      </c>
      <c r="D8427" t="s">
        <v>4243</v>
      </c>
      <c r="F8427" s="56"/>
    </row>
    <row r="8428" spans="2:6" ht="15">
      <c r="B8428" t="s">
        <v>1430</v>
      </c>
      <c r="C8428" s="39" t="s">
        <v>4209</v>
      </c>
      <c r="D8428" t="s">
        <v>4247</v>
      </c>
      <c r="F8428" s="56"/>
    </row>
    <row r="8429" spans="2:6" ht="15">
      <c r="B8429" t="s">
        <v>1053</v>
      </c>
      <c r="C8429" s="39" t="s">
        <v>4209</v>
      </c>
      <c r="D8429" t="s">
        <v>4243</v>
      </c>
      <c r="F8429" s="56"/>
    </row>
    <row r="8430" spans="2:6" ht="15">
      <c r="B8430" t="s">
        <v>1054</v>
      </c>
      <c r="C8430" s="39" t="s">
        <v>4209</v>
      </c>
      <c r="D8430">
        <v>7</v>
      </c>
      <c r="F8430" s="56"/>
    </row>
    <row r="8431" spans="2:6" ht="15">
      <c r="B8431" t="s">
        <v>3189</v>
      </c>
      <c r="C8431" s="39" t="s">
        <v>3403</v>
      </c>
      <c r="D8431" t="s">
        <v>4246</v>
      </c>
      <c r="F8431" s="56"/>
    </row>
    <row r="8432" spans="2:6" ht="15">
      <c r="B8432" t="s">
        <v>4210</v>
      </c>
      <c r="C8432" s="39" t="s">
        <v>166</v>
      </c>
      <c r="D8432" t="s">
        <v>4243</v>
      </c>
      <c r="F8432" s="56"/>
    </row>
    <row r="8433" spans="2:6" ht="15">
      <c r="B8433" t="s">
        <v>4211</v>
      </c>
      <c r="C8433" s="39" t="s">
        <v>166</v>
      </c>
      <c r="D8433">
        <v>8</v>
      </c>
      <c r="F8433" s="56"/>
    </row>
    <row r="8434" spans="2:6" ht="15">
      <c r="B8434" t="s">
        <v>1558</v>
      </c>
      <c r="C8434" s="39" t="s">
        <v>177</v>
      </c>
      <c r="D8434" t="s">
        <v>1595</v>
      </c>
      <c r="F8434" s="56"/>
    </row>
    <row r="8435" spans="2:6" ht="15">
      <c r="B8435" t="s">
        <v>1560</v>
      </c>
      <c r="C8435" s="39" t="s">
        <v>177</v>
      </c>
      <c r="D8435" t="s">
        <v>1596</v>
      </c>
      <c r="F8435" s="56"/>
    </row>
    <row r="8436" spans="2:6" ht="15">
      <c r="B8436" t="s">
        <v>3082</v>
      </c>
      <c r="C8436" s="39" t="s">
        <v>177</v>
      </c>
      <c r="D8436" t="s">
        <v>1595</v>
      </c>
      <c r="F8436" s="56"/>
    </row>
    <row r="8437" spans="2:6" ht="15">
      <c r="B8437" t="s">
        <v>4212</v>
      </c>
      <c r="C8437" s="39" t="s">
        <v>177</v>
      </c>
      <c r="D8437" t="s">
        <v>1595</v>
      </c>
      <c r="F8437" s="56"/>
    </row>
    <row r="8438" spans="2:6" ht="15">
      <c r="B8438" t="s">
        <v>4127</v>
      </c>
      <c r="C8438" s="39" t="s">
        <v>177</v>
      </c>
      <c r="D8438" t="s">
        <v>1596</v>
      </c>
      <c r="F8438" s="56"/>
    </row>
    <row r="8439" spans="2:6" ht="15">
      <c r="B8439" t="s">
        <v>1562</v>
      </c>
      <c r="C8439" s="39" t="s">
        <v>177</v>
      </c>
      <c r="D8439" t="s">
        <v>471</v>
      </c>
      <c r="F8439" s="56"/>
    </row>
    <row r="8440" spans="2:6" ht="15">
      <c r="B8440" t="s">
        <v>4213</v>
      </c>
      <c r="C8440" s="39" t="s">
        <v>433</v>
      </c>
      <c r="D8440" t="s">
        <v>4245</v>
      </c>
      <c r="F8440" s="56"/>
    </row>
    <row r="8441" spans="2:6" ht="15">
      <c r="B8441" t="s">
        <v>1435</v>
      </c>
      <c r="C8441" s="39" t="s">
        <v>4214</v>
      </c>
      <c r="D8441">
        <v>9</v>
      </c>
      <c r="F8441" s="56"/>
    </row>
    <row r="8442" spans="2:6" ht="15">
      <c r="B8442" t="s">
        <v>4215</v>
      </c>
      <c r="C8442" s="39" t="s">
        <v>390</v>
      </c>
      <c r="D8442" t="s">
        <v>4243</v>
      </c>
      <c r="F8442" s="56"/>
    </row>
    <row r="8443" spans="2:6" ht="15">
      <c r="B8443" t="s">
        <v>4216</v>
      </c>
      <c r="C8443" s="39" t="s">
        <v>390</v>
      </c>
      <c r="D8443">
        <v>7</v>
      </c>
      <c r="F8443" s="56"/>
    </row>
    <row r="8444" spans="2:6" ht="15">
      <c r="B8444" t="s">
        <v>182</v>
      </c>
      <c r="C8444" s="39" t="s">
        <v>390</v>
      </c>
      <c r="D8444">
        <v>8</v>
      </c>
      <c r="F8444" s="56"/>
    </row>
    <row r="8445" spans="2:6" ht="15">
      <c r="B8445" t="s">
        <v>1826</v>
      </c>
      <c r="C8445" s="39" t="s">
        <v>4217</v>
      </c>
      <c r="D8445">
        <v>9</v>
      </c>
      <c r="F8445" s="56"/>
    </row>
    <row r="8446" spans="2:6" ht="15">
      <c r="B8446" t="s">
        <v>393</v>
      </c>
      <c r="C8446" s="39" t="s">
        <v>189</v>
      </c>
      <c r="D8446" t="s">
        <v>4243</v>
      </c>
      <c r="F8446" s="56"/>
    </row>
    <row r="8447" spans="2:6" ht="15">
      <c r="B8447" t="s">
        <v>1070</v>
      </c>
      <c r="C8447" s="39" t="s">
        <v>189</v>
      </c>
      <c r="D8447">
        <v>7</v>
      </c>
      <c r="F8447" s="56"/>
    </row>
    <row r="8448" spans="2:6" ht="15">
      <c r="B8448" t="s">
        <v>1071</v>
      </c>
      <c r="C8448" s="39" t="s">
        <v>189</v>
      </c>
      <c r="D8448">
        <v>8</v>
      </c>
      <c r="F8448" s="56"/>
    </row>
    <row r="8449" spans="2:6" ht="15">
      <c r="B8449" t="s">
        <v>1072</v>
      </c>
      <c r="C8449" s="39" t="s">
        <v>189</v>
      </c>
      <c r="D8449">
        <v>8</v>
      </c>
      <c r="F8449" s="56"/>
    </row>
    <row r="8450" spans="2:6" ht="15">
      <c r="B8450" t="s">
        <v>1189</v>
      </c>
      <c r="C8450" s="39" t="s">
        <v>192</v>
      </c>
      <c r="D8450" t="s">
        <v>4247</v>
      </c>
      <c r="F8450" s="56"/>
    </row>
    <row r="8451" spans="2:6" ht="15">
      <c r="B8451" t="s">
        <v>861</v>
      </c>
      <c r="C8451" s="39" t="s">
        <v>192</v>
      </c>
      <c r="D8451" t="s">
        <v>4243</v>
      </c>
      <c r="F8451" s="56"/>
    </row>
    <row r="8452" spans="2:6" ht="15">
      <c r="B8452" t="s">
        <v>399</v>
      </c>
      <c r="C8452" s="39" t="s">
        <v>192</v>
      </c>
      <c r="D8452">
        <v>8</v>
      </c>
      <c r="F8452" s="56"/>
    </row>
    <row r="8453" spans="2:6" ht="15">
      <c r="B8453" t="s">
        <v>401</v>
      </c>
      <c r="C8453" s="39" t="s">
        <v>192</v>
      </c>
      <c r="D8453">
        <v>7</v>
      </c>
      <c r="F8453" s="56"/>
    </row>
    <row r="8454" spans="2:6" ht="15">
      <c r="B8454" t="s">
        <v>3543</v>
      </c>
      <c r="C8454" s="39" t="s">
        <v>3394</v>
      </c>
      <c r="D8454" t="s">
        <v>4243</v>
      </c>
      <c r="F8454" s="56"/>
    </row>
    <row r="8455" spans="2:6" ht="15">
      <c r="B8455" t="s">
        <v>4008</v>
      </c>
      <c r="C8455" s="39" t="s">
        <v>402</v>
      </c>
      <c r="D8455" t="s">
        <v>4245</v>
      </c>
      <c r="F8455" s="56"/>
    </row>
    <row r="8456" spans="2:6" ht="15">
      <c r="B8456" t="s">
        <v>3051</v>
      </c>
      <c r="C8456" s="39" t="s">
        <v>3710</v>
      </c>
      <c r="D8456" t="s">
        <v>4243</v>
      </c>
      <c r="F8456" s="56"/>
    </row>
    <row r="8457" spans="2:6" ht="15">
      <c r="B8457" t="s">
        <v>1073</v>
      </c>
      <c r="C8457" s="39" t="s">
        <v>192</v>
      </c>
      <c r="D8457">
        <v>8</v>
      </c>
      <c r="F8457" s="56"/>
    </row>
    <row r="8458" spans="2:6" ht="15">
      <c r="B8458" t="s">
        <v>872</v>
      </c>
      <c r="C8458" s="39" t="s">
        <v>2942</v>
      </c>
      <c r="D8458">
        <v>9</v>
      </c>
      <c r="F8458" s="56"/>
    </row>
    <row r="8459" spans="2:6" ht="15">
      <c r="B8459" t="s">
        <v>3054</v>
      </c>
      <c r="C8459" s="39" t="s">
        <v>192</v>
      </c>
      <c r="D8459" t="s">
        <v>4243</v>
      </c>
      <c r="F8459" s="56"/>
    </row>
    <row r="8460" spans="2:6" ht="15">
      <c r="B8460" t="s">
        <v>1076</v>
      </c>
      <c r="C8460" s="39" t="s">
        <v>371</v>
      </c>
      <c r="D8460">
        <v>8</v>
      </c>
      <c r="F8460" s="56"/>
    </row>
    <row r="8461" spans="2:6" ht="15">
      <c r="B8461" t="s">
        <v>4218</v>
      </c>
      <c r="C8461" s="39" t="s">
        <v>410</v>
      </c>
      <c r="D8461" t="s">
        <v>4246</v>
      </c>
      <c r="F8461" s="56"/>
    </row>
    <row r="8462" spans="2:6" ht="15">
      <c r="B8462" t="s">
        <v>1077</v>
      </c>
      <c r="C8462" s="39" t="s">
        <v>410</v>
      </c>
      <c r="D8462" t="s">
        <v>4244</v>
      </c>
      <c r="F8462" s="56"/>
    </row>
    <row r="8463" spans="2:6" ht="15">
      <c r="B8463" t="s">
        <v>4219</v>
      </c>
      <c r="C8463" s="39" t="s">
        <v>410</v>
      </c>
      <c r="D8463" t="s">
        <v>4244</v>
      </c>
      <c r="F8463" s="56"/>
    </row>
    <row r="8464" spans="2:6" ht="15">
      <c r="B8464" t="s">
        <v>1834</v>
      </c>
      <c r="C8464" s="39" t="s">
        <v>410</v>
      </c>
      <c r="D8464" t="s">
        <v>4243</v>
      </c>
      <c r="F8464" s="56"/>
    </row>
    <row r="8465" spans="2:6" ht="15">
      <c r="B8465" t="s">
        <v>3903</v>
      </c>
      <c r="C8465" s="39" t="s">
        <v>410</v>
      </c>
      <c r="D8465">
        <v>9</v>
      </c>
      <c r="F8465" s="56"/>
    </row>
    <row r="8466" spans="2:6" ht="15">
      <c r="B8466" t="s">
        <v>1838</v>
      </c>
      <c r="C8466" s="39" t="s">
        <v>410</v>
      </c>
      <c r="D8466" t="s">
        <v>4244</v>
      </c>
      <c r="F8466" s="56"/>
    </row>
    <row r="8467" spans="2:6" ht="15">
      <c r="B8467" t="s">
        <v>2481</v>
      </c>
      <c r="C8467" s="39" t="s">
        <v>1080</v>
      </c>
      <c r="D8467" t="s">
        <v>4244</v>
      </c>
      <c r="F8467" s="56"/>
    </row>
    <row r="8468" spans="2:6" ht="15">
      <c r="B8468" t="s">
        <v>4220</v>
      </c>
      <c r="C8468" s="39" t="s">
        <v>1080</v>
      </c>
      <c r="D8468">
        <v>7</v>
      </c>
      <c r="F8468" s="56"/>
    </row>
    <row r="8469" spans="2:6" ht="15">
      <c r="B8469" t="s">
        <v>2544</v>
      </c>
      <c r="C8469" s="39" t="s">
        <v>1083</v>
      </c>
      <c r="D8469" t="s">
        <v>469</v>
      </c>
      <c r="F8469" s="56"/>
    </row>
    <row r="8470" spans="2:6" ht="15">
      <c r="B8470" t="s">
        <v>1840</v>
      </c>
      <c r="C8470" s="39" t="s">
        <v>1083</v>
      </c>
      <c r="D8470" t="s">
        <v>471</v>
      </c>
      <c r="F8470" s="56"/>
    </row>
    <row r="8471" spans="2:6" ht="15">
      <c r="B8471" t="s">
        <v>1841</v>
      </c>
      <c r="C8471" s="39" t="s">
        <v>1083</v>
      </c>
      <c r="D8471" t="s">
        <v>471</v>
      </c>
      <c r="F8471" s="56"/>
    </row>
    <row r="8472" spans="2:6" ht="15">
      <c r="B8472" t="s">
        <v>4221</v>
      </c>
      <c r="C8472" s="39" t="s">
        <v>1083</v>
      </c>
      <c r="D8472" t="s">
        <v>468</v>
      </c>
      <c r="F8472" s="56"/>
    </row>
    <row r="8473" spans="2:6" ht="15">
      <c r="B8473" t="s">
        <v>4222</v>
      </c>
      <c r="C8473" s="39" t="s">
        <v>1083</v>
      </c>
      <c r="D8473" t="s">
        <v>471</v>
      </c>
      <c r="F8473" s="56"/>
    </row>
    <row r="8474" spans="2:6" ht="15">
      <c r="B8474" t="s">
        <v>4223</v>
      </c>
      <c r="C8474" s="39" t="s">
        <v>4224</v>
      </c>
      <c r="D8474">
        <v>9</v>
      </c>
      <c r="F8474" s="56"/>
    </row>
    <row r="8475" spans="2:6" ht="15">
      <c r="B8475" t="s">
        <v>4225</v>
      </c>
      <c r="C8475" s="39" t="s">
        <v>1083</v>
      </c>
      <c r="D8475" t="s">
        <v>468</v>
      </c>
      <c r="F8475" s="56"/>
    </row>
    <row r="8476" spans="2:6" ht="15">
      <c r="B8476" t="s">
        <v>4226</v>
      </c>
      <c r="C8476" s="39" t="s">
        <v>1083</v>
      </c>
      <c r="D8476" t="s">
        <v>471</v>
      </c>
      <c r="F8476" s="56"/>
    </row>
    <row r="8477" spans="2:6" ht="15">
      <c r="B8477" t="s">
        <v>3473</v>
      </c>
      <c r="C8477" s="39" t="s">
        <v>1083</v>
      </c>
      <c r="D8477">
        <v>8</v>
      </c>
      <c r="F8477" s="56"/>
    </row>
    <row r="8478" spans="2:6" ht="15">
      <c r="B8478" t="s">
        <v>4227</v>
      </c>
      <c r="C8478" s="39" t="s">
        <v>1095</v>
      </c>
      <c r="D8478" t="s">
        <v>469</v>
      </c>
      <c r="F8478" s="56"/>
    </row>
    <row r="8479" spans="2:6" ht="15">
      <c r="B8479" t="s">
        <v>3905</v>
      </c>
      <c r="C8479" s="39" t="s">
        <v>1095</v>
      </c>
      <c r="D8479" t="s">
        <v>469</v>
      </c>
      <c r="F8479" s="56"/>
    </row>
    <row r="8480" spans="2:6" ht="15">
      <c r="B8480" t="s">
        <v>221</v>
      </c>
      <c r="C8480" s="39" t="s">
        <v>1095</v>
      </c>
      <c r="D8480" t="s">
        <v>469</v>
      </c>
      <c r="F8480" s="56"/>
    </row>
    <row r="8481" spans="1:6" ht="15">
      <c r="B8481" t="s">
        <v>4228</v>
      </c>
      <c r="C8481" s="39" t="s">
        <v>1095</v>
      </c>
      <c r="D8481">
        <v>7</v>
      </c>
      <c r="F8481" s="56"/>
    </row>
    <row r="8482" spans="1:6" ht="15">
      <c r="A8482" s="51">
        <v>3250354</v>
      </c>
      <c r="B8482" t="s">
        <v>830</v>
      </c>
      <c r="C8482" s="39" t="s">
        <v>228</v>
      </c>
      <c r="D8482">
        <v>9</v>
      </c>
      <c r="F8482" s="56"/>
    </row>
    <row r="8483" spans="1:6" ht="15">
      <c r="B8483" t="s">
        <v>2636</v>
      </c>
      <c r="C8483" s="39" t="s">
        <v>1107</v>
      </c>
      <c r="D8483" t="s">
        <v>4245</v>
      </c>
      <c r="F8483" s="56"/>
    </row>
    <row r="8484" spans="1:6" ht="15">
      <c r="B8484" t="s">
        <v>4229</v>
      </c>
      <c r="C8484" s="39" t="s">
        <v>140</v>
      </c>
      <c r="D8484">
        <v>7</v>
      </c>
      <c r="F8484" s="56"/>
    </row>
    <row r="8485" spans="1:6" ht="15">
      <c r="A8485" s="51">
        <v>3250355</v>
      </c>
      <c r="B8485" t="s">
        <v>831</v>
      </c>
      <c r="C8485" s="39" t="s">
        <v>228</v>
      </c>
      <c r="D8485">
        <v>9</v>
      </c>
      <c r="F8485" s="56"/>
    </row>
    <row r="8486" spans="1:6" ht="15">
      <c r="B8486" t="s">
        <v>230</v>
      </c>
      <c r="C8486" s="39" t="s">
        <v>233</v>
      </c>
      <c r="D8486" t="s">
        <v>4244</v>
      </c>
      <c r="F8486" s="56"/>
    </row>
    <row r="8487" spans="1:6" ht="15">
      <c r="B8487" t="s">
        <v>2240</v>
      </c>
      <c r="C8487" s="39" t="s">
        <v>1112</v>
      </c>
      <c r="D8487" t="s">
        <v>4243</v>
      </c>
      <c r="F8487" s="56"/>
    </row>
    <row r="8488" spans="1:6" ht="15">
      <c r="B8488" t="s">
        <v>240</v>
      </c>
      <c r="C8488" s="39" t="s">
        <v>1114</v>
      </c>
      <c r="D8488" t="s">
        <v>4246</v>
      </c>
      <c r="F8488" s="56"/>
    </row>
    <row r="8489" spans="1:6" ht="15">
      <c r="B8489" t="s">
        <v>1485</v>
      </c>
      <c r="C8489" s="39" t="s">
        <v>1114</v>
      </c>
      <c r="D8489" t="s">
        <v>4247</v>
      </c>
      <c r="F8489" s="56"/>
    </row>
    <row r="8490" spans="1:6" ht="15">
      <c r="B8490" t="s">
        <v>880</v>
      </c>
      <c r="C8490" s="39" t="s">
        <v>1114</v>
      </c>
      <c r="D8490" t="s">
        <v>4246</v>
      </c>
      <c r="F8490" s="56"/>
    </row>
    <row r="8491" spans="1:6" ht="15">
      <c r="B8491" t="s">
        <v>1861</v>
      </c>
      <c r="C8491" s="39" t="s">
        <v>1114</v>
      </c>
      <c r="D8491" t="s">
        <v>4247</v>
      </c>
      <c r="F8491" s="56"/>
    </row>
    <row r="8492" spans="1:6" ht="15">
      <c r="B8492" t="s">
        <v>4230</v>
      </c>
      <c r="C8492" s="39" t="s">
        <v>1114</v>
      </c>
      <c r="D8492" t="s">
        <v>4243</v>
      </c>
      <c r="F8492" s="56"/>
    </row>
    <row r="8493" spans="1:6" ht="15">
      <c r="B8493" t="s">
        <v>425</v>
      </c>
      <c r="C8493" s="39" t="s">
        <v>1114</v>
      </c>
      <c r="D8493">
        <v>9</v>
      </c>
      <c r="F8493" s="56"/>
    </row>
    <row r="8494" spans="1:6" ht="15">
      <c r="B8494" t="s">
        <v>1117</v>
      </c>
      <c r="C8494" s="39" t="s">
        <v>1121</v>
      </c>
      <c r="D8494">
        <v>8</v>
      </c>
      <c r="F8494" s="56"/>
    </row>
    <row r="8495" spans="1:6" ht="15">
      <c r="B8495" t="s">
        <v>4231</v>
      </c>
      <c r="C8495" s="39" t="s">
        <v>326</v>
      </c>
      <c r="D8495">
        <v>9</v>
      </c>
      <c r="F8495" s="56"/>
    </row>
    <row r="8496" spans="1:6" ht="15">
      <c r="B8496" t="s">
        <v>1120</v>
      </c>
      <c r="C8496" s="39" t="s">
        <v>1121</v>
      </c>
      <c r="D8496">
        <v>8</v>
      </c>
      <c r="F8496" s="56"/>
    </row>
    <row r="8497" spans="2:6" ht="15">
      <c r="B8497" t="s">
        <v>1491</v>
      </c>
      <c r="C8497" s="39" t="s">
        <v>4232</v>
      </c>
      <c r="D8497">
        <v>9</v>
      </c>
      <c r="F8497" s="56"/>
    </row>
    <row r="8498" spans="2:6" ht="15">
      <c r="B8498" t="s">
        <v>3768</v>
      </c>
      <c r="C8498" s="39" t="s">
        <v>1114</v>
      </c>
      <c r="D8498" t="s">
        <v>4244</v>
      </c>
      <c r="F8498" s="56"/>
    </row>
    <row r="8499" spans="2:6" ht="15">
      <c r="B8499" t="s">
        <v>4233</v>
      </c>
      <c r="C8499" s="39" t="s">
        <v>264</v>
      </c>
      <c r="D8499" t="s">
        <v>4244</v>
      </c>
      <c r="F8499" s="56"/>
    </row>
    <row r="8500" spans="2:6" ht="15">
      <c r="B8500" t="s">
        <v>3769</v>
      </c>
      <c r="C8500" s="39" t="s">
        <v>264</v>
      </c>
      <c r="D8500" t="s">
        <v>4243</v>
      </c>
      <c r="F8500" s="56"/>
    </row>
    <row r="8501" spans="2:6" ht="15">
      <c r="B8501" t="s">
        <v>4234</v>
      </c>
      <c r="C8501" s="39" t="s">
        <v>264</v>
      </c>
      <c r="D8501" t="s">
        <v>4243</v>
      </c>
      <c r="F8501" s="56"/>
    </row>
    <row r="8502" spans="2:6" ht="15">
      <c r="B8502" t="s">
        <v>4235</v>
      </c>
      <c r="C8502" s="39" t="s">
        <v>274</v>
      </c>
      <c r="D8502" t="s">
        <v>4243</v>
      </c>
      <c r="F8502" s="56"/>
    </row>
    <row r="8503" spans="2:6" ht="15">
      <c r="B8503" t="s">
        <v>4236</v>
      </c>
      <c r="C8503" s="39" t="s">
        <v>274</v>
      </c>
      <c r="D8503" t="s">
        <v>4243</v>
      </c>
      <c r="F8503" s="56"/>
    </row>
    <row r="8504" spans="2:6" ht="15">
      <c r="B8504" t="s">
        <v>4237</v>
      </c>
      <c r="C8504" s="39" t="s">
        <v>274</v>
      </c>
      <c r="D8504">
        <v>7</v>
      </c>
      <c r="F8504" s="56"/>
    </row>
    <row r="8505" spans="2:6" ht="15">
      <c r="B8505" t="s">
        <v>4238</v>
      </c>
      <c r="C8505" s="39" t="s">
        <v>274</v>
      </c>
      <c r="D8505">
        <v>8</v>
      </c>
      <c r="F8505" s="56"/>
    </row>
    <row r="8506" spans="2:6" ht="15">
      <c r="B8506" t="s">
        <v>4239</v>
      </c>
      <c r="C8506" s="39" t="s">
        <v>274</v>
      </c>
      <c r="D8506">
        <v>8</v>
      </c>
      <c r="F8506" s="56"/>
    </row>
    <row r="8507" spans="2:6" ht="15">
      <c r="B8507" t="s">
        <v>275</v>
      </c>
      <c r="C8507" s="39" t="s">
        <v>283</v>
      </c>
      <c r="D8507">
        <v>8</v>
      </c>
      <c r="F8507" s="56"/>
    </row>
    <row r="8508" spans="2:6" ht="15">
      <c r="B8508" t="s">
        <v>887</v>
      </c>
      <c r="C8508" s="39" t="s">
        <v>4240</v>
      </c>
      <c r="D8508">
        <v>7</v>
      </c>
      <c r="F8508" s="56"/>
    </row>
    <row r="8509" spans="2:6" ht="15">
      <c r="B8509" t="s">
        <v>1136</v>
      </c>
      <c r="C8509" s="39" t="s">
        <v>4241</v>
      </c>
      <c r="D8509">
        <v>9</v>
      </c>
      <c r="F8509" s="56"/>
    </row>
    <row r="8510" spans="2:6" ht="15">
      <c r="B8510" t="s">
        <v>1138</v>
      </c>
      <c r="C8510" s="39" t="s">
        <v>264</v>
      </c>
      <c r="D8510" t="s">
        <v>4244</v>
      </c>
      <c r="F8510" s="56"/>
    </row>
    <row r="8511" spans="2:6" ht="15">
      <c r="B8511" t="s">
        <v>282</v>
      </c>
      <c r="C8511" s="39" t="s">
        <v>264</v>
      </c>
      <c r="D8511" t="s">
        <v>4244</v>
      </c>
      <c r="F8511" s="56"/>
    </row>
    <row r="8512" spans="2:6" ht="15">
      <c r="B8512" t="s">
        <v>2770</v>
      </c>
      <c r="C8512" s="39" t="s">
        <v>264</v>
      </c>
      <c r="D8512" t="s">
        <v>4243</v>
      </c>
      <c r="F8512" s="56"/>
    </row>
    <row r="8513" spans="2:6" ht="15">
      <c r="B8513" t="s">
        <v>2510</v>
      </c>
      <c r="C8513" s="39" t="s">
        <v>264</v>
      </c>
      <c r="D8513" t="s">
        <v>4243</v>
      </c>
      <c r="F8513" s="56"/>
    </row>
    <row r="8514" spans="2:6" ht="15">
      <c r="B8514" t="s">
        <v>1213</v>
      </c>
      <c r="C8514" s="39" t="s">
        <v>4240</v>
      </c>
      <c r="D8514">
        <v>7</v>
      </c>
      <c r="F8514" s="56"/>
    </row>
  </sheetData>
  <sheetProtection selectLockedCells="1" selectUnlockedCells="1"/>
  <sortState xmlns:xlrd2="http://schemas.microsoft.com/office/spreadsheetml/2017/richdata2" ref="L2:M73">
    <sortCondition descending="1" ref="M2:M73"/>
  </sortState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SGW</vt:lpstr>
      <vt:lpstr>soils2</vt:lpstr>
      <vt:lpstr>SGW!Print_Area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Reya Mertz</cp:lastModifiedBy>
  <cp:lastPrinted>2025-05-21T15:39:05Z</cp:lastPrinted>
  <dcterms:created xsi:type="dcterms:W3CDTF">2015-11-23T16:01:13Z</dcterms:created>
  <dcterms:modified xsi:type="dcterms:W3CDTF">2025-12-04T17:33:23Z</dcterms:modified>
</cp:coreProperties>
</file>